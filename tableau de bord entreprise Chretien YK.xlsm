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timelines/timeline3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e5bcf2a0fe13ecd/AutoEntrepreneur/Git/Autoentrepreneur/"/>
    </mc:Choice>
  </mc:AlternateContent>
  <xr:revisionPtr revIDLastSave="311" documentId="14_{E4CBDD4E-A21F-42A1-BEB3-B6267481DAAC}" xr6:coauthVersionLast="45" xr6:coauthVersionMax="45" xr10:uidLastSave="{D9CAAAEF-2DF3-40AB-85D0-17FF8E797CE4}"/>
  <bookViews>
    <workbookView xWindow="-120" yWindow="-120" windowWidth="29040" windowHeight="15840" tabRatio="783" xr2:uid="{00000000-000D-0000-FFFF-FFFF00000000}"/>
  </bookViews>
  <sheets>
    <sheet name="Saisie" sheetId="23" r:id="rId1"/>
    <sheet name="Charges" sheetId="48" r:id="rId2"/>
    <sheet name="Suivi_Emprunts" sheetId="31" r:id="rId3"/>
    <sheet name="Suivi encaissements" sheetId="49" r:id="rId4"/>
    <sheet name="D_Encaissements" sheetId="15" state="hidden" r:id="rId5"/>
    <sheet name="D_Charges_Sociales" sheetId="22" state="hidden" r:id="rId6"/>
    <sheet name="D_Charges_Magasin" sheetId="17" state="hidden" r:id="rId7"/>
    <sheet name="D_Charges_Entreprise" sheetId="18" state="hidden" r:id="rId8"/>
    <sheet name="D_Charges_Communes" sheetId="19" state="hidden" r:id="rId9"/>
    <sheet name="D_Emprunts" sheetId="20" state="hidden" r:id="rId10"/>
    <sheet name="D_Salaires" sheetId="21" state="hidden" r:id="rId11"/>
    <sheet name="Emprunt" sheetId="9" r:id="rId12"/>
    <sheet name="Pret covid19" sheetId="10" r:id="rId13"/>
    <sheet name="Salaire magasin" sheetId="11" r:id="rId14"/>
    <sheet name="Salaire entreprise" sheetId="12" r:id="rId15"/>
    <sheet name="charges sociales" sheetId="13" r:id="rId16"/>
    <sheet name="Bilan mensuel" sheetId="14" r:id="rId17"/>
    <sheet name="Encaissement" sheetId="1" r:id="rId18"/>
    <sheet name="Charge magasin" sheetId="2" r:id="rId19"/>
    <sheet name="Charge enterprise" sheetId="6" r:id="rId20"/>
    <sheet name="Charge commune" sheetId="7" r:id="rId21"/>
  </sheets>
  <functionGroups builtInGroupCount="19"/>
  <definedNames>
    <definedName name="_xlnm._FilterDatabase" localSheetId="4" hidden="1">D_Encaissements!$J$6:$J$10</definedName>
    <definedName name="categories">D_Encaissements!$I$6:$I$15</definedName>
    <definedName name="Charges_Communes">D_Charges_Communes!$A$6:$A$24</definedName>
    <definedName name="Charges_Entreprise">D_Charges_Entreprise!$A$6:$A$24</definedName>
    <definedName name="Charges_Magasin">D_Charges_Magasin!$A$6:$A$21</definedName>
    <definedName name="Charges_Sociales">D_Charges_Sociales!$A$6:$A$12</definedName>
    <definedName name="ChronologieNative_Date">#N/A</definedName>
    <definedName name="ChronologieNative_Date1">#N/A</definedName>
    <definedName name="ChronologieNative_Date2">#N/A</definedName>
    <definedName name="_xlnm.Criteria" localSheetId="4">D_Encaissements!$S$8</definedName>
    <definedName name="Description_Encaiss">D_Encaissements!$K$6:$K$10</definedName>
    <definedName name="Emplacements">D_Salaires!$B$6:$B$8</definedName>
    <definedName name="Erreurs">D_Encaissements!$L$6:$L$7</definedName>
    <definedName name="fournisseurs">D_Encaissements!$H$5:$H$11</definedName>
    <definedName name="Libelle_Emprunt">Tableau1[[#All],[libellé]]</definedName>
    <definedName name="Salaries">D_Salaires!$A$6:$A$14</definedName>
    <definedName name="Segment_Catégorie">#N/A</definedName>
    <definedName name="Segment_Description">#N/A</definedName>
    <definedName name="Segment_Fournisseur">#N/A</definedName>
    <definedName name="Segment_Sous_catégorie">#N/A</definedName>
    <definedName name="Segment_Type">#N/A</definedName>
    <definedName name="Sous_categorie">D_Encaissements!$J$6:$J$10</definedName>
    <definedName name="T_Amort">#REF!</definedName>
    <definedName name="T_Charges_Communes">TCC[]</definedName>
    <definedName name="T_Charges_Entreprise">TCE[]</definedName>
    <definedName name="T_Charges_Magasin">TCM[]</definedName>
    <definedName name="T_Emprunts">Tableau1[]</definedName>
    <definedName name="T_Encaissements">TEnc[]</definedName>
    <definedName name="TEmp1">Tableau1[]</definedName>
    <definedName name="TEmp2">Tableau9[]</definedName>
    <definedName name="Type_Pret">D_Emprunts!$M$7:$M$10</definedName>
  </definedNames>
  <calcPr calcId="191029"/>
  <pivotCaches>
    <pivotCache cacheId="0" r:id="rId22"/>
    <pivotCache cacheId="1" r:id="rId23"/>
    <pivotCache cacheId="170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0"/>
        <x15:timelineCacheRef r:id="rId31"/>
        <x15:timelineCacheRef r:id="rId32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0" i="20" l="1"/>
  <c r="V9" i="20"/>
  <c r="V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AA8" i="20"/>
  <c r="Z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80" i="20"/>
  <c r="U81" i="20"/>
  <c r="U82" i="20"/>
  <c r="U83" i="20"/>
  <c r="U84" i="20"/>
  <c r="U85" i="20"/>
  <c r="U86" i="20"/>
  <c r="U87" i="20"/>
  <c r="U88" i="20"/>
  <c r="U89" i="20"/>
  <c r="U90" i="20"/>
  <c r="U91" i="20"/>
  <c r="U92" i="20"/>
  <c r="U93" i="20"/>
  <c r="U94" i="20"/>
  <c r="U95" i="20"/>
  <c r="U96" i="20"/>
  <c r="U97" i="20"/>
  <c r="U98" i="20"/>
  <c r="U99" i="20"/>
  <c r="U100" i="20"/>
  <c r="U101" i="20"/>
  <c r="U102" i="20"/>
  <c r="U103" i="20"/>
  <c r="U104" i="20"/>
  <c r="U105" i="20"/>
  <c r="U106" i="20"/>
  <c r="U107" i="20"/>
  <c r="U108" i="20"/>
  <c r="U109" i="20"/>
  <c r="U110" i="20"/>
  <c r="U111" i="20"/>
  <c r="U112" i="20"/>
  <c r="U113" i="20"/>
  <c r="U114" i="20"/>
  <c r="U115" i="20"/>
  <c r="U116" i="20"/>
  <c r="U117" i="20"/>
  <c r="U118" i="20"/>
  <c r="U119" i="20"/>
  <c r="U120" i="20"/>
  <c r="U121" i="20"/>
  <c r="U122" i="20"/>
  <c r="U123" i="20"/>
  <c r="U124" i="20"/>
  <c r="U125" i="20"/>
  <c r="U126" i="20"/>
  <c r="U127" i="20"/>
  <c r="U128" i="20"/>
  <c r="U129" i="20"/>
  <c r="U130" i="20"/>
  <c r="U131" i="20"/>
  <c r="U132" i="20"/>
  <c r="U133" i="20"/>
  <c r="U134" i="20"/>
  <c r="U135" i="20"/>
  <c r="U136" i="20"/>
  <c r="U137" i="20"/>
  <c r="U138" i="20"/>
  <c r="U139" i="20"/>
  <c r="U140" i="20"/>
  <c r="U141" i="20"/>
  <c r="U142" i="20"/>
  <c r="U143" i="20"/>
  <c r="U144" i="20"/>
  <c r="U145" i="20"/>
  <c r="U146" i="20"/>
  <c r="U147" i="20"/>
  <c r="U148" i="20"/>
  <c r="U149" i="20"/>
  <c r="U150" i="20"/>
  <c r="U151" i="20"/>
  <c r="U152" i="20"/>
  <c r="U153" i="20"/>
  <c r="U154" i="20"/>
  <c r="U155" i="20"/>
  <c r="U156" i="20"/>
  <c r="U157" i="20"/>
  <c r="U158" i="20"/>
  <c r="U159" i="20"/>
  <c r="U160" i="20"/>
  <c r="U161" i="20"/>
  <c r="U162" i="20"/>
  <c r="U163" i="20"/>
  <c r="U164" i="20"/>
  <c r="U165" i="20"/>
  <c r="U166" i="20"/>
  <c r="U167" i="20"/>
  <c r="U168" i="20"/>
  <c r="U169" i="20"/>
  <c r="U170" i="20"/>
  <c r="U171" i="20"/>
  <c r="U172" i="20"/>
  <c r="U173" i="20"/>
  <c r="U174" i="20"/>
  <c r="U175" i="20"/>
  <c r="U176" i="20"/>
  <c r="U177" i="20"/>
  <c r="U178" i="20"/>
  <c r="U179" i="20"/>
  <c r="U180" i="20"/>
  <c r="U181" i="20"/>
  <c r="U182" i="20"/>
  <c r="U183" i="20"/>
  <c r="U184" i="20"/>
  <c r="U185" i="20"/>
  <c r="U186" i="20"/>
  <c r="U187" i="20"/>
  <c r="U188" i="20"/>
  <c r="U189" i="20"/>
  <c r="U190" i="20"/>
  <c r="U191" i="20"/>
  <c r="U192" i="20"/>
  <c r="U193" i="20"/>
  <c r="U194" i="20"/>
  <c r="U195" i="20"/>
  <c r="U196" i="20"/>
  <c r="U197" i="20"/>
  <c r="U198" i="20"/>
  <c r="U199" i="20"/>
  <c r="U200" i="20"/>
  <c r="U201" i="20"/>
  <c r="U202" i="20"/>
  <c r="U203" i="20"/>
  <c r="U204" i="20"/>
  <c r="U205" i="20"/>
  <c r="U206" i="20"/>
  <c r="U207" i="20"/>
  <c r="U208" i="20"/>
  <c r="U209" i="20"/>
  <c r="U210" i="20"/>
  <c r="U211" i="20"/>
  <c r="U212" i="20"/>
  <c r="U213" i="20"/>
  <c r="U214" i="20"/>
  <c r="U215" i="20"/>
  <c r="U216" i="20"/>
  <c r="U217" i="20"/>
  <c r="U218" i="20"/>
  <c r="U219" i="20"/>
  <c r="U220" i="20"/>
  <c r="U221" i="20"/>
  <c r="U222" i="20"/>
  <c r="U223" i="20"/>
  <c r="U224" i="20"/>
  <c r="U225" i="20"/>
  <c r="U226" i="20"/>
  <c r="U227" i="20"/>
  <c r="U228" i="20"/>
  <c r="U229" i="20"/>
  <c r="U230" i="20"/>
  <c r="U231" i="20"/>
  <c r="U232" i="20"/>
  <c r="U233" i="20"/>
  <c r="U234" i="20"/>
  <c r="U235" i="20"/>
  <c r="U236" i="20"/>
  <c r="U237" i="20"/>
  <c r="U238" i="20"/>
  <c r="U239" i="20"/>
  <c r="U240" i="20"/>
  <c r="U241" i="20"/>
  <c r="U242" i="20"/>
  <c r="U243" i="20"/>
  <c r="U244" i="20"/>
  <c r="U245" i="20"/>
  <c r="U246" i="20"/>
  <c r="U247" i="20"/>
  <c r="U248" i="20"/>
  <c r="U249" i="20"/>
  <c r="U250" i="20"/>
  <c r="U251" i="20"/>
  <c r="U252" i="20"/>
  <c r="U253" i="20"/>
  <c r="U254" i="20"/>
  <c r="U255" i="20"/>
  <c r="U256" i="20"/>
  <c r="U257" i="20"/>
  <c r="U258" i="20"/>
  <c r="U259" i="20"/>
  <c r="U260" i="20"/>
  <c r="U261" i="20"/>
  <c r="U262" i="20"/>
  <c r="U263" i="20"/>
  <c r="U264" i="20"/>
  <c r="U265" i="20"/>
  <c r="U266" i="20"/>
  <c r="U267" i="20"/>
  <c r="U268" i="20"/>
  <c r="U269" i="20"/>
  <c r="U270" i="20"/>
  <c r="U271" i="20"/>
  <c r="U272" i="20"/>
  <c r="U273" i="20"/>
  <c r="U274" i="20"/>
  <c r="U275" i="20"/>
  <c r="U276" i="20"/>
  <c r="U277" i="20"/>
  <c r="U278" i="20"/>
  <c r="U279" i="20"/>
  <c r="U280" i="20"/>
  <c r="U281" i="20"/>
  <c r="U282" i="20"/>
  <c r="U283" i="20"/>
  <c r="U284" i="20"/>
  <c r="U285" i="20"/>
  <c r="U286" i="20"/>
  <c r="U287" i="20"/>
  <c r="U288" i="20"/>
  <c r="U289" i="20"/>
  <c r="U290" i="20"/>
  <c r="U291" i="20"/>
  <c r="U292" i="20"/>
  <c r="U293" i="20"/>
  <c r="U294" i="20"/>
  <c r="U295" i="20"/>
  <c r="U296" i="20"/>
  <c r="U297" i="20"/>
  <c r="U298" i="20"/>
  <c r="U299" i="20"/>
  <c r="U300" i="20"/>
  <c r="U301" i="20"/>
  <c r="U302" i="20"/>
  <c r="U303" i="20"/>
  <c r="U304" i="20"/>
  <c r="U305" i="20"/>
  <c r="U306" i="20"/>
  <c r="U307" i="20"/>
  <c r="U308" i="20"/>
  <c r="U309" i="20"/>
  <c r="U310" i="20"/>
  <c r="U311" i="20"/>
  <c r="U312" i="20"/>
  <c r="U313" i="20"/>
  <c r="U314" i="20"/>
  <c r="U315" i="20"/>
  <c r="U316" i="20"/>
  <c r="U317" i="20"/>
  <c r="U318" i="20"/>
  <c r="U319" i="20"/>
  <c r="U320" i="20"/>
  <c r="U321" i="20"/>
  <c r="U322" i="20"/>
  <c r="U323" i="20"/>
  <c r="U324" i="20"/>
  <c r="U325" i="20"/>
  <c r="U326" i="20"/>
  <c r="U327" i="20"/>
  <c r="U328" i="20"/>
  <c r="U329" i="20"/>
  <c r="U330" i="20"/>
  <c r="U331" i="20"/>
  <c r="U332" i="20"/>
  <c r="U333" i="20"/>
  <c r="U334" i="20"/>
  <c r="U335" i="20"/>
  <c r="U336" i="20"/>
  <c r="U337" i="20"/>
  <c r="U338" i="20"/>
  <c r="U339" i="20"/>
  <c r="U340" i="20"/>
  <c r="U341" i="20"/>
  <c r="U342" i="20"/>
  <c r="U343" i="20"/>
  <c r="U344" i="20"/>
  <c r="U345" i="20"/>
  <c r="U346" i="20"/>
  <c r="U347" i="20"/>
  <c r="U348" i="20"/>
  <c r="U349" i="20"/>
  <c r="U350" i="20"/>
  <c r="U351" i="20"/>
  <c r="U352" i="20"/>
  <c r="U353" i="20"/>
  <c r="U354" i="20"/>
  <c r="U355" i="20"/>
  <c r="U356" i="20"/>
  <c r="U357" i="20"/>
  <c r="U358" i="20"/>
  <c r="U359" i="20"/>
  <c r="U360" i="20"/>
  <c r="U361" i="20"/>
  <c r="U362" i="20"/>
  <c r="U363" i="20"/>
  <c r="U364" i="20"/>
  <c r="U365" i="20"/>
  <c r="U366" i="20"/>
  <c r="U367" i="20"/>
  <c r="U368" i="20"/>
  <c r="U369" i="20"/>
  <c r="U370" i="20"/>
  <c r="U371" i="20"/>
  <c r="U372" i="20"/>
  <c r="U373" i="20"/>
  <c r="U374" i="20"/>
  <c r="U375" i="20"/>
  <c r="U376" i="20"/>
  <c r="U377" i="20"/>
  <c r="U378" i="20"/>
  <c r="U379" i="20"/>
  <c r="U380" i="20"/>
  <c r="U381" i="20"/>
  <c r="U382" i="20"/>
  <c r="U383" i="20"/>
  <c r="U384" i="20"/>
  <c r="U385" i="20"/>
  <c r="U386" i="20"/>
  <c r="U387" i="20"/>
  <c r="U388" i="20"/>
  <c r="U389" i="20"/>
  <c r="U390" i="20"/>
  <c r="U391" i="20"/>
  <c r="U392" i="20"/>
  <c r="U393" i="20"/>
  <c r="U394" i="20"/>
  <c r="U395" i="20"/>
  <c r="U396" i="20"/>
  <c r="U397" i="20"/>
  <c r="U398" i="20"/>
  <c r="U399" i="20"/>
  <c r="U400" i="20"/>
  <c r="U401" i="20"/>
  <c r="U402" i="20"/>
  <c r="U403" i="20"/>
  <c r="U404" i="20"/>
  <c r="U405" i="20"/>
  <c r="U406" i="20"/>
  <c r="U407" i="20"/>
  <c r="U408" i="20"/>
  <c r="U409" i="20"/>
  <c r="U410" i="20"/>
  <c r="U411" i="20"/>
  <c r="U412" i="20"/>
  <c r="U413" i="20"/>
  <c r="U414" i="20"/>
  <c r="U415" i="20"/>
  <c r="U416" i="20"/>
  <c r="U417" i="20"/>
  <c r="U418" i="20"/>
  <c r="U419" i="20"/>
  <c r="U420" i="20"/>
  <c r="U421" i="20"/>
  <c r="U422" i="20"/>
  <c r="U423" i="20"/>
  <c r="U424" i="20"/>
  <c r="U425" i="20"/>
  <c r="U426" i="20"/>
  <c r="U427" i="20"/>
  <c r="U428" i="20"/>
  <c r="U429" i="20"/>
  <c r="U430" i="20"/>
  <c r="U431" i="20"/>
  <c r="U432" i="20"/>
  <c r="U433" i="20"/>
  <c r="U434" i="20"/>
  <c r="U435" i="20"/>
  <c r="U436" i="20"/>
  <c r="U437" i="20"/>
  <c r="U438" i="20"/>
  <c r="U439" i="20"/>
  <c r="U440" i="20"/>
  <c r="U441" i="20"/>
  <c r="U442" i="20"/>
  <c r="U443" i="20"/>
  <c r="U444" i="20"/>
  <c r="U445" i="20"/>
  <c r="U446" i="20"/>
  <c r="U447" i="20"/>
  <c r="U448" i="20"/>
  <c r="U449" i="20"/>
  <c r="U450" i="20"/>
  <c r="U451" i="20"/>
  <c r="U452" i="20"/>
  <c r="U453" i="20"/>
  <c r="U454" i="20"/>
  <c r="U455" i="20"/>
  <c r="U456" i="20"/>
  <c r="U457" i="20"/>
  <c r="U458" i="20"/>
  <c r="U459" i="20"/>
  <c r="U460" i="20"/>
  <c r="U461" i="20"/>
  <c r="U462" i="20"/>
  <c r="U463" i="20"/>
  <c r="U464" i="20"/>
  <c r="U465" i="20"/>
  <c r="U466" i="20"/>
  <c r="U467" i="20"/>
  <c r="U468" i="20"/>
  <c r="U469" i="20"/>
  <c r="U470" i="20"/>
  <c r="U471" i="20"/>
  <c r="U472" i="20"/>
  <c r="U473" i="20"/>
  <c r="U474" i="20"/>
  <c r="U475" i="20"/>
  <c r="U476" i="20"/>
  <c r="U477" i="20"/>
  <c r="U478" i="20"/>
  <c r="U479" i="20"/>
  <c r="U480" i="20"/>
  <c r="U481" i="20"/>
  <c r="U482" i="20"/>
  <c r="U483" i="20"/>
  <c r="U484" i="20"/>
  <c r="U485" i="20"/>
  <c r="U486" i="20"/>
  <c r="U487" i="20"/>
  <c r="U488" i="20"/>
  <c r="U489" i="20"/>
  <c r="U490" i="20"/>
  <c r="U491" i="20"/>
  <c r="U492" i="20"/>
  <c r="U493" i="20"/>
  <c r="U494" i="20"/>
  <c r="U495" i="20"/>
  <c r="U496" i="20"/>
  <c r="U497" i="20"/>
  <c r="U498" i="20"/>
  <c r="U499" i="20"/>
  <c r="U500" i="20"/>
  <c r="U501" i="20"/>
  <c r="U502" i="20"/>
  <c r="U503" i="20"/>
  <c r="U504" i="20"/>
  <c r="U505" i="20"/>
  <c r="U506" i="20"/>
  <c r="U507" i="20"/>
  <c r="U508" i="20"/>
  <c r="U509" i="20"/>
  <c r="U510" i="20"/>
  <c r="U511" i="20"/>
  <c r="U512" i="20"/>
  <c r="U513" i="20"/>
  <c r="U514" i="20"/>
  <c r="U515" i="20"/>
  <c r="U516" i="20"/>
  <c r="U517" i="20"/>
  <c r="U518" i="20"/>
  <c r="U519" i="20"/>
  <c r="U520" i="20"/>
  <c r="U521" i="20"/>
  <c r="U522" i="20"/>
  <c r="U523" i="20"/>
  <c r="U524" i="20"/>
  <c r="U525" i="20"/>
  <c r="U526" i="20"/>
  <c r="U527" i="20"/>
  <c r="U528" i="20"/>
  <c r="U529" i="20"/>
  <c r="U530" i="20"/>
  <c r="U531" i="20"/>
  <c r="U532" i="20"/>
  <c r="U533" i="20"/>
  <c r="U534" i="20"/>
  <c r="U535" i="20"/>
  <c r="U536" i="20"/>
  <c r="U537" i="20"/>
  <c r="U538" i="20"/>
  <c r="U539" i="20"/>
  <c r="U540" i="20"/>
  <c r="U541" i="20"/>
  <c r="U542" i="20"/>
  <c r="U543" i="20"/>
  <c r="U544" i="20"/>
  <c r="U545" i="20"/>
  <c r="U546" i="20"/>
  <c r="U547" i="20"/>
  <c r="U548" i="20"/>
  <c r="U549" i="20"/>
  <c r="U550" i="20"/>
  <c r="U551" i="20"/>
  <c r="U552" i="20"/>
  <c r="U553" i="20"/>
  <c r="U554" i="20"/>
  <c r="U555" i="20"/>
  <c r="U556" i="20"/>
  <c r="U557" i="20"/>
  <c r="U558" i="20"/>
  <c r="U559" i="20"/>
  <c r="U560" i="20"/>
  <c r="U561" i="20"/>
  <c r="U562" i="20"/>
  <c r="U563" i="20"/>
  <c r="U564" i="20"/>
  <c r="U565" i="20"/>
  <c r="U566" i="20"/>
  <c r="U567" i="20"/>
  <c r="U568" i="20"/>
  <c r="U569" i="20"/>
  <c r="U570" i="20"/>
  <c r="U571" i="20"/>
  <c r="U572" i="20"/>
  <c r="U573" i="20"/>
  <c r="U574" i="20"/>
  <c r="U575" i="20"/>
  <c r="U576" i="20"/>
  <c r="U577" i="20"/>
  <c r="U578" i="20"/>
  <c r="U579" i="20"/>
  <c r="U580" i="20"/>
  <c r="U581" i="20"/>
  <c r="U582" i="20"/>
  <c r="U583" i="20"/>
  <c r="U584" i="20"/>
  <c r="U585" i="20"/>
  <c r="U586" i="20"/>
  <c r="U587" i="20"/>
  <c r="U588" i="20"/>
  <c r="U589" i="20"/>
  <c r="U590" i="20"/>
  <c r="U591" i="20"/>
  <c r="U592" i="20"/>
  <c r="U593" i="20"/>
  <c r="U594" i="20"/>
  <c r="U595" i="20"/>
  <c r="U596" i="20"/>
  <c r="U597" i="20"/>
  <c r="U598" i="20"/>
  <c r="U599" i="20"/>
  <c r="U600" i="20"/>
  <c r="U601" i="20"/>
  <c r="U602" i="20"/>
  <c r="U603" i="20"/>
  <c r="U604" i="20"/>
  <c r="U605" i="20"/>
  <c r="U606" i="20"/>
  <c r="U607" i="20"/>
  <c r="U608" i="20"/>
  <c r="U609" i="20"/>
  <c r="U610" i="20"/>
  <c r="U611" i="20"/>
  <c r="U612" i="20"/>
  <c r="U613" i="20"/>
  <c r="U614" i="20"/>
  <c r="U615" i="20"/>
  <c r="U616" i="20"/>
  <c r="U617" i="20"/>
  <c r="U618" i="20"/>
  <c r="U619" i="20"/>
  <c r="U620" i="20"/>
  <c r="U621" i="20"/>
  <c r="U622" i="20"/>
  <c r="U623" i="20"/>
  <c r="U624" i="20"/>
  <c r="U625" i="20"/>
  <c r="U626" i="20"/>
  <c r="U627" i="20"/>
  <c r="U628" i="20"/>
  <c r="U629" i="20"/>
  <c r="U630" i="20"/>
  <c r="U631" i="20"/>
  <c r="U632" i="20"/>
  <c r="U633" i="20"/>
  <c r="U634" i="20"/>
  <c r="U635" i="20"/>
  <c r="U636" i="20"/>
  <c r="U637" i="20"/>
  <c r="U638" i="20"/>
  <c r="U639" i="20"/>
  <c r="U640" i="20"/>
  <c r="U641" i="20"/>
  <c r="U642" i="20"/>
  <c r="U643" i="20"/>
  <c r="U644" i="20"/>
  <c r="U645" i="20"/>
  <c r="U646" i="20"/>
  <c r="U647" i="20"/>
  <c r="U648" i="20"/>
  <c r="U649" i="20"/>
  <c r="U650" i="20"/>
  <c r="U651" i="20"/>
  <c r="U652" i="20"/>
  <c r="U653" i="20"/>
  <c r="U654" i="20"/>
  <c r="U655" i="20"/>
  <c r="U656" i="20"/>
  <c r="U657" i="20"/>
  <c r="U658" i="20"/>
  <c r="U659" i="20"/>
  <c r="U660" i="20"/>
  <c r="U661" i="20"/>
  <c r="U662" i="20"/>
  <c r="U663" i="20"/>
  <c r="U664" i="20"/>
  <c r="U665" i="20"/>
  <c r="U666" i="20"/>
  <c r="U667" i="20"/>
  <c r="U668" i="20"/>
  <c r="U669" i="20"/>
  <c r="U670" i="20"/>
  <c r="U671" i="20"/>
  <c r="U672" i="20"/>
  <c r="U673" i="20"/>
  <c r="U674" i="20"/>
  <c r="U675" i="20"/>
  <c r="U676" i="20"/>
  <c r="U677" i="20"/>
  <c r="U678" i="20"/>
  <c r="U679" i="20"/>
  <c r="U680" i="20"/>
  <c r="U681" i="20"/>
  <c r="U682" i="20"/>
  <c r="U683" i="20"/>
  <c r="U684" i="20"/>
  <c r="U685" i="20"/>
  <c r="U686" i="20"/>
  <c r="U687" i="20"/>
  <c r="U688" i="20"/>
  <c r="U689" i="20"/>
  <c r="U690" i="20"/>
  <c r="U691" i="20"/>
  <c r="U692" i="20"/>
  <c r="U693" i="20"/>
  <c r="U694" i="20"/>
  <c r="U695" i="20"/>
  <c r="U696" i="20"/>
  <c r="U697" i="20"/>
  <c r="U698" i="20"/>
  <c r="U699" i="20"/>
  <c r="U700" i="20"/>
  <c r="U701" i="20"/>
  <c r="U702" i="20"/>
  <c r="U703" i="20"/>
  <c r="U704" i="20"/>
  <c r="U705" i="20"/>
  <c r="U706" i="20"/>
  <c r="U707" i="20"/>
  <c r="U708" i="20"/>
  <c r="U709" i="20"/>
  <c r="U710" i="20"/>
  <c r="U711" i="20"/>
  <c r="U712" i="20"/>
  <c r="U713" i="20"/>
  <c r="U714" i="20"/>
  <c r="U715" i="20"/>
  <c r="U716" i="20"/>
  <c r="U717" i="20"/>
  <c r="U718" i="20"/>
  <c r="U719" i="20"/>
  <c r="U720" i="20"/>
  <c r="U721" i="20"/>
  <c r="U722" i="20"/>
  <c r="U723" i="20"/>
  <c r="U724" i="20"/>
  <c r="U725" i="20"/>
  <c r="U726" i="20"/>
  <c r="U727" i="20"/>
  <c r="U728" i="20"/>
  <c r="U729" i="20"/>
  <c r="U730" i="20"/>
  <c r="U731" i="20"/>
  <c r="U732" i="20"/>
  <c r="U733" i="20"/>
  <c r="U734" i="20"/>
  <c r="U735" i="20"/>
  <c r="U736" i="20"/>
  <c r="U737" i="20"/>
  <c r="U738" i="20"/>
  <c r="U739" i="20"/>
  <c r="U740" i="20"/>
  <c r="U741" i="20"/>
  <c r="U742" i="20"/>
  <c r="U743" i="20"/>
  <c r="U744" i="20"/>
  <c r="U745" i="20"/>
  <c r="U746" i="20"/>
  <c r="U747" i="20"/>
  <c r="U748" i="20"/>
  <c r="U749" i="20"/>
  <c r="U750" i="20"/>
  <c r="U751" i="20"/>
  <c r="U752" i="20"/>
  <c r="U753" i="20"/>
  <c r="U754" i="20"/>
  <c r="U755" i="20"/>
  <c r="U756" i="20"/>
  <c r="U757" i="20"/>
  <c r="U758" i="20"/>
  <c r="U759" i="20"/>
  <c r="U760" i="20"/>
  <c r="U761" i="20"/>
  <c r="U762" i="20"/>
  <c r="U763" i="20"/>
  <c r="U764" i="20"/>
  <c r="U765" i="20"/>
  <c r="U766" i="20"/>
  <c r="U767" i="20"/>
  <c r="U768" i="20"/>
  <c r="U769" i="20"/>
  <c r="U770" i="20"/>
  <c r="U771" i="20"/>
  <c r="U772" i="20"/>
  <c r="U773" i="20"/>
  <c r="U774" i="20"/>
  <c r="U775" i="20"/>
  <c r="U776" i="20"/>
  <c r="U777" i="20"/>
  <c r="U778" i="20"/>
  <c r="U779" i="20"/>
  <c r="U780" i="20"/>
  <c r="U781" i="20"/>
  <c r="U782" i="20"/>
  <c r="U783" i="20"/>
  <c r="U784" i="20"/>
  <c r="U785" i="20"/>
  <c r="U786" i="20"/>
  <c r="U787" i="20"/>
  <c r="U788" i="20"/>
  <c r="U789" i="20"/>
  <c r="U790" i="20"/>
  <c r="U791" i="20"/>
  <c r="U792" i="20"/>
  <c r="U793" i="20"/>
  <c r="U794" i="20"/>
  <c r="U795" i="20"/>
  <c r="U796" i="20"/>
  <c r="U797" i="20"/>
  <c r="U798" i="20"/>
  <c r="U799" i="20"/>
  <c r="U800" i="20"/>
  <c r="U801" i="20"/>
  <c r="U802" i="20"/>
  <c r="U803" i="20"/>
  <c r="U804" i="20"/>
  <c r="U805" i="20"/>
  <c r="U806" i="20"/>
  <c r="U807" i="20"/>
  <c r="U808" i="20"/>
  <c r="U809" i="20"/>
  <c r="U810" i="20"/>
  <c r="U811" i="20"/>
  <c r="U812" i="20"/>
  <c r="U813" i="20"/>
  <c r="U814" i="20"/>
  <c r="U815" i="20"/>
  <c r="U816" i="20"/>
  <c r="U817" i="20"/>
  <c r="U818" i="20"/>
  <c r="U819" i="20"/>
  <c r="U820" i="20"/>
  <c r="U821" i="20"/>
  <c r="U822" i="20"/>
  <c r="U823" i="20"/>
  <c r="U824" i="20"/>
  <c r="U825" i="20"/>
  <c r="U826" i="20"/>
  <c r="U827" i="20"/>
  <c r="U828" i="20"/>
  <c r="U829" i="20"/>
  <c r="U830" i="20"/>
  <c r="U831" i="20"/>
  <c r="U832" i="20"/>
  <c r="U833" i="20"/>
  <c r="U834" i="20"/>
  <c r="U835" i="20"/>
  <c r="U836" i="20"/>
  <c r="U837" i="20"/>
  <c r="U838" i="20"/>
  <c r="U839" i="20"/>
  <c r="U840" i="20"/>
  <c r="U841" i="20"/>
  <c r="U842" i="20"/>
  <c r="U843" i="20"/>
  <c r="U844" i="20"/>
  <c r="U845" i="20"/>
  <c r="U846" i="20"/>
  <c r="U847" i="20"/>
  <c r="U848" i="20"/>
  <c r="U849" i="20"/>
  <c r="U850" i="20"/>
  <c r="U851" i="20"/>
  <c r="U852" i="20"/>
  <c r="U853" i="20"/>
  <c r="U854" i="20"/>
  <c r="U855" i="20"/>
  <c r="U856" i="20"/>
  <c r="U857" i="20"/>
  <c r="U858" i="20"/>
  <c r="U859" i="20"/>
  <c r="U860" i="20"/>
  <c r="U861" i="20"/>
  <c r="U862" i="20"/>
  <c r="U863" i="20"/>
  <c r="U864" i="20"/>
  <c r="U865" i="20"/>
  <c r="U866" i="20"/>
  <c r="U867" i="20"/>
  <c r="U868" i="20"/>
  <c r="U869" i="20"/>
  <c r="U870" i="20"/>
  <c r="U871" i="20"/>
  <c r="U872" i="20"/>
  <c r="U873" i="20"/>
  <c r="U874" i="20"/>
  <c r="U875" i="20"/>
  <c r="U876" i="20"/>
  <c r="U877" i="20"/>
  <c r="U878" i="20"/>
  <c r="U879" i="20"/>
  <c r="U880" i="20"/>
  <c r="U881" i="20"/>
  <c r="U882" i="20"/>
  <c r="U883" i="20"/>
  <c r="U884" i="20"/>
  <c r="U885" i="20"/>
  <c r="U886" i="20"/>
  <c r="U887" i="20"/>
  <c r="U888" i="20"/>
  <c r="U889" i="20"/>
  <c r="U890" i="20"/>
  <c r="U891" i="20"/>
  <c r="U892" i="20"/>
  <c r="U893" i="20"/>
  <c r="U894" i="20"/>
  <c r="U895" i="20"/>
  <c r="U896" i="20"/>
  <c r="U897" i="20"/>
  <c r="U898" i="20"/>
  <c r="U899" i="20"/>
  <c r="U900" i="20"/>
  <c r="U901" i="20"/>
  <c r="U902" i="20"/>
  <c r="U903" i="20"/>
  <c r="U904" i="20"/>
  <c r="U905" i="20"/>
  <c r="U906" i="20"/>
  <c r="U907" i="20"/>
  <c r="U908" i="20"/>
  <c r="U909" i="20"/>
  <c r="U910" i="20"/>
  <c r="U911" i="20"/>
  <c r="U912" i="20"/>
  <c r="U913" i="20"/>
  <c r="U914" i="20"/>
  <c r="U915" i="20"/>
  <c r="U916" i="20"/>
  <c r="U917" i="20"/>
  <c r="U918" i="20"/>
  <c r="U919" i="20"/>
  <c r="U920" i="20"/>
  <c r="U921" i="20"/>
  <c r="U922" i="20"/>
  <c r="U923" i="20"/>
  <c r="U924" i="20"/>
  <c r="U925" i="20"/>
  <c r="U926" i="20"/>
  <c r="U927" i="20"/>
  <c r="U928" i="20"/>
  <c r="U929" i="20"/>
  <c r="U930" i="20"/>
  <c r="U931" i="20"/>
  <c r="U932" i="20"/>
  <c r="U933" i="20"/>
  <c r="U934" i="20"/>
  <c r="U935" i="20"/>
  <c r="U936" i="20"/>
  <c r="U937" i="20"/>
  <c r="U938" i="20"/>
  <c r="U939" i="20"/>
  <c r="U940" i="20"/>
  <c r="U941" i="20"/>
  <c r="U942" i="20"/>
  <c r="U943" i="20"/>
  <c r="U944" i="20"/>
  <c r="U945" i="20"/>
  <c r="U946" i="20"/>
  <c r="U947" i="20"/>
  <c r="U948" i="20"/>
  <c r="U949" i="20"/>
  <c r="U950" i="20"/>
  <c r="U951" i="20"/>
  <c r="U952" i="20"/>
  <c r="U953" i="20"/>
  <c r="U954" i="20"/>
  <c r="U955" i="20"/>
  <c r="U956" i="20"/>
  <c r="U957" i="20"/>
  <c r="U958" i="20"/>
  <c r="U959" i="20"/>
  <c r="U960" i="20"/>
  <c r="U961" i="20"/>
  <c r="U962" i="20"/>
  <c r="U963" i="20"/>
  <c r="U964" i="20"/>
  <c r="U965" i="20"/>
  <c r="U966" i="20"/>
  <c r="U967" i="20"/>
  <c r="U968" i="20"/>
  <c r="U969" i="20"/>
  <c r="U970" i="20"/>
  <c r="U971" i="20"/>
  <c r="U972" i="20"/>
  <c r="U973" i="20"/>
  <c r="U974" i="20"/>
  <c r="U975" i="20"/>
  <c r="U976" i="20"/>
  <c r="U977" i="20"/>
  <c r="U978" i="20"/>
  <c r="U979" i="20"/>
  <c r="U980" i="20"/>
  <c r="U981" i="20"/>
  <c r="U982" i="20"/>
  <c r="U983" i="20"/>
  <c r="U984" i="20"/>
  <c r="U985" i="20"/>
  <c r="U986" i="20"/>
  <c r="U987" i="20"/>
  <c r="U988" i="20"/>
  <c r="U989" i="20"/>
  <c r="U990" i="20"/>
  <c r="U991" i="20"/>
  <c r="U992" i="20"/>
  <c r="U993" i="20"/>
  <c r="U994" i="20"/>
  <c r="U995" i="20"/>
  <c r="U996" i="20"/>
  <c r="U997" i="20"/>
  <c r="U998" i="20"/>
  <c r="U999" i="20"/>
  <c r="U1000" i="20"/>
  <c r="U1001" i="20"/>
  <c r="U1002" i="20"/>
  <c r="U1003" i="20"/>
  <c r="U1004" i="20"/>
  <c r="U1005" i="20"/>
  <c r="U1006" i="20"/>
  <c r="U1007" i="20"/>
  <c r="U1008" i="20"/>
  <c r="U1009" i="20"/>
  <c r="U1010" i="20"/>
  <c r="U1011" i="20"/>
  <c r="U1012" i="20"/>
  <c r="U1013" i="20"/>
  <c r="U1014" i="20"/>
  <c r="U1015" i="20"/>
  <c r="U1016" i="20"/>
  <c r="U1017" i="20"/>
  <c r="U1018" i="20"/>
  <c r="U1019" i="20"/>
  <c r="U1020" i="20"/>
  <c r="U1021" i="20"/>
  <c r="U1022" i="20"/>
  <c r="U1023" i="20"/>
  <c r="U1024" i="20"/>
  <c r="U1025" i="20"/>
  <c r="U1026" i="20"/>
  <c r="U1027" i="20"/>
  <c r="U1028" i="20"/>
  <c r="U1029" i="20"/>
  <c r="U1030" i="20"/>
  <c r="U1031" i="20"/>
  <c r="U1032" i="20"/>
  <c r="U1033" i="20"/>
  <c r="U1034" i="20"/>
  <c r="U1035" i="20"/>
  <c r="U1036" i="20"/>
  <c r="U1037" i="20"/>
  <c r="U1038" i="20"/>
  <c r="U1039" i="20"/>
  <c r="U1040" i="20"/>
  <c r="U1041" i="20"/>
  <c r="U1042" i="20"/>
  <c r="U1043" i="20"/>
  <c r="U1044" i="20"/>
  <c r="U1045" i="20"/>
  <c r="U1046" i="20"/>
  <c r="U1047" i="20"/>
  <c r="U1048" i="20"/>
  <c r="U1049" i="20"/>
  <c r="U1050" i="20"/>
  <c r="U1051" i="20"/>
  <c r="U1052" i="20"/>
  <c r="U1053" i="20"/>
  <c r="U1054" i="20"/>
  <c r="U1055" i="20"/>
  <c r="U1056" i="20"/>
  <c r="U1057" i="20"/>
  <c r="U1058" i="20"/>
  <c r="U1059" i="20"/>
  <c r="U1060" i="20"/>
  <c r="U1061" i="20"/>
  <c r="U1062" i="20"/>
  <c r="U1063" i="20"/>
  <c r="U1064" i="20"/>
  <c r="U1065" i="20"/>
  <c r="U1066" i="20"/>
  <c r="U1067" i="20"/>
  <c r="U1068" i="20"/>
  <c r="U1069" i="20"/>
  <c r="U1070" i="20"/>
  <c r="U1071" i="20"/>
  <c r="U1072" i="20"/>
  <c r="U1073" i="20"/>
  <c r="U1074" i="20"/>
  <c r="U1075" i="20"/>
  <c r="U1076" i="20"/>
  <c r="U1077" i="20"/>
  <c r="U1078" i="20"/>
  <c r="U1079" i="20"/>
  <c r="U1080" i="20"/>
  <c r="U1081" i="20"/>
  <c r="U1082" i="20"/>
  <c r="U1083" i="20"/>
  <c r="U1084" i="20"/>
  <c r="U1085" i="20"/>
  <c r="U1086" i="20"/>
  <c r="U1087" i="20"/>
  <c r="U1088" i="20"/>
  <c r="U1089" i="20"/>
  <c r="U1090" i="20"/>
  <c r="U1091" i="20"/>
  <c r="U1092" i="20"/>
  <c r="U1093" i="20"/>
  <c r="U1094" i="20"/>
  <c r="U1095" i="20"/>
  <c r="U1096" i="20"/>
  <c r="U8" i="20"/>
  <c r="T8" i="20"/>
  <c r="T9" i="20" s="1"/>
  <c r="T10" i="20" s="1"/>
  <c r="T11" i="20" s="1"/>
  <c r="T12" i="20" s="1"/>
  <c r="T13" i="20" s="1"/>
  <c r="T14" i="20" s="1"/>
  <c r="T15" i="20" s="1"/>
  <c r="T16" i="20" s="1"/>
  <c r="T17" i="20" s="1"/>
  <c r="T18" i="20" s="1"/>
  <c r="T19" i="20" s="1"/>
  <c r="T20" i="20" s="1"/>
  <c r="T21" i="20" s="1"/>
  <c r="T22" i="20" s="1"/>
  <c r="T23" i="20" s="1"/>
  <c r="T24" i="20" s="1"/>
  <c r="T25" i="20" s="1"/>
  <c r="T26" i="20" s="1"/>
  <c r="T27" i="20" s="1"/>
  <c r="T28" i="20" s="1"/>
  <c r="T29" i="20" s="1"/>
  <c r="T30" i="20" s="1"/>
  <c r="T31" i="20" s="1"/>
  <c r="T32" i="20" s="1"/>
  <c r="T33" i="20" s="1"/>
  <c r="T34" i="20" s="1"/>
  <c r="T35" i="20" s="1"/>
  <c r="T36" i="20" s="1"/>
  <c r="T37" i="20" s="1"/>
  <c r="T38" i="20" s="1"/>
  <c r="T39" i="20" s="1"/>
  <c r="T40" i="20" s="1"/>
  <c r="T41" i="20" s="1"/>
  <c r="T42" i="20" s="1"/>
  <c r="T43" i="20" s="1"/>
  <c r="T44" i="20" s="1"/>
  <c r="T45" i="20" s="1"/>
  <c r="T46" i="20" s="1"/>
  <c r="T47" i="20" s="1"/>
  <c r="T48" i="20" s="1"/>
  <c r="T49" i="20" s="1"/>
  <c r="T50" i="20" s="1"/>
  <c r="T51" i="20" s="1"/>
  <c r="T52" i="20" s="1"/>
  <c r="T53" i="20" s="1"/>
  <c r="T54" i="20" s="1"/>
  <c r="T55" i="20" s="1"/>
  <c r="T56" i="20" s="1"/>
  <c r="T57" i="20" s="1"/>
  <c r="T58" i="20" s="1"/>
  <c r="T59" i="20" s="1"/>
  <c r="T60" i="20" s="1"/>
  <c r="T61" i="20" s="1"/>
  <c r="T62" i="20" s="1"/>
  <c r="T63" i="20" s="1"/>
  <c r="T64" i="20" s="1"/>
  <c r="T65" i="20" s="1"/>
  <c r="T66" i="20" s="1"/>
  <c r="T67" i="20" s="1"/>
  <c r="T68" i="20" s="1"/>
  <c r="T69" i="20" s="1"/>
  <c r="T70" i="20" s="1"/>
  <c r="T71" i="20" s="1"/>
  <c r="T72" i="20" s="1"/>
  <c r="T73" i="20" s="1"/>
  <c r="T74" i="20" s="1"/>
  <c r="T75" i="20" s="1"/>
  <c r="T76" i="20" s="1"/>
  <c r="T77" i="20" s="1"/>
  <c r="T78" i="20" s="1"/>
  <c r="T79" i="20" s="1"/>
  <c r="T80" i="20" s="1"/>
  <c r="T81" i="20" s="1"/>
  <c r="T82" i="20" s="1"/>
  <c r="T83" i="20" s="1"/>
  <c r="T84" i="20" s="1"/>
  <c r="T85" i="20" s="1"/>
  <c r="T86" i="20" s="1"/>
  <c r="T87" i="20" s="1"/>
  <c r="T88" i="20" s="1"/>
  <c r="T89" i="20" s="1"/>
  <c r="T90" i="20" s="1"/>
  <c r="T91" i="20" s="1"/>
  <c r="T92" i="20" s="1"/>
  <c r="T93" i="20" s="1"/>
  <c r="T94" i="20" s="1"/>
  <c r="T95" i="20" s="1"/>
  <c r="T96" i="20" s="1"/>
  <c r="T97" i="20" s="1"/>
  <c r="T98" i="20" s="1"/>
  <c r="T99" i="20" s="1"/>
  <c r="T100" i="20" s="1"/>
  <c r="T101" i="20" s="1"/>
  <c r="T102" i="20" s="1"/>
  <c r="T103" i="20" s="1"/>
  <c r="T104" i="20" s="1"/>
  <c r="T105" i="20" s="1"/>
  <c r="T106" i="20" s="1"/>
  <c r="T107" i="20" s="1"/>
  <c r="T108" i="20" s="1"/>
  <c r="T109" i="20" s="1"/>
  <c r="T110" i="20" s="1"/>
  <c r="T111" i="20" s="1"/>
  <c r="T112" i="20" s="1"/>
  <c r="T113" i="20" s="1"/>
  <c r="T114" i="20" s="1"/>
  <c r="T115" i="20" s="1"/>
  <c r="T116" i="20" s="1"/>
  <c r="T117" i="20" s="1"/>
  <c r="T118" i="20" s="1"/>
  <c r="T119" i="20" s="1"/>
  <c r="T120" i="20" s="1"/>
  <c r="T121" i="20" s="1"/>
  <c r="T122" i="20" s="1"/>
  <c r="T123" i="20" s="1"/>
  <c r="T124" i="20" s="1"/>
  <c r="T125" i="20" s="1"/>
  <c r="T126" i="20" s="1"/>
  <c r="T127" i="20" s="1"/>
  <c r="T128" i="20" s="1"/>
  <c r="T129" i="20" s="1"/>
  <c r="T130" i="20" s="1"/>
  <c r="T131" i="20" s="1"/>
  <c r="T132" i="20" s="1"/>
  <c r="T133" i="20" s="1"/>
  <c r="T134" i="20" s="1"/>
  <c r="T135" i="20" s="1"/>
  <c r="T136" i="20" s="1"/>
  <c r="T137" i="20" s="1"/>
  <c r="T138" i="20" s="1"/>
  <c r="T139" i="20" s="1"/>
  <c r="T140" i="20" s="1"/>
  <c r="T141" i="20" s="1"/>
  <c r="T142" i="20" s="1"/>
  <c r="T143" i="20" s="1"/>
  <c r="T144" i="20" s="1"/>
  <c r="T145" i="20" s="1"/>
  <c r="T146" i="20" s="1"/>
  <c r="T147" i="20" s="1"/>
  <c r="T148" i="20" s="1"/>
  <c r="T149" i="20" s="1"/>
  <c r="T150" i="20" s="1"/>
  <c r="T151" i="20" s="1"/>
  <c r="T152" i="20" s="1"/>
  <c r="T153" i="20" s="1"/>
  <c r="T154" i="20" s="1"/>
  <c r="T155" i="20" s="1"/>
  <c r="T156" i="20" s="1"/>
  <c r="T157" i="20" s="1"/>
  <c r="T158" i="20" s="1"/>
  <c r="T159" i="20" s="1"/>
  <c r="T160" i="20" s="1"/>
  <c r="T161" i="20" s="1"/>
  <c r="T162" i="20" s="1"/>
  <c r="T163" i="20" s="1"/>
  <c r="T164" i="20" s="1"/>
  <c r="T165" i="20" s="1"/>
  <c r="T166" i="20" s="1"/>
  <c r="T167" i="20" s="1"/>
  <c r="T168" i="20" s="1"/>
  <c r="T169" i="20" s="1"/>
  <c r="T170" i="20" s="1"/>
  <c r="T171" i="20" s="1"/>
  <c r="T172" i="20" s="1"/>
  <c r="T173" i="20" s="1"/>
  <c r="T174" i="20" s="1"/>
  <c r="T175" i="20" s="1"/>
  <c r="T176" i="20" s="1"/>
  <c r="T177" i="20" s="1"/>
  <c r="T178" i="20" s="1"/>
  <c r="T179" i="20" s="1"/>
  <c r="T180" i="20" s="1"/>
  <c r="T181" i="20" s="1"/>
  <c r="T182" i="20" s="1"/>
  <c r="T183" i="20" s="1"/>
  <c r="T184" i="20" s="1"/>
  <c r="T185" i="20" s="1"/>
  <c r="T186" i="20" s="1"/>
  <c r="T187" i="20" s="1"/>
  <c r="T188" i="20" s="1"/>
  <c r="T189" i="20" s="1"/>
  <c r="T190" i="20" s="1"/>
  <c r="T191" i="20" s="1"/>
  <c r="T192" i="20" s="1"/>
  <c r="T193" i="20" s="1"/>
  <c r="T194" i="20" s="1"/>
  <c r="T195" i="20" s="1"/>
  <c r="T196" i="20" s="1"/>
  <c r="T197" i="20" s="1"/>
  <c r="T198" i="20" s="1"/>
  <c r="T199" i="20" s="1"/>
  <c r="T200" i="20" s="1"/>
  <c r="T201" i="20" s="1"/>
  <c r="T202" i="20" s="1"/>
  <c r="T203" i="20" s="1"/>
  <c r="T204" i="20" s="1"/>
  <c r="T205" i="20" s="1"/>
  <c r="T206" i="20" s="1"/>
  <c r="T207" i="20" s="1"/>
  <c r="T208" i="20" s="1"/>
  <c r="T209" i="20" s="1"/>
  <c r="T210" i="20" s="1"/>
  <c r="T211" i="20" s="1"/>
  <c r="T212" i="20" s="1"/>
  <c r="T213" i="20" s="1"/>
  <c r="T214" i="20" s="1"/>
  <c r="T215" i="20" s="1"/>
  <c r="T216" i="20" s="1"/>
  <c r="T217" i="20" s="1"/>
  <c r="T218" i="20" s="1"/>
  <c r="T219" i="20" s="1"/>
  <c r="T220" i="20" s="1"/>
  <c r="T221" i="20" s="1"/>
  <c r="T222" i="20" s="1"/>
  <c r="T223" i="20" s="1"/>
  <c r="T224" i="20" s="1"/>
  <c r="T225" i="20" s="1"/>
  <c r="T226" i="20" s="1"/>
  <c r="T227" i="20" s="1"/>
  <c r="T228" i="20" s="1"/>
  <c r="T229" i="20" s="1"/>
  <c r="T230" i="20" s="1"/>
  <c r="T231" i="20" s="1"/>
  <c r="T232" i="20" s="1"/>
  <c r="T233" i="20" s="1"/>
  <c r="T234" i="20" s="1"/>
  <c r="T235" i="20" s="1"/>
  <c r="T236" i="20" s="1"/>
  <c r="T237" i="20" s="1"/>
  <c r="T238" i="20" s="1"/>
  <c r="T239" i="20" s="1"/>
  <c r="T240" i="20" s="1"/>
  <c r="T241" i="20" s="1"/>
  <c r="T242" i="20" s="1"/>
  <c r="T243" i="20" s="1"/>
  <c r="T244" i="20" s="1"/>
  <c r="T245" i="20" s="1"/>
  <c r="T246" i="20" s="1"/>
  <c r="T247" i="20" s="1"/>
  <c r="T248" i="20" s="1"/>
  <c r="T249" i="20" s="1"/>
  <c r="T250" i="20" s="1"/>
  <c r="T251" i="20" s="1"/>
  <c r="T252" i="20" s="1"/>
  <c r="T253" i="20" s="1"/>
  <c r="T254" i="20" s="1"/>
  <c r="T255" i="20" s="1"/>
  <c r="T256" i="20" s="1"/>
  <c r="T257" i="20" s="1"/>
  <c r="T258" i="20" s="1"/>
  <c r="T259" i="20" s="1"/>
  <c r="T260" i="20" s="1"/>
  <c r="T261" i="20" s="1"/>
  <c r="T262" i="20" s="1"/>
  <c r="T263" i="20" s="1"/>
  <c r="T264" i="20" s="1"/>
  <c r="T265" i="20" s="1"/>
  <c r="T266" i="20" s="1"/>
  <c r="T267" i="20" s="1"/>
  <c r="T268" i="20" s="1"/>
  <c r="T269" i="20" s="1"/>
  <c r="T270" i="20" s="1"/>
  <c r="T271" i="20" s="1"/>
  <c r="T272" i="20" s="1"/>
  <c r="T273" i="20" s="1"/>
  <c r="T274" i="20" s="1"/>
  <c r="T275" i="20" s="1"/>
  <c r="T276" i="20" s="1"/>
  <c r="T277" i="20" s="1"/>
  <c r="T278" i="20" s="1"/>
  <c r="T279" i="20" s="1"/>
  <c r="T280" i="20" s="1"/>
  <c r="T281" i="20" s="1"/>
  <c r="T282" i="20" s="1"/>
  <c r="T283" i="20" s="1"/>
  <c r="T284" i="20" s="1"/>
  <c r="T285" i="20" s="1"/>
  <c r="T286" i="20" s="1"/>
  <c r="T287" i="20" s="1"/>
  <c r="T288" i="20" s="1"/>
  <c r="T289" i="20" s="1"/>
  <c r="T290" i="20" s="1"/>
  <c r="T291" i="20" s="1"/>
  <c r="T292" i="20" s="1"/>
  <c r="T293" i="20" s="1"/>
  <c r="T294" i="20" s="1"/>
  <c r="T295" i="20" s="1"/>
  <c r="T296" i="20" s="1"/>
  <c r="T297" i="20" s="1"/>
  <c r="T298" i="20" s="1"/>
  <c r="T299" i="20" s="1"/>
  <c r="T300" i="20" s="1"/>
  <c r="T301" i="20" s="1"/>
  <c r="T302" i="20" s="1"/>
  <c r="T303" i="20" s="1"/>
  <c r="T304" i="20" s="1"/>
  <c r="T305" i="20" s="1"/>
  <c r="T306" i="20" s="1"/>
  <c r="T307" i="20" s="1"/>
  <c r="T308" i="20" s="1"/>
  <c r="T309" i="20" s="1"/>
  <c r="T310" i="20" s="1"/>
  <c r="T311" i="20" s="1"/>
  <c r="T312" i="20" s="1"/>
  <c r="T313" i="20" s="1"/>
  <c r="T314" i="20" s="1"/>
  <c r="T315" i="20" s="1"/>
  <c r="T316" i="20" s="1"/>
  <c r="T317" i="20" s="1"/>
  <c r="T318" i="20" s="1"/>
  <c r="T319" i="20" s="1"/>
  <c r="T320" i="20" s="1"/>
  <c r="T321" i="20" s="1"/>
  <c r="T322" i="20" s="1"/>
  <c r="T323" i="20" s="1"/>
  <c r="T324" i="20" s="1"/>
  <c r="T325" i="20" s="1"/>
  <c r="T326" i="20" s="1"/>
  <c r="T327" i="20" s="1"/>
  <c r="T328" i="20" s="1"/>
  <c r="T329" i="20" s="1"/>
  <c r="T330" i="20" s="1"/>
  <c r="T331" i="20" s="1"/>
  <c r="T332" i="20" s="1"/>
  <c r="T333" i="20" s="1"/>
  <c r="T334" i="20" s="1"/>
  <c r="T335" i="20" s="1"/>
  <c r="T336" i="20" s="1"/>
  <c r="T337" i="20" s="1"/>
  <c r="T338" i="20" s="1"/>
  <c r="T339" i="20" s="1"/>
  <c r="T340" i="20" s="1"/>
  <c r="T341" i="20" s="1"/>
  <c r="T342" i="20" s="1"/>
  <c r="T343" i="20" s="1"/>
  <c r="T344" i="20" s="1"/>
  <c r="T345" i="20" s="1"/>
  <c r="T346" i="20" s="1"/>
  <c r="T347" i="20" s="1"/>
  <c r="T348" i="20" s="1"/>
  <c r="T349" i="20" s="1"/>
  <c r="T350" i="20" s="1"/>
  <c r="T351" i="20" s="1"/>
  <c r="T352" i="20" s="1"/>
  <c r="T353" i="20" s="1"/>
  <c r="T354" i="20" s="1"/>
  <c r="T355" i="20" s="1"/>
  <c r="T356" i="20" s="1"/>
  <c r="T357" i="20" s="1"/>
  <c r="T358" i="20" s="1"/>
  <c r="T359" i="20" s="1"/>
  <c r="T360" i="20" s="1"/>
  <c r="T361" i="20" s="1"/>
  <c r="T362" i="20" s="1"/>
  <c r="T363" i="20" s="1"/>
  <c r="T364" i="20" s="1"/>
  <c r="T365" i="20" s="1"/>
  <c r="T366" i="20" s="1"/>
  <c r="T367" i="20" s="1"/>
  <c r="T368" i="20" s="1"/>
  <c r="T369" i="20" s="1"/>
  <c r="T370" i="20" s="1"/>
  <c r="T371" i="20" s="1"/>
  <c r="T372" i="20" s="1"/>
  <c r="T373" i="20" s="1"/>
  <c r="T374" i="20" s="1"/>
  <c r="T375" i="20" s="1"/>
  <c r="T376" i="20" s="1"/>
  <c r="T377" i="20" s="1"/>
  <c r="T378" i="20" s="1"/>
  <c r="T379" i="20" s="1"/>
  <c r="T380" i="20" s="1"/>
  <c r="T381" i="20" s="1"/>
  <c r="T382" i="20" s="1"/>
  <c r="T383" i="20" s="1"/>
  <c r="T384" i="20" s="1"/>
  <c r="T385" i="20" s="1"/>
  <c r="T386" i="20" s="1"/>
  <c r="T387" i="20" s="1"/>
  <c r="T388" i="20" s="1"/>
  <c r="T389" i="20" s="1"/>
  <c r="T390" i="20" s="1"/>
  <c r="T391" i="20" s="1"/>
  <c r="T392" i="20" s="1"/>
  <c r="T393" i="20" s="1"/>
  <c r="T394" i="20" s="1"/>
  <c r="T395" i="20" s="1"/>
  <c r="T396" i="20" s="1"/>
  <c r="T397" i="20" s="1"/>
  <c r="T398" i="20" s="1"/>
  <c r="T399" i="20" s="1"/>
  <c r="T400" i="20" s="1"/>
  <c r="T401" i="20" s="1"/>
  <c r="T402" i="20" s="1"/>
  <c r="T403" i="20" s="1"/>
  <c r="T404" i="20" s="1"/>
  <c r="T405" i="20" s="1"/>
  <c r="T406" i="20" s="1"/>
  <c r="T407" i="20" s="1"/>
  <c r="T408" i="20" s="1"/>
  <c r="T409" i="20" s="1"/>
  <c r="T410" i="20" s="1"/>
  <c r="T411" i="20" s="1"/>
  <c r="T412" i="20" s="1"/>
  <c r="T413" i="20" s="1"/>
  <c r="T414" i="20" s="1"/>
  <c r="T415" i="20" s="1"/>
  <c r="T416" i="20" s="1"/>
  <c r="T417" i="20" s="1"/>
  <c r="T418" i="20" s="1"/>
  <c r="T419" i="20" s="1"/>
  <c r="T420" i="20" s="1"/>
  <c r="T421" i="20" s="1"/>
  <c r="T422" i="20" s="1"/>
  <c r="T423" i="20" s="1"/>
  <c r="T424" i="20" s="1"/>
  <c r="T425" i="20" s="1"/>
  <c r="T426" i="20" s="1"/>
  <c r="T427" i="20" s="1"/>
  <c r="T428" i="20" s="1"/>
  <c r="T429" i="20" s="1"/>
  <c r="T430" i="20" s="1"/>
  <c r="T431" i="20" s="1"/>
  <c r="T432" i="20" s="1"/>
  <c r="T433" i="20" s="1"/>
  <c r="T434" i="20" s="1"/>
  <c r="T435" i="20" s="1"/>
  <c r="T436" i="20" s="1"/>
  <c r="T437" i="20" s="1"/>
  <c r="T438" i="20" s="1"/>
  <c r="T439" i="20" s="1"/>
  <c r="T440" i="20" s="1"/>
  <c r="T441" i="20" s="1"/>
  <c r="T442" i="20" s="1"/>
  <c r="T443" i="20" s="1"/>
  <c r="T444" i="20" s="1"/>
  <c r="T445" i="20" s="1"/>
  <c r="T446" i="20" s="1"/>
  <c r="T447" i="20" s="1"/>
  <c r="T448" i="20" s="1"/>
  <c r="T449" i="20" s="1"/>
  <c r="T450" i="20" s="1"/>
  <c r="T451" i="20" s="1"/>
  <c r="T452" i="20" s="1"/>
  <c r="T453" i="20" s="1"/>
  <c r="T454" i="20" s="1"/>
  <c r="T455" i="20" s="1"/>
  <c r="T456" i="20" s="1"/>
  <c r="T457" i="20" s="1"/>
  <c r="T458" i="20" s="1"/>
  <c r="T459" i="20" s="1"/>
  <c r="T460" i="20" s="1"/>
  <c r="T461" i="20" s="1"/>
  <c r="T462" i="20" s="1"/>
  <c r="T463" i="20" s="1"/>
  <c r="T464" i="20" s="1"/>
  <c r="T465" i="20" s="1"/>
  <c r="T466" i="20" s="1"/>
  <c r="T467" i="20" s="1"/>
  <c r="T468" i="20" s="1"/>
  <c r="T469" i="20" s="1"/>
  <c r="T470" i="20" s="1"/>
  <c r="T471" i="20" s="1"/>
  <c r="T472" i="20" s="1"/>
  <c r="T473" i="20" s="1"/>
  <c r="T474" i="20" s="1"/>
  <c r="T475" i="20" s="1"/>
  <c r="T476" i="20" s="1"/>
  <c r="T477" i="20" s="1"/>
  <c r="T478" i="20" s="1"/>
  <c r="T479" i="20" s="1"/>
  <c r="T480" i="20" s="1"/>
  <c r="T481" i="20" s="1"/>
  <c r="T482" i="20" s="1"/>
  <c r="T483" i="20" s="1"/>
  <c r="T484" i="20" s="1"/>
  <c r="T485" i="20" s="1"/>
  <c r="T486" i="20" s="1"/>
  <c r="T487" i="20" s="1"/>
  <c r="T488" i="20" s="1"/>
  <c r="T489" i="20" s="1"/>
  <c r="T490" i="20" s="1"/>
  <c r="T491" i="20" s="1"/>
  <c r="T492" i="20" s="1"/>
  <c r="T493" i="20" s="1"/>
  <c r="T494" i="20" s="1"/>
  <c r="T495" i="20" s="1"/>
  <c r="T496" i="20" s="1"/>
  <c r="T497" i="20" s="1"/>
  <c r="T498" i="20" s="1"/>
  <c r="T499" i="20" s="1"/>
  <c r="T500" i="20" s="1"/>
  <c r="T501" i="20" s="1"/>
  <c r="T502" i="20" s="1"/>
  <c r="T503" i="20" s="1"/>
  <c r="T504" i="20" s="1"/>
  <c r="T505" i="20" s="1"/>
  <c r="T506" i="20" s="1"/>
  <c r="T507" i="20" s="1"/>
  <c r="T508" i="20" s="1"/>
  <c r="T509" i="20" s="1"/>
  <c r="T510" i="20" s="1"/>
  <c r="T511" i="20" s="1"/>
  <c r="T512" i="20" s="1"/>
  <c r="T513" i="20" s="1"/>
  <c r="T514" i="20" s="1"/>
  <c r="T515" i="20" s="1"/>
  <c r="T516" i="20" s="1"/>
  <c r="T517" i="20" s="1"/>
  <c r="T518" i="20" s="1"/>
  <c r="T519" i="20" s="1"/>
  <c r="T520" i="20" s="1"/>
  <c r="T521" i="20" s="1"/>
  <c r="T522" i="20" s="1"/>
  <c r="T523" i="20" s="1"/>
  <c r="T524" i="20" s="1"/>
  <c r="T525" i="20" s="1"/>
  <c r="T526" i="20" s="1"/>
  <c r="T527" i="20" s="1"/>
  <c r="T528" i="20" s="1"/>
  <c r="T529" i="20" s="1"/>
  <c r="T530" i="20" s="1"/>
  <c r="T531" i="20" s="1"/>
  <c r="T532" i="20" s="1"/>
  <c r="T533" i="20" s="1"/>
  <c r="T534" i="20" s="1"/>
  <c r="T535" i="20" s="1"/>
  <c r="T536" i="20" s="1"/>
  <c r="T537" i="20" s="1"/>
  <c r="T538" i="20" s="1"/>
  <c r="T539" i="20" s="1"/>
  <c r="T540" i="20" s="1"/>
  <c r="T541" i="20" s="1"/>
  <c r="T542" i="20" s="1"/>
  <c r="T543" i="20" s="1"/>
  <c r="T544" i="20" s="1"/>
  <c r="T545" i="20" s="1"/>
  <c r="T546" i="20" s="1"/>
  <c r="T547" i="20" s="1"/>
  <c r="T548" i="20" s="1"/>
  <c r="T549" i="20" s="1"/>
  <c r="T550" i="20" s="1"/>
  <c r="T551" i="20" s="1"/>
  <c r="T552" i="20" s="1"/>
  <c r="T553" i="20" s="1"/>
  <c r="T554" i="20" s="1"/>
  <c r="T555" i="20" s="1"/>
  <c r="T556" i="20" s="1"/>
  <c r="T557" i="20" s="1"/>
  <c r="T558" i="20" s="1"/>
  <c r="T559" i="20" s="1"/>
  <c r="T560" i="20" s="1"/>
  <c r="T561" i="20" s="1"/>
  <c r="T562" i="20" s="1"/>
  <c r="T563" i="20" s="1"/>
  <c r="T564" i="20" s="1"/>
  <c r="T565" i="20" s="1"/>
  <c r="T566" i="20" s="1"/>
  <c r="T567" i="20" s="1"/>
  <c r="T568" i="20" s="1"/>
  <c r="T569" i="20" s="1"/>
  <c r="T570" i="20" s="1"/>
  <c r="T571" i="20" s="1"/>
  <c r="T572" i="20" s="1"/>
  <c r="T573" i="20" s="1"/>
  <c r="T574" i="20" s="1"/>
  <c r="T575" i="20" s="1"/>
  <c r="T576" i="20" s="1"/>
  <c r="T577" i="20" s="1"/>
  <c r="T578" i="20" s="1"/>
  <c r="T579" i="20" s="1"/>
  <c r="T580" i="20" s="1"/>
  <c r="T581" i="20" s="1"/>
  <c r="T582" i="20" s="1"/>
  <c r="T583" i="20" s="1"/>
  <c r="T584" i="20" s="1"/>
  <c r="T585" i="20" s="1"/>
  <c r="T586" i="20" s="1"/>
  <c r="T587" i="20" s="1"/>
  <c r="T588" i="20" s="1"/>
  <c r="T589" i="20" s="1"/>
  <c r="T590" i="20" s="1"/>
  <c r="T591" i="20" s="1"/>
  <c r="T592" i="20" s="1"/>
  <c r="T593" i="20" s="1"/>
  <c r="T594" i="20" s="1"/>
  <c r="T595" i="20" s="1"/>
  <c r="T596" i="20" s="1"/>
  <c r="T597" i="20" s="1"/>
  <c r="T598" i="20" s="1"/>
  <c r="T599" i="20" s="1"/>
  <c r="T600" i="20" s="1"/>
  <c r="T601" i="20" s="1"/>
  <c r="T602" i="20" s="1"/>
  <c r="T603" i="20" s="1"/>
  <c r="T604" i="20" s="1"/>
  <c r="T605" i="20" s="1"/>
  <c r="T606" i="20" s="1"/>
  <c r="T607" i="20" s="1"/>
  <c r="T608" i="20" s="1"/>
  <c r="T609" i="20" s="1"/>
  <c r="T610" i="20" s="1"/>
  <c r="T611" i="20" s="1"/>
  <c r="T612" i="20" s="1"/>
  <c r="T613" i="20" s="1"/>
  <c r="T614" i="20" s="1"/>
  <c r="T615" i="20" s="1"/>
  <c r="T616" i="20" s="1"/>
  <c r="T617" i="20" s="1"/>
  <c r="T618" i="20" s="1"/>
  <c r="T619" i="20" s="1"/>
  <c r="T620" i="20" s="1"/>
  <c r="T621" i="20" s="1"/>
  <c r="T622" i="20" s="1"/>
  <c r="T623" i="20" s="1"/>
  <c r="T624" i="20" s="1"/>
  <c r="T625" i="20" s="1"/>
  <c r="T626" i="20" s="1"/>
  <c r="T627" i="20" s="1"/>
  <c r="T628" i="20" s="1"/>
  <c r="T629" i="20" s="1"/>
  <c r="T630" i="20" s="1"/>
  <c r="T631" i="20" s="1"/>
  <c r="T632" i="20" s="1"/>
  <c r="T633" i="20" s="1"/>
  <c r="T634" i="20" s="1"/>
  <c r="T635" i="20" s="1"/>
  <c r="T636" i="20" s="1"/>
  <c r="T637" i="20" s="1"/>
  <c r="T638" i="20" s="1"/>
  <c r="T639" i="20" s="1"/>
  <c r="T640" i="20" s="1"/>
  <c r="T641" i="20" s="1"/>
  <c r="T642" i="20" s="1"/>
  <c r="T643" i="20" s="1"/>
  <c r="T644" i="20" s="1"/>
  <c r="T645" i="20" s="1"/>
  <c r="T646" i="20" s="1"/>
  <c r="T647" i="20" s="1"/>
  <c r="T648" i="20" s="1"/>
  <c r="T649" i="20" s="1"/>
  <c r="T650" i="20" s="1"/>
  <c r="T651" i="20" s="1"/>
  <c r="T652" i="20" s="1"/>
  <c r="T653" i="20" s="1"/>
  <c r="T654" i="20" s="1"/>
  <c r="T655" i="20" s="1"/>
  <c r="T656" i="20" s="1"/>
  <c r="T657" i="20" s="1"/>
  <c r="T658" i="20" s="1"/>
  <c r="T659" i="20" s="1"/>
  <c r="T660" i="20" s="1"/>
  <c r="T661" i="20" s="1"/>
  <c r="T662" i="20" s="1"/>
  <c r="T663" i="20" s="1"/>
  <c r="T664" i="20" s="1"/>
  <c r="T665" i="20" s="1"/>
  <c r="T666" i="20" s="1"/>
  <c r="T667" i="20" s="1"/>
  <c r="T668" i="20" s="1"/>
  <c r="T669" i="20" s="1"/>
  <c r="T670" i="20" s="1"/>
  <c r="T671" i="20" s="1"/>
  <c r="T672" i="20" s="1"/>
  <c r="T673" i="20" s="1"/>
  <c r="T674" i="20" s="1"/>
  <c r="T675" i="20" s="1"/>
  <c r="T676" i="20" s="1"/>
  <c r="T677" i="20" s="1"/>
  <c r="T678" i="20" s="1"/>
  <c r="T679" i="20" s="1"/>
  <c r="T680" i="20" s="1"/>
  <c r="T681" i="20" s="1"/>
  <c r="T682" i="20" s="1"/>
  <c r="T683" i="20" s="1"/>
  <c r="T684" i="20" s="1"/>
  <c r="T685" i="20" s="1"/>
  <c r="T686" i="20" s="1"/>
  <c r="T687" i="20" s="1"/>
  <c r="T688" i="20" s="1"/>
  <c r="T689" i="20" s="1"/>
  <c r="T690" i="20" s="1"/>
  <c r="T691" i="20" s="1"/>
  <c r="T692" i="20" s="1"/>
  <c r="T693" i="20" s="1"/>
  <c r="T694" i="20" s="1"/>
  <c r="T695" i="20" s="1"/>
  <c r="T696" i="20" s="1"/>
  <c r="T697" i="20" s="1"/>
  <c r="T698" i="20" s="1"/>
  <c r="T699" i="20" s="1"/>
  <c r="T700" i="20" s="1"/>
  <c r="T701" i="20" s="1"/>
  <c r="T702" i="20" s="1"/>
  <c r="T703" i="20" s="1"/>
  <c r="T704" i="20" s="1"/>
  <c r="T705" i="20" s="1"/>
  <c r="T706" i="20" s="1"/>
  <c r="T707" i="20" s="1"/>
  <c r="T708" i="20" s="1"/>
  <c r="T709" i="20" s="1"/>
  <c r="T710" i="20" s="1"/>
  <c r="T711" i="20" s="1"/>
  <c r="T712" i="20" s="1"/>
  <c r="T713" i="20" s="1"/>
  <c r="T714" i="20" s="1"/>
  <c r="T715" i="20" s="1"/>
  <c r="T716" i="20" s="1"/>
  <c r="T717" i="20" s="1"/>
  <c r="T718" i="20" s="1"/>
  <c r="T719" i="20" s="1"/>
  <c r="T720" i="20" s="1"/>
  <c r="T721" i="20" s="1"/>
  <c r="T722" i="20" s="1"/>
  <c r="T723" i="20" s="1"/>
  <c r="T724" i="20" s="1"/>
  <c r="T725" i="20" s="1"/>
  <c r="T726" i="20" s="1"/>
  <c r="T727" i="20" s="1"/>
  <c r="T728" i="20" s="1"/>
  <c r="T729" i="20" s="1"/>
  <c r="T730" i="20" s="1"/>
  <c r="T731" i="20" s="1"/>
  <c r="T732" i="20" s="1"/>
  <c r="T733" i="20" s="1"/>
  <c r="T734" i="20" s="1"/>
  <c r="T735" i="20" s="1"/>
  <c r="T736" i="20" s="1"/>
  <c r="T737" i="20" s="1"/>
  <c r="T738" i="20" s="1"/>
  <c r="T739" i="20" s="1"/>
  <c r="T740" i="20" s="1"/>
  <c r="T741" i="20" s="1"/>
  <c r="T742" i="20" s="1"/>
  <c r="T743" i="20" s="1"/>
  <c r="T744" i="20" s="1"/>
  <c r="T745" i="20" s="1"/>
  <c r="T746" i="20" s="1"/>
  <c r="T747" i="20" s="1"/>
  <c r="T748" i="20" s="1"/>
  <c r="T749" i="20" s="1"/>
  <c r="T750" i="20" s="1"/>
  <c r="T751" i="20" s="1"/>
  <c r="T752" i="20" s="1"/>
  <c r="T753" i="20" s="1"/>
  <c r="T754" i="20" s="1"/>
  <c r="T755" i="20" s="1"/>
  <c r="T756" i="20" s="1"/>
  <c r="T757" i="20" s="1"/>
  <c r="T758" i="20" s="1"/>
  <c r="T759" i="20" s="1"/>
  <c r="T760" i="20" s="1"/>
  <c r="T761" i="20" s="1"/>
  <c r="T762" i="20" s="1"/>
  <c r="T763" i="20" s="1"/>
  <c r="T764" i="20" s="1"/>
  <c r="T765" i="20" s="1"/>
  <c r="T766" i="20" s="1"/>
  <c r="T767" i="20" s="1"/>
  <c r="T768" i="20" s="1"/>
  <c r="T769" i="20" s="1"/>
  <c r="T770" i="20" s="1"/>
  <c r="T771" i="20" s="1"/>
  <c r="T772" i="20" s="1"/>
  <c r="T773" i="20" s="1"/>
  <c r="T774" i="20" s="1"/>
  <c r="T775" i="20" s="1"/>
  <c r="T776" i="20" s="1"/>
  <c r="T777" i="20" s="1"/>
  <c r="T778" i="20" s="1"/>
  <c r="T779" i="20" s="1"/>
  <c r="T780" i="20" s="1"/>
  <c r="T781" i="20" s="1"/>
  <c r="T782" i="20" s="1"/>
  <c r="T783" i="20" s="1"/>
  <c r="T784" i="20" s="1"/>
  <c r="T785" i="20" s="1"/>
  <c r="T786" i="20" s="1"/>
  <c r="T787" i="20" s="1"/>
  <c r="T788" i="20" s="1"/>
  <c r="T789" i="20" s="1"/>
  <c r="T790" i="20" s="1"/>
  <c r="T791" i="20" s="1"/>
  <c r="T792" i="20" s="1"/>
  <c r="T793" i="20" s="1"/>
  <c r="T794" i="20" s="1"/>
  <c r="T795" i="20" s="1"/>
  <c r="T796" i="20" s="1"/>
  <c r="T797" i="20" s="1"/>
  <c r="T798" i="20" s="1"/>
  <c r="T799" i="20" s="1"/>
  <c r="T800" i="20" s="1"/>
  <c r="T801" i="20" s="1"/>
  <c r="T802" i="20" s="1"/>
  <c r="T803" i="20" s="1"/>
  <c r="T804" i="20" s="1"/>
  <c r="T805" i="20" s="1"/>
  <c r="T806" i="20" s="1"/>
  <c r="T807" i="20" s="1"/>
  <c r="T808" i="20" s="1"/>
  <c r="T809" i="20" s="1"/>
  <c r="T810" i="20" s="1"/>
  <c r="T811" i="20" s="1"/>
  <c r="T812" i="20" s="1"/>
  <c r="T813" i="20" s="1"/>
  <c r="T814" i="20" s="1"/>
  <c r="T815" i="20" s="1"/>
  <c r="T816" i="20" s="1"/>
  <c r="T817" i="20" s="1"/>
  <c r="T818" i="20" s="1"/>
  <c r="T819" i="20" s="1"/>
  <c r="T820" i="20" s="1"/>
  <c r="T821" i="20" s="1"/>
  <c r="T822" i="20" s="1"/>
  <c r="T823" i="20" s="1"/>
  <c r="T824" i="20" s="1"/>
  <c r="T825" i="20" s="1"/>
  <c r="T826" i="20" s="1"/>
  <c r="T827" i="20" s="1"/>
  <c r="T828" i="20" s="1"/>
  <c r="T829" i="20" s="1"/>
  <c r="T830" i="20" s="1"/>
  <c r="T831" i="20" s="1"/>
  <c r="T832" i="20" s="1"/>
  <c r="T833" i="20" s="1"/>
  <c r="T834" i="20" s="1"/>
  <c r="T835" i="20" s="1"/>
  <c r="T836" i="20" s="1"/>
  <c r="T837" i="20" s="1"/>
  <c r="T838" i="20" s="1"/>
  <c r="T839" i="20" s="1"/>
  <c r="T840" i="20" s="1"/>
  <c r="T841" i="20" s="1"/>
  <c r="T842" i="20" s="1"/>
  <c r="T843" i="20" s="1"/>
  <c r="T844" i="20" s="1"/>
  <c r="T845" i="20" s="1"/>
  <c r="T846" i="20" s="1"/>
  <c r="T847" i="20" s="1"/>
  <c r="T848" i="20" s="1"/>
  <c r="T849" i="20" s="1"/>
  <c r="T850" i="20" s="1"/>
  <c r="T851" i="20" s="1"/>
  <c r="T852" i="20" s="1"/>
  <c r="T853" i="20" s="1"/>
  <c r="T854" i="20" s="1"/>
  <c r="T855" i="20" s="1"/>
  <c r="T856" i="20" s="1"/>
  <c r="T857" i="20" s="1"/>
  <c r="T858" i="20" s="1"/>
  <c r="T859" i="20" s="1"/>
  <c r="T860" i="20" s="1"/>
  <c r="T861" i="20" s="1"/>
  <c r="T862" i="20" s="1"/>
  <c r="T863" i="20" s="1"/>
  <c r="T864" i="20" s="1"/>
  <c r="T865" i="20" s="1"/>
  <c r="T866" i="20" s="1"/>
  <c r="T867" i="20" s="1"/>
  <c r="T868" i="20" s="1"/>
  <c r="T869" i="20" s="1"/>
  <c r="T870" i="20" s="1"/>
  <c r="T871" i="20" s="1"/>
  <c r="T872" i="20" s="1"/>
  <c r="T873" i="20" s="1"/>
  <c r="T874" i="20" s="1"/>
  <c r="T875" i="20" s="1"/>
  <c r="T876" i="20" s="1"/>
  <c r="T877" i="20" s="1"/>
  <c r="T878" i="20" s="1"/>
  <c r="T879" i="20" s="1"/>
  <c r="T880" i="20" s="1"/>
  <c r="T881" i="20" s="1"/>
  <c r="T882" i="20" s="1"/>
  <c r="T883" i="20" s="1"/>
  <c r="T884" i="20" s="1"/>
  <c r="T885" i="20" s="1"/>
  <c r="T886" i="20" s="1"/>
  <c r="T887" i="20" s="1"/>
  <c r="T888" i="20" s="1"/>
  <c r="T889" i="20" s="1"/>
  <c r="T890" i="20" s="1"/>
  <c r="T891" i="20" s="1"/>
  <c r="T892" i="20" s="1"/>
  <c r="T893" i="20" s="1"/>
  <c r="T894" i="20" s="1"/>
  <c r="T895" i="20" s="1"/>
  <c r="T896" i="20" s="1"/>
  <c r="T897" i="20" s="1"/>
  <c r="T898" i="20" s="1"/>
  <c r="T899" i="20" s="1"/>
  <c r="T900" i="20" s="1"/>
  <c r="T901" i="20" s="1"/>
  <c r="T902" i="20" s="1"/>
  <c r="T903" i="20" s="1"/>
  <c r="T904" i="20" s="1"/>
  <c r="T905" i="20" s="1"/>
  <c r="T906" i="20" s="1"/>
  <c r="T907" i="20" s="1"/>
  <c r="T908" i="20" s="1"/>
  <c r="T909" i="20" s="1"/>
  <c r="T910" i="20" s="1"/>
  <c r="T911" i="20" s="1"/>
  <c r="T912" i="20" s="1"/>
  <c r="T913" i="20" s="1"/>
  <c r="T914" i="20" s="1"/>
  <c r="T915" i="20" s="1"/>
  <c r="T916" i="20" s="1"/>
  <c r="T917" i="20" s="1"/>
  <c r="T918" i="20" s="1"/>
  <c r="T919" i="20" s="1"/>
  <c r="T920" i="20" s="1"/>
  <c r="T921" i="20" s="1"/>
  <c r="T922" i="20" s="1"/>
  <c r="T923" i="20" s="1"/>
  <c r="T924" i="20" s="1"/>
  <c r="T925" i="20" s="1"/>
  <c r="T926" i="20" s="1"/>
  <c r="T927" i="20" s="1"/>
  <c r="T928" i="20" s="1"/>
  <c r="T929" i="20" s="1"/>
  <c r="T930" i="20" s="1"/>
  <c r="T931" i="20" s="1"/>
  <c r="T932" i="20" s="1"/>
  <c r="T933" i="20" s="1"/>
  <c r="T934" i="20" s="1"/>
  <c r="T935" i="20" s="1"/>
  <c r="T936" i="20" s="1"/>
  <c r="T937" i="20" s="1"/>
  <c r="T938" i="20" s="1"/>
  <c r="T939" i="20" s="1"/>
  <c r="T940" i="20" s="1"/>
  <c r="T941" i="20" s="1"/>
  <c r="T942" i="20" s="1"/>
  <c r="T943" i="20" s="1"/>
  <c r="T944" i="20" s="1"/>
  <c r="T945" i="20" s="1"/>
  <c r="T946" i="20" s="1"/>
  <c r="T947" i="20" s="1"/>
  <c r="T948" i="20" s="1"/>
  <c r="T949" i="20" s="1"/>
  <c r="T950" i="20" s="1"/>
  <c r="T951" i="20" s="1"/>
  <c r="T952" i="20" s="1"/>
  <c r="T953" i="20" s="1"/>
  <c r="T954" i="20" s="1"/>
  <c r="T955" i="20" s="1"/>
  <c r="T956" i="20" s="1"/>
  <c r="T957" i="20" s="1"/>
  <c r="T958" i="20" s="1"/>
  <c r="T959" i="20" s="1"/>
  <c r="T960" i="20" s="1"/>
  <c r="T961" i="20" s="1"/>
  <c r="T962" i="20" s="1"/>
  <c r="T963" i="20" s="1"/>
  <c r="T964" i="20" s="1"/>
  <c r="T965" i="20" s="1"/>
  <c r="T966" i="20" s="1"/>
  <c r="T967" i="20" s="1"/>
  <c r="T968" i="20" s="1"/>
  <c r="T969" i="20" s="1"/>
  <c r="T970" i="20" s="1"/>
  <c r="T971" i="20" s="1"/>
  <c r="T972" i="20" s="1"/>
  <c r="T973" i="20" s="1"/>
  <c r="T974" i="20" s="1"/>
  <c r="T975" i="20" s="1"/>
  <c r="T976" i="20" s="1"/>
  <c r="T977" i="20" s="1"/>
  <c r="T978" i="20" s="1"/>
  <c r="T979" i="20" s="1"/>
  <c r="T980" i="20" s="1"/>
  <c r="T981" i="20" s="1"/>
  <c r="T982" i="20" s="1"/>
  <c r="T983" i="20" s="1"/>
  <c r="T984" i="20" s="1"/>
  <c r="T985" i="20" s="1"/>
  <c r="T986" i="20" s="1"/>
  <c r="T987" i="20" s="1"/>
  <c r="T988" i="20" s="1"/>
  <c r="T989" i="20" s="1"/>
  <c r="T990" i="20" s="1"/>
  <c r="T991" i="20" s="1"/>
  <c r="T992" i="20" s="1"/>
  <c r="T993" i="20" s="1"/>
  <c r="T994" i="20" s="1"/>
  <c r="T995" i="20" s="1"/>
  <c r="T996" i="20" s="1"/>
  <c r="T997" i="20" s="1"/>
  <c r="T998" i="20" s="1"/>
  <c r="T999" i="20" s="1"/>
  <c r="T1000" i="20" s="1"/>
  <c r="T1001" i="20" s="1"/>
  <c r="T1002" i="20" s="1"/>
  <c r="T1003" i="20" s="1"/>
  <c r="T1004" i="20" s="1"/>
  <c r="T1005" i="20" s="1"/>
  <c r="T1006" i="20" s="1"/>
  <c r="T1007" i="20" s="1"/>
  <c r="T1008" i="20" s="1"/>
  <c r="T1009" i="20" s="1"/>
  <c r="T1010" i="20" s="1"/>
  <c r="T1011" i="20" s="1"/>
  <c r="T1012" i="20" s="1"/>
  <c r="T1013" i="20" s="1"/>
  <c r="T1014" i="20" s="1"/>
  <c r="T1015" i="20" s="1"/>
  <c r="T1016" i="20" s="1"/>
  <c r="T1017" i="20" s="1"/>
  <c r="T1018" i="20" s="1"/>
  <c r="T1019" i="20" s="1"/>
  <c r="T1020" i="20" s="1"/>
  <c r="T1021" i="20" s="1"/>
  <c r="T1022" i="20" s="1"/>
  <c r="T1023" i="20" s="1"/>
  <c r="T1024" i="20" s="1"/>
  <c r="T1025" i="20" s="1"/>
  <c r="T1026" i="20" s="1"/>
  <c r="T1027" i="20" s="1"/>
  <c r="T1028" i="20" s="1"/>
  <c r="T1029" i="20" s="1"/>
  <c r="T1030" i="20" s="1"/>
  <c r="T1031" i="20" s="1"/>
  <c r="T1032" i="20" s="1"/>
  <c r="T1033" i="20" s="1"/>
  <c r="T1034" i="20" s="1"/>
  <c r="T1035" i="20" s="1"/>
  <c r="T1036" i="20" s="1"/>
  <c r="T1037" i="20" s="1"/>
  <c r="T1038" i="20" s="1"/>
  <c r="T1039" i="20" s="1"/>
  <c r="T1040" i="20" s="1"/>
  <c r="T1041" i="20" s="1"/>
  <c r="T1042" i="20" s="1"/>
  <c r="T1043" i="20" s="1"/>
  <c r="T1044" i="20" s="1"/>
  <c r="T1045" i="20" s="1"/>
  <c r="T1046" i="20" s="1"/>
  <c r="T1047" i="20" s="1"/>
  <c r="T1048" i="20" s="1"/>
  <c r="T1049" i="20" s="1"/>
  <c r="T1050" i="20" s="1"/>
  <c r="T1051" i="20" s="1"/>
  <c r="T1052" i="20" s="1"/>
  <c r="T1053" i="20" s="1"/>
  <c r="T1054" i="20" s="1"/>
  <c r="T1055" i="20" s="1"/>
  <c r="T1056" i="20" s="1"/>
  <c r="T1057" i="20" s="1"/>
  <c r="T1058" i="20" s="1"/>
  <c r="T1059" i="20" s="1"/>
  <c r="T1060" i="20" s="1"/>
  <c r="T1061" i="20" s="1"/>
  <c r="T1062" i="20" s="1"/>
  <c r="T1063" i="20" s="1"/>
  <c r="T1064" i="20" s="1"/>
  <c r="T1065" i="20" s="1"/>
  <c r="T1066" i="20" s="1"/>
  <c r="T1067" i="20" s="1"/>
  <c r="T1068" i="20" s="1"/>
  <c r="T1069" i="20" s="1"/>
  <c r="T1070" i="20" s="1"/>
  <c r="T1071" i="20" s="1"/>
  <c r="T1072" i="20" s="1"/>
  <c r="T1073" i="20" s="1"/>
  <c r="T1074" i="20" s="1"/>
  <c r="T1075" i="20" s="1"/>
  <c r="T1076" i="20" s="1"/>
  <c r="T1077" i="20" s="1"/>
  <c r="T1078" i="20" s="1"/>
  <c r="T1079" i="20" s="1"/>
  <c r="T1080" i="20" s="1"/>
  <c r="T1081" i="20" s="1"/>
  <c r="T1082" i="20" s="1"/>
  <c r="T1083" i="20" s="1"/>
  <c r="T1084" i="20" s="1"/>
  <c r="T1085" i="20" s="1"/>
  <c r="T1086" i="20" s="1"/>
  <c r="T1087" i="20" s="1"/>
  <c r="T1088" i="20" s="1"/>
  <c r="T1089" i="20" s="1"/>
  <c r="T1090" i="20" s="1"/>
  <c r="T1091" i="20" s="1"/>
  <c r="T1092" i="20" s="1"/>
  <c r="T1093" i="20" s="1"/>
  <c r="T1094" i="20" s="1"/>
  <c r="T1095" i="20" s="1"/>
  <c r="T1096" i="20" s="1"/>
  <c r="Z4" i="20"/>
  <c r="X4" i="20" s="1"/>
  <c r="T4" i="20" l="1"/>
  <c r="Y4" i="20"/>
  <c r="U4" i="20"/>
  <c r="W4" i="20"/>
  <c r="V4" i="20" l="1"/>
  <c r="W8" i="20"/>
  <c r="X8" i="20" s="1"/>
  <c r="W9" i="20" s="1"/>
  <c r="X9" i="20" l="1"/>
  <c r="W10" i="20" s="1"/>
  <c r="B20" i="14"/>
  <c r="E4" i="14"/>
  <c r="B4" i="14"/>
  <c r="X10" i="20" l="1"/>
  <c r="V11" i="20" s="1"/>
  <c r="E25" i="13"/>
  <c r="B25" i="13"/>
  <c r="B22" i="14" s="1"/>
  <c r="E25" i="12"/>
  <c r="B25" i="12"/>
  <c r="B15" i="14" s="1"/>
  <c r="E25" i="11"/>
  <c r="E7" i="14" s="1"/>
  <c r="B25" i="11"/>
  <c r="B7" i="14" s="1"/>
  <c r="B24" i="9"/>
  <c r="B19" i="9"/>
  <c r="E19" i="9"/>
  <c r="E11" i="9"/>
  <c r="B25" i="9" s="1"/>
  <c r="E21" i="14" s="1"/>
  <c r="B11" i="9"/>
  <c r="B21" i="14" s="1"/>
  <c r="F5" i="10"/>
  <c r="B25" i="10"/>
  <c r="W11" i="20" l="1"/>
  <c r="X11" i="20" s="1"/>
  <c r="B26" i="13"/>
  <c r="E22" i="14"/>
  <c r="B26" i="12"/>
  <c r="E15" i="14"/>
  <c r="B26" i="11"/>
  <c r="E25" i="7"/>
  <c r="B25" i="7"/>
  <c r="E25" i="6"/>
  <c r="B25" i="6"/>
  <c r="B14" i="14" s="1"/>
  <c r="E25" i="2"/>
  <c r="B25" i="2"/>
  <c r="B6" i="14" s="1"/>
  <c r="G32" i="1"/>
  <c r="B32" i="1"/>
  <c r="G23" i="1"/>
  <c r="E5" i="14" s="1"/>
  <c r="B23" i="1"/>
  <c r="G13" i="1"/>
  <c r="B13" i="1"/>
  <c r="G7" i="1"/>
  <c r="E12" i="14" s="1"/>
  <c r="E13" i="14" s="1"/>
  <c r="B7" i="1"/>
  <c r="B12" i="14" s="1"/>
  <c r="V12" i="20" l="1"/>
  <c r="W12" i="20" s="1"/>
  <c r="X12" i="20" s="1"/>
  <c r="V13" i="20" s="1"/>
  <c r="W13" i="20" s="1"/>
  <c r="X13" i="20" s="1"/>
  <c r="V14" i="20" s="1"/>
  <c r="B33" i="1"/>
  <c r="B13" i="14"/>
  <c r="B24" i="1"/>
  <c r="B5" i="14"/>
  <c r="B26" i="7"/>
  <c r="E20" i="14"/>
  <c r="B26" i="6"/>
  <c r="E14" i="14"/>
  <c r="E19" i="14" s="1"/>
  <c r="B26" i="2"/>
  <c r="E6" i="14"/>
  <c r="B8" i="1"/>
  <c r="B14" i="1"/>
  <c r="W14" i="20" l="1"/>
  <c r="X14" i="20" s="1"/>
  <c r="V15" i="20" s="1"/>
  <c r="B11" i="14"/>
  <c r="B38" i="14"/>
  <c r="E38" i="14"/>
  <c r="E11" i="14"/>
  <c r="W15" i="20" l="1"/>
  <c r="X15" i="20" s="1"/>
  <c r="V16" i="20" s="1"/>
  <c r="B39" i="14"/>
  <c r="W16" i="20" l="1"/>
  <c r="X16" i="20" s="1"/>
  <c r="V17" i="20" s="1"/>
  <c r="W17" i="20" l="1"/>
  <c r="X17" i="20" s="1"/>
  <c r="V18" i="20" s="1"/>
  <c r="W18" i="20" l="1"/>
  <c r="X18" i="20" s="1"/>
  <c r="V19" i="20" s="1"/>
  <c r="W19" i="20" l="1"/>
  <c r="X19" i="20" s="1"/>
  <c r="V20" i="20" s="1"/>
  <c r="W20" i="20" l="1"/>
  <c r="X20" i="20" s="1"/>
  <c r="V21" i="20" s="1"/>
  <c r="W21" i="20" l="1"/>
  <c r="X21" i="20" s="1"/>
  <c r="V22" i="20" s="1"/>
  <c r="W22" i="20" l="1"/>
  <c r="X22" i="20" s="1"/>
  <c r="V23" i="20" s="1"/>
  <c r="W23" i="20" l="1"/>
  <c r="X23" i="20" s="1"/>
  <c r="V24" i="20" s="1"/>
  <c r="W24" i="20" l="1"/>
  <c r="X24" i="20" s="1"/>
  <c r="V25" i="20" s="1"/>
  <c r="W25" i="20" l="1"/>
  <c r="X25" i="20" s="1"/>
  <c r="V26" i="20" s="1"/>
  <c r="W26" i="20" l="1"/>
  <c r="X26" i="20" s="1"/>
  <c r="V27" i="20" s="1"/>
  <c r="W27" i="20" l="1"/>
  <c r="X27" i="20" s="1"/>
  <c r="V28" i="20" s="1"/>
  <c r="W28" i="20" l="1"/>
  <c r="X28" i="20" s="1"/>
  <c r="V29" i="20" s="1"/>
  <c r="W29" i="20" l="1"/>
  <c r="X29" i="20" s="1"/>
  <c r="V30" i="20" s="1"/>
  <c r="W30" i="20" l="1"/>
  <c r="X30" i="20" s="1"/>
  <c r="V31" i="20" s="1"/>
  <c r="W31" i="20" l="1"/>
  <c r="X31" i="20" s="1"/>
  <c r="V32" i="20" s="1"/>
  <c r="W32" i="20" l="1"/>
  <c r="X32" i="20" s="1"/>
  <c r="V33" i="20" s="1"/>
  <c r="W33" i="20" l="1"/>
  <c r="X33" i="20" s="1"/>
  <c r="V34" i="20" s="1"/>
  <c r="W34" i="20" l="1"/>
  <c r="X34" i="20" s="1"/>
  <c r="V35" i="20" s="1"/>
  <c r="W35" i="20" l="1"/>
  <c r="X35" i="20" s="1"/>
  <c r="V36" i="20" s="1"/>
  <c r="W36" i="20" l="1"/>
  <c r="X36" i="20" s="1"/>
  <c r="V37" i="20" s="1"/>
  <c r="W37" i="20" l="1"/>
  <c r="X37" i="20" s="1"/>
  <c r="V38" i="20" s="1"/>
  <c r="W38" i="20" l="1"/>
  <c r="X38" i="20" s="1"/>
  <c r="V39" i="20" s="1"/>
  <c r="W39" i="20" l="1"/>
  <c r="X39" i="20" s="1"/>
  <c r="V40" i="20" s="1"/>
  <c r="W40" i="20" l="1"/>
  <c r="X40" i="20" s="1"/>
  <c r="V41" i="20" s="1"/>
  <c r="W41" i="20" l="1"/>
  <c r="X41" i="20" s="1"/>
  <c r="V42" i="20" s="1"/>
  <c r="W42" i="20" l="1"/>
  <c r="X42" i="20" s="1"/>
  <c r="V43" i="20" s="1"/>
  <c r="W43" i="20" l="1"/>
  <c r="X43" i="20" s="1"/>
  <c r="V44" i="20" s="1"/>
  <c r="W44" i="20" l="1"/>
  <c r="X44" i="20" s="1"/>
  <c r="V45" i="20" s="1"/>
  <c r="W45" i="20" l="1"/>
  <c r="X45" i="20" s="1"/>
  <c r="V46" i="20" s="1"/>
  <c r="W46" i="20" l="1"/>
  <c r="X46" i="20" s="1"/>
  <c r="V47" i="20" s="1"/>
  <c r="W47" i="20" l="1"/>
  <c r="X47" i="20" s="1"/>
  <c r="V48" i="20" s="1"/>
  <c r="W48" i="20" l="1"/>
  <c r="X48" i="20" s="1"/>
  <c r="V49" i="20" s="1"/>
  <c r="W49" i="20" l="1"/>
  <c r="X49" i="20" s="1"/>
  <c r="V50" i="20" s="1"/>
  <c r="W50" i="20" l="1"/>
  <c r="X50" i="20" s="1"/>
  <c r="V51" i="20" s="1"/>
  <c r="W51" i="20" l="1"/>
  <c r="X51" i="20" s="1"/>
  <c r="V52" i="20" s="1"/>
  <c r="W52" i="20" l="1"/>
  <c r="X52" i="20" s="1"/>
  <c r="V53" i="20" s="1"/>
  <c r="W53" i="20" l="1"/>
  <c r="X53" i="20" s="1"/>
  <c r="V54" i="20" s="1"/>
  <c r="W54" i="20" l="1"/>
  <c r="X54" i="20" s="1"/>
  <c r="V55" i="20" s="1"/>
  <c r="W55" i="20" l="1"/>
  <c r="X55" i="20" s="1"/>
  <c r="V56" i="20" s="1"/>
  <c r="W56" i="20" l="1"/>
  <c r="X56" i="20" s="1"/>
  <c r="V57" i="20" s="1"/>
  <c r="W57" i="20" l="1"/>
  <c r="X57" i="20" s="1"/>
  <c r="V58" i="20" s="1"/>
  <c r="W58" i="20" l="1"/>
  <c r="X58" i="20" s="1"/>
  <c r="V59" i="20" s="1"/>
  <c r="W59" i="20" l="1"/>
  <c r="X59" i="20" s="1"/>
  <c r="V60" i="20" s="1"/>
  <c r="W60" i="20" l="1"/>
  <c r="X60" i="20" s="1"/>
  <c r="V61" i="20" s="1"/>
  <c r="W61" i="20" l="1"/>
  <c r="X61" i="20" s="1"/>
  <c r="V62" i="20" s="1"/>
  <c r="W62" i="20" l="1"/>
  <c r="X62" i="20" s="1"/>
  <c r="V63" i="20" l="1"/>
  <c r="W63" i="20" s="1"/>
  <c r="X63" i="20" s="1"/>
  <c r="V64" i="20" s="1"/>
  <c r="W64" i="20" s="1"/>
  <c r="X64" i="20" s="1"/>
  <c r="V65" i="20" s="1"/>
  <c r="W65" i="20" l="1"/>
  <c r="X65" i="20" s="1"/>
  <c r="V66" i="20" s="1"/>
  <c r="W66" i="20" l="1"/>
  <c r="X66" i="20" s="1"/>
  <c r="V67" i="20" s="1"/>
  <c r="W67" i="20" l="1"/>
  <c r="X67" i="20" s="1"/>
  <c r="V68" i="20" s="1"/>
  <c r="W68" i="20" l="1"/>
  <c r="X68" i="20" s="1"/>
  <c r="V69" i="20" s="1"/>
  <c r="W69" i="20" l="1"/>
  <c r="X69" i="20" s="1"/>
  <c r="V70" i="20" s="1"/>
  <c r="W70" i="20" l="1"/>
  <c r="X70" i="20" s="1"/>
  <c r="V71" i="20" l="1"/>
  <c r="W71" i="20" s="1"/>
  <c r="X71" i="20" s="1"/>
  <c r="V72" i="20" s="1"/>
  <c r="W72" i="20" s="1"/>
  <c r="X72" i="20" s="1"/>
  <c r="V73" i="20" s="1"/>
  <c r="W73" i="20" l="1"/>
  <c r="X73" i="20" s="1"/>
  <c r="V74" i="20" s="1"/>
  <c r="W74" i="20" l="1"/>
  <c r="X74" i="20" s="1"/>
  <c r="V75" i="20" s="1"/>
  <c r="W75" i="20" l="1"/>
  <c r="X75" i="20" s="1"/>
  <c r="V76" i="20" s="1"/>
  <c r="W76" i="20" l="1"/>
  <c r="X76" i="20" s="1"/>
  <c r="V77" i="20" s="1"/>
  <c r="W77" i="20" l="1"/>
  <c r="X77" i="20" s="1"/>
  <c r="V78" i="20" s="1"/>
  <c r="W78" i="20" l="1"/>
  <c r="X78" i="20" s="1"/>
  <c r="V79" i="20" s="1"/>
  <c r="W79" i="20" l="1"/>
  <c r="X79" i="20" s="1"/>
  <c r="V80" i="20" s="1"/>
  <c r="W80" i="20" l="1"/>
  <c r="X80" i="20" s="1"/>
  <c r="V81" i="20" s="1"/>
  <c r="W81" i="20" l="1"/>
  <c r="X81" i="20" s="1"/>
  <c r="V82" i="20" s="1"/>
  <c r="W82" i="20" l="1"/>
  <c r="X82" i="20" s="1"/>
  <c r="V83" i="20" s="1"/>
  <c r="W83" i="20" l="1"/>
  <c r="X83" i="20" s="1"/>
  <c r="V84" i="20" s="1"/>
  <c r="W84" i="20" l="1"/>
  <c r="X84" i="20" s="1"/>
  <c r="V85" i="20" s="1"/>
  <c r="W85" i="20" l="1"/>
  <c r="X85" i="20" s="1"/>
  <c r="V86" i="20" s="1"/>
  <c r="W86" i="20" l="1"/>
  <c r="X86" i="20" s="1"/>
  <c r="V87" i="20" s="1"/>
  <c r="W87" i="20" l="1"/>
  <c r="X87" i="20" s="1"/>
  <c r="V88" i="20" s="1"/>
  <c r="W88" i="20" l="1"/>
  <c r="X88" i="20" s="1"/>
  <c r="V89" i="20" s="1"/>
  <c r="W89" i="20" l="1"/>
  <c r="X89" i="20" s="1"/>
  <c r="V90" i="20" s="1"/>
  <c r="W90" i="20" l="1"/>
  <c r="X90" i="20" s="1"/>
  <c r="V91" i="20" s="1"/>
  <c r="W91" i="20" l="1"/>
  <c r="X91" i="20" s="1"/>
  <c r="V92" i="20" s="1"/>
  <c r="W92" i="20" l="1"/>
  <c r="X92" i="20" s="1"/>
  <c r="V93" i="20" s="1"/>
  <c r="W93" i="20" l="1"/>
  <c r="X93" i="20" s="1"/>
  <c r="V94" i="20" s="1"/>
  <c r="W94" i="20" l="1"/>
  <c r="X94" i="20" s="1"/>
  <c r="V95" i="20" s="1"/>
  <c r="W95" i="20" l="1"/>
  <c r="X95" i="20" s="1"/>
  <c r="V96" i="20" s="1"/>
  <c r="W96" i="20" l="1"/>
  <c r="X96" i="20" s="1"/>
  <c r="V97" i="20" s="1"/>
  <c r="W97" i="20" l="1"/>
  <c r="X97" i="20" s="1"/>
  <c r="V98" i="20" s="1"/>
  <c r="W98" i="20" l="1"/>
  <c r="X98" i="20" s="1"/>
  <c r="V99" i="20" s="1"/>
  <c r="W99" i="20" l="1"/>
  <c r="X99" i="20" s="1"/>
  <c r="V100" i="20" s="1"/>
  <c r="W100" i="20" l="1"/>
  <c r="X100" i="20" s="1"/>
  <c r="V101" i="20" s="1"/>
  <c r="W101" i="20" l="1"/>
  <c r="X101" i="20" s="1"/>
  <c r="V102" i="20" s="1"/>
  <c r="W102" i="20" l="1"/>
  <c r="X102" i="20" s="1"/>
  <c r="V103" i="20" s="1"/>
  <c r="W103" i="20" l="1"/>
  <c r="X103" i="20" s="1"/>
  <c r="V104" i="20" s="1"/>
  <c r="W104" i="20" l="1"/>
  <c r="X104" i="20" s="1"/>
  <c r="V105" i="20" s="1"/>
  <c r="W105" i="20" l="1"/>
  <c r="X105" i="20" s="1"/>
  <c r="V106" i="20" s="1"/>
  <c r="W106" i="20" l="1"/>
  <c r="X106" i="20" s="1"/>
  <c r="V107" i="20" s="1"/>
  <c r="W107" i="20" l="1"/>
  <c r="X107" i="20" s="1"/>
  <c r="V108" i="20" s="1"/>
  <c r="W108" i="20" l="1"/>
  <c r="X108" i="20" s="1"/>
  <c r="V109" i="20" s="1"/>
  <c r="W109" i="20" l="1"/>
  <c r="X109" i="20" s="1"/>
  <c r="V110" i="20" s="1"/>
  <c r="W110" i="20" l="1"/>
  <c r="X110" i="20" s="1"/>
  <c r="V111" i="20" s="1"/>
  <c r="W111" i="20" l="1"/>
  <c r="X111" i="20" s="1"/>
  <c r="V112" i="20" s="1"/>
  <c r="W112" i="20" l="1"/>
  <c r="X112" i="20" s="1"/>
  <c r="V113" i="20" s="1"/>
  <c r="W113" i="20" l="1"/>
  <c r="X113" i="20" s="1"/>
  <c r="V114" i="20" s="1"/>
  <c r="W114" i="20" l="1"/>
  <c r="X114" i="20" s="1"/>
  <c r="V115" i="20" s="1"/>
  <c r="W115" i="20" l="1"/>
  <c r="X115" i="20" s="1"/>
  <c r="V116" i="20" s="1"/>
  <c r="W116" i="20" l="1"/>
  <c r="X116" i="20" s="1"/>
  <c r="V117" i="20" s="1"/>
  <c r="W117" i="20" l="1"/>
  <c r="X117" i="20" s="1"/>
  <c r="V118" i="20" s="1"/>
  <c r="W118" i="20" l="1"/>
  <c r="X118" i="20" s="1"/>
  <c r="V119" i="20" s="1"/>
  <c r="W119" i="20" l="1"/>
  <c r="X119" i="20" s="1"/>
  <c r="V120" i="20" s="1"/>
  <c r="W120" i="20" l="1"/>
  <c r="X120" i="20" s="1"/>
  <c r="V121" i="20" s="1"/>
  <c r="W121" i="20" l="1"/>
  <c r="X121" i="20" s="1"/>
  <c r="V122" i="20" s="1"/>
  <c r="W122" i="20" l="1"/>
  <c r="X122" i="20" s="1"/>
  <c r="V123" i="20" s="1"/>
  <c r="W123" i="20" l="1"/>
  <c r="X123" i="20" s="1"/>
  <c r="V124" i="20" s="1"/>
  <c r="W124" i="20" l="1"/>
  <c r="X124" i="20" s="1"/>
  <c r="V125" i="20" s="1"/>
  <c r="W125" i="20" l="1"/>
  <c r="X125" i="20" s="1"/>
  <c r="V126" i="20" s="1"/>
  <c r="W126" i="20" l="1"/>
  <c r="X126" i="20" s="1"/>
  <c r="V127" i="20" s="1"/>
  <c r="W127" i="20" l="1"/>
  <c r="X127" i="20" s="1"/>
  <c r="V128" i="20" s="1"/>
  <c r="W128" i="20" l="1"/>
  <c r="X128" i="20" s="1"/>
  <c r="V129" i="20" s="1"/>
  <c r="W129" i="20" l="1"/>
  <c r="X129" i="20" s="1"/>
  <c r="V130" i="20" s="1"/>
  <c r="W130" i="20" l="1"/>
  <c r="X130" i="20" s="1"/>
  <c r="V131" i="20" s="1"/>
  <c r="W131" i="20" l="1"/>
  <c r="X131" i="20" s="1"/>
  <c r="V132" i="20" s="1"/>
  <c r="W132" i="20" l="1"/>
  <c r="X132" i="20" s="1"/>
  <c r="V133" i="20" s="1"/>
  <c r="W133" i="20" l="1"/>
  <c r="X133" i="20" s="1"/>
  <c r="V134" i="20" s="1"/>
  <c r="W134" i="20" l="1"/>
  <c r="X134" i="20" s="1"/>
  <c r="V135" i="20" s="1"/>
  <c r="W135" i="20" l="1"/>
  <c r="X135" i="20" s="1"/>
  <c r="V136" i="20" s="1"/>
  <c r="W136" i="20" l="1"/>
  <c r="X136" i="20" s="1"/>
  <c r="V137" i="20" s="1"/>
  <c r="W137" i="20" l="1"/>
  <c r="X137" i="20" s="1"/>
  <c r="V138" i="20" s="1"/>
  <c r="W138" i="20" l="1"/>
  <c r="X138" i="20" s="1"/>
  <c r="V139" i="20" s="1"/>
  <c r="W139" i="20" l="1"/>
  <c r="X139" i="20" s="1"/>
  <c r="V140" i="20" s="1"/>
  <c r="W140" i="20" l="1"/>
  <c r="X140" i="20" s="1"/>
  <c r="V141" i="20" s="1"/>
  <c r="W141" i="20" l="1"/>
  <c r="X141" i="20" s="1"/>
  <c r="V142" i="20" s="1"/>
  <c r="W142" i="20" l="1"/>
  <c r="X142" i="20" s="1"/>
  <c r="V143" i="20" s="1"/>
  <c r="W143" i="20" l="1"/>
  <c r="X143" i="20" s="1"/>
  <c r="V144" i="20" s="1"/>
  <c r="W144" i="20" l="1"/>
  <c r="X144" i="20" s="1"/>
  <c r="V145" i="20" s="1"/>
  <c r="W145" i="20" l="1"/>
  <c r="X145" i="20" s="1"/>
  <c r="V146" i="20" s="1"/>
  <c r="W146" i="20" l="1"/>
  <c r="X146" i="20" s="1"/>
  <c r="V147" i="20" s="1"/>
  <c r="W147" i="20" l="1"/>
  <c r="X147" i="20" s="1"/>
  <c r="V148" i="20" s="1"/>
  <c r="W148" i="20" l="1"/>
  <c r="X148" i="20" s="1"/>
  <c r="V149" i="20" s="1"/>
  <c r="W149" i="20" l="1"/>
  <c r="X149" i="20" s="1"/>
  <c r="V150" i="20" s="1"/>
  <c r="W150" i="20" l="1"/>
  <c r="X150" i="20" s="1"/>
  <c r="V151" i="20" s="1"/>
  <c r="W151" i="20" l="1"/>
  <c r="X151" i="20" s="1"/>
  <c r="V152" i="20" s="1"/>
  <c r="W152" i="20" l="1"/>
  <c r="X152" i="20" s="1"/>
  <c r="V153" i="20" s="1"/>
  <c r="W153" i="20" l="1"/>
  <c r="X153" i="20" s="1"/>
  <c r="V154" i="20" l="1"/>
  <c r="W154" i="20" s="1"/>
  <c r="X154" i="20" s="1"/>
  <c r="V155" i="20" s="1"/>
  <c r="W155" i="20" s="1"/>
  <c r="X155" i="20" s="1"/>
  <c r="V156" i="20" s="1"/>
  <c r="W156" i="20" l="1"/>
  <c r="X156" i="20" s="1"/>
  <c r="V157" i="20" s="1"/>
  <c r="W157" i="20" l="1"/>
  <c r="X157" i="20" s="1"/>
  <c r="V158" i="20" s="1"/>
  <c r="W158" i="20" l="1"/>
  <c r="X158" i="20" s="1"/>
  <c r="V159" i="20" s="1"/>
  <c r="W159" i="20" l="1"/>
  <c r="X159" i="20" s="1"/>
  <c r="V160" i="20" s="1"/>
  <c r="W160" i="20" l="1"/>
  <c r="X160" i="20" s="1"/>
  <c r="W161" i="20" l="1"/>
  <c r="X161" i="20" s="1"/>
  <c r="V162" i="20" s="1"/>
  <c r="W162" i="20" s="1"/>
  <c r="X162" i="20" s="1"/>
  <c r="V163" i="20" s="1"/>
  <c r="V161" i="20"/>
  <c r="W163" i="20" l="1"/>
  <c r="X163" i="20" s="1"/>
  <c r="V164" i="20" s="1"/>
  <c r="W164" i="20" l="1"/>
  <c r="X164" i="20" s="1"/>
  <c r="V165" i="20" s="1"/>
  <c r="W165" i="20" l="1"/>
  <c r="X165" i="20" s="1"/>
  <c r="V166" i="20" s="1"/>
  <c r="W166" i="20" l="1"/>
  <c r="X166" i="20" s="1"/>
  <c r="V167" i="20" s="1"/>
  <c r="W167" i="20" l="1"/>
  <c r="X167" i="20" s="1"/>
  <c r="V168" i="20" s="1"/>
  <c r="W168" i="20" l="1"/>
  <c r="X168" i="20" s="1"/>
  <c r="V169" i="20" s="1"/>
  <c r="W169" i="20" l="1"/>
  <c r="X169" i="20" s="1"/>
  <c r="V170" i="20" s="1"/>
  <c r="W170" i="20" l="1"/>
  <c r="X170" i="20" s="1"/>
  <c r="V171" i="20" s="1"/>
  <c r="W171" i="20" l="1"/>
  <c r="X171" i="20" s="1"/>
  <c r="V172" i="20" s="1"/>
  <c r="W172" i="20" l="1"/>
  <c r="X172" i="20" s="1"/>
  <c r="V173" i="20" s="1"/>
  <c r="W173" i="20" l="1"/>
  <c r="X173" i="20" s="1"/>
  <c r="V174" i="20" s="1"/>
  <c r="W174" i="20" l="1"/>
  <c r="X174" i="20" s="1"/>
  <c r="V175" i="20" s="1"/>
  <c r="W175" i="20" l="1"/>
  <c r="X175" i="20" s="1"/>
  <c r="V176" i="20" s="1"/>
  <c r="W176" i="20" l="1"/>
  <c r="X176" i="20" s="1"/>
  <c r="V177" i="20" s="1"/>
  <c r="W177" i="20" l="1"/>
  <c r="X177" i="20" s="1"/>
  <c r="V178" i="20" s="1"/>
  <c r="W178" i="20" l="1"/>
  <c r="X178" i="20" s="1"/>
  <c r="V179" i="20" s="1"/>
  <c r="W179" i="20" l="1"/>
  <c r="X179" i="20" s="1"/>
  <c r="V180" i="20" s="1"/>
  <c r="W180" i="20" l="1"/>
  <c r="X180" i="20" s="1"/>
  <c r="V181" i="20" s="1"/>
  <c r="W181" i="20" l="1"/>
  <c r="X181" i="20" s="1"/>
  <c r="W182" i="20" l="1"/>
  <c r="X182" i="20" s="1"/>
  <c r="V183" i="20" s="1"/>
  <c r="W183" i="20" s="1"/>
  <c r="X183" i="20" s="1"/>
  <c r="V184" i="20" s="1"/>
  <c r="V182" i="20"/>
  <c r="W184" i="20" l="1"/>
  <c r="X184" i="20" s="1"/>
  <c r="V185" i="20" s="1"/>
  <c r="W185" i="20" l="1"/>
  <c r="X185" i="20" s="1"/>
  <c r="V186" i="20" s="1"/>
  <c r="W186" i="20" l="1"/>
  <c r="X186" i="20" s="1"/>
  <c r="V187" i="20" s="1"/>
  <c r="W187" i="20" l="1"/>
  <c r="X187" i="20" s="1"/>
  <c r="V188" i="20" s="1"/>
  <c r="W188" i="20" l="1"/>
  <c r="X188" i="20" s="1"/>
  <c r="V189" i="20" l="1"/>
  <c r="W189" i="20" s="1"/>
  <c r="X189" i="20" s="1"/>
  <c r="V190" i="20" s="1"/>
  <c r="W190" i="20" s="1"/>
  <c r="X190" i="20" s="1"/>
  <c r="V191" i="20" s="1"/>
  <c r="W191" i="20" l="1"/>
  <c r="X191" i="20" s="1"/>
  <c r="V192" i="20" s="1"/>
  <c r="W192" i="20" l="1"/>
  <c r="X192" i="20" s="1"/>
  <c r="V193" i="20" s="1"/>
  <c r="W193" i="20" l="1"/>
  <c r="X193" i="20" s="1"/>
  <c r="V194" i="20" s="1"/>
  <c r="W194" i="20" l="1"/>
  <c r="X194" i="20" s="1"/>
  <c r="V195" i="20" s="1"/>
  <c r="W195" i="20" l="1"/>
  <c r="X195" i="20" s="1"/>
  <c r="V196" i="20" l="1"/>
  <c r="W196" i="20" s="1"/>
  <c r="X196" i="20" s="1"/>
  <c r="V197" i="20" s="1"/>
  <c r="W197" i="20" s="1"/>
  <c r="X197" i="20" s="1"/>
  <c r="V198" i="20" s="1"/>
  <c r="W198" i="20" l="1"/>
  <c r="X198" i="20" s="1"/>
  <c r="V199" i="20" s="1"/>
  <c r="W199" i="20" l="1"/>
  <c r="X199" i="20" s="1"/>
  <c r="V200" i="20" s="1"/>
  <c r="W200" i="20" l="1"/>
  <c r="X200" i="20" s="1"/>
  <c r="V201" i="20" s="1"/>
  <c r="W201" i="20" l="1"/>
  <c r="X201" i="20" s="1"/>
  <c r="V202" i="20" s="1"/>
  <c r="W202" i="20" l="1"/>
  <c r="X202" i="20" s="1"/>
  <c r="V203" i="20" s="1"/>
  <c r="W203" i="20" l="1"/>
  <c r="X203" i="20" s="1"/>
  <c r="V204" i="20" s="1"/>
  <c r="W204" i="20" l="1"/>
  <c r="X204" i="20" s="1"/>
  <c r="V205" i="20" s="1"/>
  <c r="W205" i="20" l="1"/>
  <c r="X205" i="20" s="1"/>
  <c r="V206" i="20" s="1"/>
  <c r="W206" i="20" l="1"/>
  <c r="X206" i="20" s="1"/>
  <c r="V207" i="20" s="1"/>
  <c r="W207" i="20" l="1"/>
  <c r="X207" i="20" s="1"/>
  <c r="V208" i="20" s="1"/>
  <c r="W208" i="20" l="1"/>
  <c r="X208" i="20" s="1"/>
  <c r="V209" i="20" s="1"/>
  <c r="W209" i="20" l="1"/>
  <c r="X209" i="20" s="1"/>
  <c r="V210" i="20" l="1"/>
  <c r="W210" i="20" s="1"/>
  <c r="X210" i="20" s="1"/>
  <c r="V211" i="20" s="1"/>
  <c r="W211" i="20" s="1"/>
  <c r="X211" i="20" s="1"/>
  <c r="V212" i="20" s="1"/>
  <c r="W212" i="20" l="1"/>
  <c r="X212" i="20" s="1"/>
  <c r="V213" i="20" s="1"/>
  <c r="W213" i="20" l="1"/>
  <c r="X213" i="20" s="1"/>
  <c r="V214" i="20" s="1"/>
  <c r="W214" i="20" l="1"/>
  <c r="X214" i="20" s="1"/>
  <c r="V215" i="20" s="1"/>
  <c r="W215" i="20" l="1"/>
  <c r="X215" i="20" s="1"/>
  <c r="V216" i="20" s="1"/>
  <c r="W216" i="20" l="1"/>
  <c r="X216" i="20" s="1"/>
  <c r="W217" i="20" l="1"/>
  <c r="X217" i="20" s="1"/>
  <c r="V218" i="20" s="1"/>
  <c r="W218" i="20" s="1"/>
  <c r="X218" i="20" s="1"/>
  <c r="V219" i="20" s="1"/>
  <c r="V217" i="20"/>
  <c r="W219" i="20" l="1"/>
  <c r="X219" i="20" s="1"/>
  <c r="V220" i="20" s="1"/>
  <c r="W220" i="20" l="1"/>
  <c r="X220" i="20" s="1"/>
  <c r="V221" i="20" s="1"/>
  <c r="W221" i="20" l="1"/>
  <c r="X221" i="20" s="1"/>
  <c r="V222" i="20" s="1"/>
  <c r="W222" i="20" l="1"/>
  <c r="X222" i="20" s="1"/>
  <c r="V223" i="20" s="1"/>
  <c r="W223" i="20" l="1"/>
  <c r="X223" i="20" s="1"/>
  <c r="V224" i="20" l="1"/>
  <c r="W224" i="20" s="1"/>
  <c r="X224" i="20" s="1"/>
  <c r="V225" i="20" s="1"/>
  <c r="W225" i="20" s="1"/>
  <c r="X225" i="20" s="1"/>
  <c r="V226" i="20" s="1"/>
  <c r="W226" i="20" l="1"/>
  <c r="X226" i="20" s="1"/>
  <c r="V227" i="20" s="1"/>
  <c r="W227" i="20" l="1"/>
  <c r="X227" i="20" s="1"/>
  <c r="V228" i="20" s="1"/>
  <c r="W228" i="20" l="1"/>
  <c r="X228" i="20" s="1"/>
  <c r="V229" i="20" s="1"/>
  <c r="W229" i="20" l="1"/>
  <c r="X229" i="20" s="1"/>
  <c r="V230" i="20" s="1"/>
  <c r="W230" i="20" l="1"/>
  <c r="X230" i="20" s="1"/>
  <c r="V231" i="20" l="1"/>
  <c r="W231" i="20" s="1"/>
  <c r="X231" i="20" s="1"/>
  <c r="V232" i="20" s="1"/>
  <c r="W232" i="20" s="1"/>
  <c r="X232" i="20" s="1"/>
  <c r="V233" i="20" s="1"/>
  <c r="W233" i="20" l="1"/>
  <c r="X233" i="20" s="1"/>
  <c r="V234" i="20" s="1"/>
  <c r="W234" i="20" l="1"/>
  <c r="X234" i="20" s="1"/>
  <c r="V235" i="20" s="1"/>
  <c r="W235" i="20" l="1"/>
  <c r="X235" i="20" s="1"/>
  <c r="V236" i="20" s="1"/>
  <c r="W236" i="20" l="1"/>
  <c r="X236" i="20" s="1"/>
  <c r="V237" i="20" s="1"/>
  <c r="W237" i="20" l="1"/>
  <c r="X237" i="20" s="1"/>
  <c r="V238" i="20" l="1"/>
  <c r="W238" i="20" s="1"/>
  <c r="X238" i="20" s="1"/>
  <c r="V239" i="20" s="1"/>
  <c r="W239" i="20" s="1"/>
  <c r="X239" i="20" s="1"/>
  <c r="V240" i="20" s="1"/>
  <c r="W240" i="20" l="1"/>
  <c r="X240" i="20" s="1"/>
  <c r="V241" i="20" s="1"/>
  <c r="W241" i="20" l="1"/>
  <c r="X241" i="20" s="1"/>
  <c r="V242" i="20" s="1"/>
  <c r="W242" i="20" l="1"/>
  <c r="X242" i="20" s="1"/>
  <c r="V243" i="20" s="1"/>
  <c r="W243" i="20" l="1"/>
  <c r="X243" i="20" s="1"/>
  <c r="V244" i="20" s="1"/>
  <c r="W244" i="20" l="1"/>
  <c r="X244" i="20" s="1"/>
  <c r="W245" i="20" l="1"/>
  <c r="X245" i="20" s="1"/>
  <c r="V246" i="20" s="1"/>
  <c r="W246" i="20" s="1"/>
  <c r="X246" i="20" s="1"/>
  <c r="V247" i="20" s="1"/>
  <c r="V245" i="20"/>
  <c r="W247" i="20" l="1"/>
  <c r="X247" i="20" s="1"/>
  <c r="V248" i="20" s="1"/>
  <c r="W248" i="20" l="1"/>
  <c r="X248" i="20" s="1"/>
  <c r="V249" i="20" s="1"/>
  <c r="W249" i="20" l="1"/>
  <c r="X249" i="20" s="1"/>
  <c r="V250" i="20" s="1"/>
  <c r="W250" i="20" l="1"/>
  <c r="X250" i="20" s="1"/>
  <c r="V251" i="20" s="1"/>
  <c r="W251" i="20" l="1"/>
  <c r="X251" i="20" s="1"/>
  <c r="V252" i="20" s="1"/>
  <c r="W252" i="20" l="1"/>
  <c r="X252" i="20" s="1"/>
  <c r="V253" i="20" s="1"/>
  <c r="W253" i="20" l="1"/>
  <c r="X253" i="20" s="1"/>
  <c r="V254" i="20" s="1"/>
  <c r="W254" i="20" l="1"/>
  <c r="X254" i="20" s="1"/>
  <c r="V255" i="20" s="1"/>
  <c r="W255" i="20" l="1"/>
  <c r="X255" i="20" s="1"/>
  <c r="V256" i="20" s="1"/>
  <c r="W256" i="20" l="1"/>
  <c r="X256" i="20" s="1"/>
  <c r="V257" i="20" s="1"/>
  <c r="W257" i="20" l="1"/>
  <c r="X257" i="20" s="1"/>
  <c r="V258" i="20" s="1"/>
  <c r="W258" i="20" l="1"/>
  <c r="X258" i="20" s="1"/>
  <c r="V259" i="20" s="1"/>
  <c r="W259" i="20" l="1"/>
  <c r="X259" i="20" s="1"/>
  <c r="V260" i="20" s="1"/>
  <c r="W260" i="20" l="1"/>
  <c r="X260" i="20" s="1"/>
  <c r="V261" i="20" s="1"/>
  <c r="W261" i="20" l="1"/>
  <c r="X261" i="20" s="1"/>
  <c r="V262" i="20" s="1"/>
  <c r="W262" i="20" l="1"/>
  <c r="X262" i="20" s="1"/>
  <c r="V263" i="20" s="1"/>
  <c r="W263" i="20" l="1"/>
  <c r="X263" i="20" s="1"/>
  <c r="V264" i="20" s="1"/>
  <c r="W264" i="20" l="1"/>
  <c r="X264" i="20" s="1"/>
  <c r="V265" i="20" s="1"/>
  <c r="W265" i="20" l="1"/>
  <c r="X265" i="20" s="1"/>
  <c r="V266" i="20" s="1"/>
  <c r="W266" i="20" l="1"/>
  <c r="X266" i="20" s="1"/>
  <c r="V267" i="20" s="1"/>
  <c r="W267" i="20" l="1"/>
  <c r="X267" i="20" s="1"/>
  <c r="V268" i="20" s="1"/>
  <c r="W268" i="20" l="1"/>
  <c r="X268" i="20" s="1"/>
  <c r="V269" i="20" s="1"/>
  <c r="W269" i="20" l="1"/>
  <c r="X269" i="20" s="1"/>
  <c r="V270" i="20" s="1"/>
  <c r="W270" i="20" l="1"/>
  <c r="X270" i="20" s="1"/>
  <c r="V271" i="20" s="1"/>
  <c r="W271" i="20" l="1"/>
  <c r="X271" i="20" s="1"/>
  <c r="V272" i="20" s="1"/>
  <c r="W272" i="20" l="1"/>
  <c r="X272" i="20" s="1"/>
  <c r="V273" i="20" s="1"/>
  <c r="W273" i="20" l="1"/>
  <c r="X273" i="20" s="1"/>
  <c r="V274" i="20" s="1"/>
  <c r="W274" i="20" l="1"/>
  <c r="X274" i="20" s="1"/>
  <c r="V275" i="20" s="1"/>
  <c r="W275" i="20" l="1"/>
  <c r="X275" i="20" s="1"/>
  <c r="V276" i="20" s="1"/>
  <c r="W276" i="20" l="1"/>
  <c r="X276" i="20" s="1"/>
  <c r="V277" i="20" s="1"/>
  <c r="W277" i="20" l="1"/>
  <c r="X277" i="20" s="1"/>
  <c r="V278" i="20" s="1"/>
  <c r="W278" i="20" l="1"/>
  <c r="X278" i="20" s="1"/>
  <c r="V279" i="20" s="1"/>
  <c r="W279" i="20" l="1"/>
  <c r="X279" i="20" s="1"/>
  <c r="V280" i="20" l="1"/>
  <c r="W280" i="20" s="1"/>
  <c r="X280" i="20" s="1"/>
  <c r="V281" i="20" s="1"/>
  <c r="W281" i="20" s="1"/>
  <c r="X281" i="20" s="1"/>
  <c r="V282" i="20" s="1"/>
  <c r="W282" i="20" l="1"/>
  <c r="X282" i="20" s="1"/>
  <c r="V283" i="20" s="1"/>
  <c r="W283" i="20" l="1"/>
  <c r="X283" i="20" s="1"/>
  <c r="V284" i="20" s="1"/>
  <c r="W284" i="20" l="1"/>
  <c r="X284" i="20" s="1"/>
  <c r="V285" i="20" s="1"/>
  <c r="W285" i="20" l="1"/>
  <c r="X285" i="20" s="1"/>
  <c r="V286" i="20" s="1"/>
  <c r="W286" i="20" l="1"/>
  <c r="X286" i="20" s="1"/>
  <c r="V287" i="20" s="1"/>
  <c r="W287" i="20" l="1"/>
  <c r="X287" i="20" s="1"/>
  <c r="V288" i="20" s="1"/>
  <c r="W288" i="20" l="1"/>
  <c r="X288" i="20" s="1"/>
  <c r="V289" i="20" s="1"/>
  <c r="W289" i="20" l="1"/>
  <c r="X289" i="20" s="1"/>
  <c r="V290" i="20" s="1"/>
  <c r="W290" i="20" l="1"/>
  <c r="X290" i="20" s="1"/>
  <c r="V291" i="20" s="1"/>
  <c r="W291" i="20" l="1"/>
  <c r="X291" i="20" s="1"/>
  <c r="V292" i="20" s="1"/>
  <c r="W292" i="20" l="1"/>
  <c r="X292" i="20" s="1"/>
  <c r="V293" i="20" s="1"/>
  <c r="W293" i="20" l="1"/>
  <c r="X293" i="20" s="1"/>
  <c r="V294" i="20" s="1"/>
  <c r="W294" i="20" l="1"/>
  <c r="X294" i="20" s="1"/>
  <c r="V295" i="20" s="1"/>
  <c r="W295" i="20" l="1"/>
  <c r="X295" i="20" s="1"/>
  <c r="V296" i="20" s="1"/>
  <c r="W296" i="20" l="1"/>
  <c r="X296" i="20" s="1"/>
  <c r="V297" i="20" s="1"/>
  <c r="W297" i="20" l="1"/>
  <c r="X297" i="20" s="1"/>
  <c r="V298" i="20" s="1"/>
  <c r="W298" i="20" l="1"/>
  <c r="X298" i="20" s="1"/>
  <c r="V299" i="20" s="1"/>
  <c r="W299" i="20" l="1"/>
  <c r="X299" i="20" s="1"/>
  <c r="V300" i="20" s="1"/>
  <c r="W300" i="20" l="1"/>
  <c r="X300" i="20" s="1"/>
  <c r="V301" i="20" s="1"/>
  <c r="W301" i="20" l="1"/>
  <c r="X301" i="20" s="1"/>
  <c r="V302" i="20" s="1"/>
  <c r="W302" i="20" l="1"/>
  <c r="X302" i="20" s="1"/>
  <c r="V303" i="20" s="1"/>
  <c r="W303" i="20" l="1"/>
  <c r="X303" i="20" s="1"/>
  <c r="V304" i="20" s="1"/>
  <c r="W304" i="20" l="1"/>
  <c r="X304" i="20" s="1"/>
  <c r="V305" i="20" s="1"/>
  <c r="W305" i="20" l="1"/>
  <c r="X305" i="20" s="1"/>
  <c r="V306" i="20" s="1"/>
  <c r="W306" i="20" l="1"/>
  <c r="X306" i="20" s="1"/>
  <c r="V307" i="20" s="1"/>
  <c r="W307" i="20" l="1"/>
  <c r="X307" i="20" s="1"/>
  <c r="V308" i="20" l="1"/>
  <c r="W308" i="20" s="1"/>
  <c r="X308" i="20" s="1"/>
  <c r="V309" i="20" s="1"/>
  <c r="W309" i="20" s="1"/>
  <c r="X309" i="20" s="1"/>
  <c r="V310" i="20" s="1"/>
  <c r="W310" i="20" l="1"/>
  <c r="X310" i="20" s="1"/>
  <c r="V311" i="20" s="1"/>
  <c r="W311" i="20" l="1"/>
  <c r="X311" i="20" s="1"/>
  <c r="V312" i="20" s="1"/>
  <c r="W312" i="20" l="1"/>
  <c r="X312" i="20" s="1"/>
  <c r="V313" i="20" s="1"/>
  <c r="W313" i="20" l="1"/>
  <c r="X313" i="20" s="1"/>
  <c r="V314" i="20" s="1"/>
  <c r="W314" i="20" l="1"/>
  <c r="X314" i="20" s="1"/>
  <c r="W315" i="20" l="1"/>
  <c r="X315" i="20" s="1"/>
  <c r="V316" i="20" s="1"/>
  <c r="W316" i="20" s="1"/>
  <c r="X316" i="20" s="1"/>
  <c r="V317" i="20" s="1"/>
  <c r="V315" i="20"/>
  <c r="W317" i="20" l="1"/>
  <c r="X317" i="20" s="1"/>
  <c r="V318" i="20" s="1"/>
  <c r="W318" i="20" l="1"/>
  <c r="X318" i="20" s="1"/>
  <c r="V319" i="20" s="1"/>
  <c r="W319" i="20" l="1"/>
  <c r="X319" i="20" s="1"/>
  <c r="V320" i="20" s="1"/>
  <c r="W320" i="20" l="1"/>
  <c r="X320" i="20" s="1"/>
  <c r="V321" i="20" s="1"/>
  <c r="W321" i="20" l="1"/>
  <c r="X321" i="20" s="1"/>
  <c r="V322" i="20" l="1"/>
  <c r="W322" i="20" s="1"/>
  <c r="X322" i="20" s="1"/>
  <c r="V323" i="20" s="1"/>
  <c r="W323" i="20" s="1"/>
  <c r="X323" i="20" s="1"/>
  <c r="V324" i="20" s="1"/>
  <c r="W324" i="20" l="1"/>
  <c r="X324" i="20" s="1"/>
  <c r="V325" i="20" s="1"/>
  <c r="W325" i="20" l="1"/>
  <c r="X325" i="20" s="1"/>
  <c r="V326" i="20" s="1"/>
  <c r="W326" i="20" l="1"/>
  <c r="X326" i="20" s="1"/>
  <c r="V327" i="20" s="1"/>
  <c r="W327" i="20" l="1"/>
  <c r="X327" i="20" s="1"/>
  <c r="V328" i="20" s="1"/>
  <c r="W328" i="20" l="1"/>
  <c r="X328" i="20" s="1"/>
  <c r="V329" i="20" l="1"/>
  <c r="W329" i="20" s="1"/>
  <c r="X329" i="20" s="1"/>
  <c r="V330" i="20" s="1"/>
  <c r="W330" i="20" s="1"/>
  <c r="X330" i="20" s="1"/>
  <c r="V331" i="20" s="1"/>
  <c r="W331" i="20" l="1"/>
  <c r="X331" i="20" s="1"/>
  <c r="V332" i="20" s="1"/>
  <c r="W332" i="20" l="1"/>
  <c r="X332" i="20" s="1"/>
  <c r="V333" i="20" s="1"/>
  <c r="W333" i="20" l="1"/>
  <c r="X333" i="20" s="1"/>
  <c r="V334" i="20" s="1"/>
  <c r="W334" i="20" l="1"/>
  <c r="X334" i="20" s="1"/>
  <c r="V335" i="20" s="1"/>
  <c r="W335" i="20" l="1"/>
  <c r="X335" i="20" s="1"/>
  <c r="V336" i="20" l="1"/>
  <c r="W336" i="20" s="1"/>
  <c r="X336" i="20" s="1"/>
  <c r="V337" i="20" s="1"/>
  <c r="W337" i="20" s="1"/>
  <c r="X337" i="20" s="1"/>
  <c r="V338" i="20" s="1"/>
  <c r="W338" i="20" l="1"/>
  <c r="X338" i="20" s="1"/>
  <c r="V339" i="20" s="1"/>
  <c r="W339" i="20" l="1"/>
  <c r="X339" i="20" s="1"/>
  <c r="V340" i="20" s="1"/>
  <c r="W340" i="20" l="1"/>
  <c r="X340" i="20" s="1"/>
  <c r="V341" i="20" s="1"/>
  <c r="W341" i="20" l="1"/>
  <c r="X341" i="20" s="1"/>
  <c r="V342" i="20" s="1"/>
  <c r="W342" i="20" l="1"/>
  <c r="X342" i="20" s="1"/>
  <c r="V343" i="20" l="1"/>
  <c r="W343" i="20" s="1"/>
  <c r="X343" i="20" s="1"/>
  <c r="V344" i="20" s="1"/>
  <c r="W344" i="20" s="1"/>
  <c r="X344" i="20" s="1"/>
  <c r="V345" i="20" s="1"/>
  <c r="W345" i="20" l="1"/>
  <c r="X345" i="20" s="1"/>
  <c r="V346" i="20" s="1"/>
  <c r="W346" i="20" l="1"/>
  <c r="X346" i="20" s="1"/>
  <c r="V347" i="20" s="1"/>
  <c r="W347" i="20" l="1"/>
  <c r="X347" i="20" s="1"/>
  <c r="V348" i="20" s="1"/>
  <c r="W348" i="20" l="1"/>
  <c r="X348" i="20" s="1"/>
  <c r="V349" i="20" s="1"/>
  <c r="W349" i="20" l="1"/>
  <c r="X349" i="20" s="1"/>
  <c r="W350" i="20" l="1"/>
  <c r="X350" i="20" s="1"/>
  <c r="V351" i="20" s="1"/>
  <c r="W351" i="20" s="1"/>
  <c r="X351" i="20" s="1"/>
  <c r="V352" i="20" s="1"/>
  <c r="V350" i="20"/>
  <c r="W352" i="20" l="1"/>
  <c r="X352" i="20" s="1"/>
  <c r="V353" i="20" s="1"/>
  <c r="W353" i="20" l="1"/>
  <c r="X353" i="20" s="1"/>
  <c r="V354" i="20" s="1"/>
  <c r="W354" i="20" l="1"/>
  <c r="X354" i="20" s="1"/>
  <c r="V355" i="20" s="1"/>
  <c r="W355" i="20" l="1"/>
  <c r="X355" i="20" s="1"/>
  <c r="V356" i="20" s="1"/>
  <c r="W356" i="20" l="1"/>
  <c r="X356" i="20" s="1"/>
  <c r="V357" i="20" s="1"/>
  <c r="W357" i="20" l="1"/>
  <c r="X357" i="20" s="1"/>
  <c r="V358" i="20" s="1"/>
  <c r="W358" i="20" l="1"/>
  <c r="X358" i="20" s="1"/>
  <c r="V359" i="20" s="1"/>
  <c r="W359" i="20" l="1"/>
  <c r="X359" i="20" s="1"/>
  <c r="V360" i="20" s="1"/>
  <c r="W360" i="20" l="1"/>
  <c r="X360" i="20" s="1"/>
  <c r="V361" i="20" s="1"/>
  <c r="W361" i="20" l="1"/>
  <c r="X361" i="20" s="1"/>
  <c r="V362" i="20" s="1"/>
  <c r="W362" i="20" l="1"/>
  <c r="X362" i="20" s="1"/>
  <c r="V363" i="20" s="1"/>
  <c r="W363" i="20" l="1"/>
  <c r="X363" i="20" s="1"/>
  <c r="V364" i="20" l="1"/>
  <c r="W364" i="20" s="1"/>
  <c r="X364" i="20" s="1"/>
  <c r="V365" i="20" s="1"/>
  <c r="W365" i="20" s="1"/>
  <c r="X365" i="20" s="1"/>
  <c r="V366" i="20" s="1"/>
  <c r="W366" i="20" l="1"/>
  <c r="X366" i="20" s="1"/>
  <c r="V367" i="20" s="1"/>
  <c r="W367" i="20" l="1"/>
  <c r="X367" i="20" s="1"/>
  <c r="V368" i="20" s="1"/>
  <c r="W368" i="20" l="1"/>
  <c r="X368" i="20" s="1"/>
  <c r="V369" i="20" s="1"/>
  <c r="W369" i="20" l="1"/>
  <c r="X369" i="20" s="1"/>
  <c r="V370" i="20" s="1"/>
  <c r="W370" i="20" l="1"/>
  <c r="X370" i="20" s="1"/>
  <c r="V371" i="20" l="1"/>
  <c r="W371" i="20" s="1"/>
  <c r="X371" i="20" s="1"/>
  <c r="V372" i="20" s="1"/>
  <c r="W372" i="20" s="1"/>
  <c r="X372" i="20" s="1"/>
  <c r="V373" i="20" s="1"/>
  <c r="W373" i="20" l="1"/>
  <c r="X373" i="20" s="1"/>
  <c r="V374" i="20" s="1"/>
  <c r="W374" i="20" l="1"/>
  <c r="X374" i="20" s="1"/>
  <c r="V375" i="20" s="1"/>
  <c r="W375" i="20" l="1"/>
  <c r="X375" i="20" s="1"/>
  <c r="V376" i="20" s="1"/>
  <c r="W376" i="20" l="1"/>
  <c r="X376" i="20" s="1"/>
  <c r="V377" i="20" s="1"/>
  <c r="W377" i="20" l="1"/>
  <c r="X377" i="20" s="1"/>
  <c r="V378" i="20" s="1"/>
  <c r="W378" i="20" l="1"/>
  <c r="X378" i="20" s="1"/>
  <c r="V379" i="20" s="1"/>
  <c r="W379" i="20" l="1"/>
  <c r="X379" i="20" s="1"/>
  <c r="V380" i="20" s="1"/>
  <c r="W380" i="20" l="1"/>
  <c r="X380" i="20" s="1"/>
  <c r="V381" i="20" s="1"/>
  <c r="W381" i="20" l="1"/>
  <c r="X381" i="20" s="1"/>
  <c r="V382" i="20" s="1"/>
  <c r="W382" i="20" l="1"/>
  <c r="X382" i="20" s="1"/>
  <c r="V383" i="20" s="1"/>
  <c r="W383" i="20" l="1"/>
  <c r="X383" i="20" s="1"/>
  <c r="V384" i="20" s="1"/>
  <c r="W384" i="20" l="1"/>
  <c r="X384" i="20" s="1"/>
  <c r="V385" i="20" s="1"/>
  <c r="W385" i="20" l="1"/>
  <c r="X385" i="20" s="1"/>
  <c r="V386" i="20" s="1"/>
  <c r="W386" i="20" l="1"/>
  <c r="X386" i="20" s="1"/>
  <c r="V387" i="20" s="1"/>
  <c r="W387" i="20" l="1"/>
  <c r="X387" i="20" s="1"/>
  <c r="V388" i="20" s="1"/>
  <c r="W388" i="20" l="1"/>
  <c r="X388" i="20" s="1"/>
  <c r="V389" i="20" s="1"/>
  <c r="W389" i="20" l="1"/>
  <c r="X389" i="20" s="1"/>
  <c r="V390" i="20" s="1"/>
  <c r="W390" i="20" l="1"/>
  <c r="X390" i="20" s="1"/>
  <c r="V391" i="20" s="1"/>
  <c r="W391" i="20" l="1"/>
  <c r="X391" i="20" s="1"/>
  <c r="V392" i="20" s="1"/>
  <c r="W392" i="20" l="1"/>
  <c r="X392" i="20" s="1"/>
  <c r="V393" i="20" s="1"/>
  <c r="W393" i="20" l="1"/>
  <c r="X393" i="20" s="1"/>
  <c r="V394" i="20" s="1"/>
  <c r="W394" i="20" l="1"/>
  <c r="X394" i="20" s="1"/>
  <c r="V395" i="20" s="1"/>
  <c r="W395" i="20" l="1"/>
  <c r="X395" i="20" s="1"/>
  <c r="V396" i="20" s="1"/>
  <c r="W396" i="20" l="1"/>
  <c r="X396" i="20" s="1"/>
  <c r="V397" i="20" s="1"/>
  <c r="W397" i="20" l="1"/>
  <c r="X397" i="20" s="1"/>
  <c r="V398" i="20" s="1"/>
  <c r="W398" i="20" l="1"/>
  <c r="X398" i="20" s="1"/>
  <c r="V399" i="20" s="1"/>
  <c r="W399" i="20" l="1"/>
  <c r="X399" i="20" s="1"/>
  <c r="V400" i="20" s="1"/>
  <c r="W400" i="20" l="1"/>
  <c r="X400" i="20" s="1"/>
  <c r="V401" i="20" s="1"/>
  <c r="W401" i="20" l="1"/>
  <c r="X401" i="20" s="1"/>
  <c r="V402" i="20" s="1"/>
  <c r="W402" i="20" l="1"/>
  <c r="X402" i="20" s="1"/>
  <c r="V403" i="20" s="1"/>
  <c r="W403" i="20" l="1"/>
  <c r="X403" i="20" s="1"/>
  <c r="V404" i="20" s="1"/>
  <c r="W404" i="20" l="1"/>
  <c r="X404" i="20" s="1"/>
  <c r="V405" i="20" s="1"/>
  <c r="W405" i="20" l="1"/>
  <c r="X405" i="20" s="1"/>
  <c r="V406" i="20" s="1"/>
  <c r="W406" i="20" l="1"/>
  <c r="X406" i="20" s="1"/>
  <c r="V407" i="20" s="1"/>
  <c r="W407" i="20" l="1"/>
  <c r="X407" i="20" s="1"/>
  <c r="V408" i="20" s="1"/>
  <c r="W408" i="20" l="1"/>
  <c r="X408" i="20" s="1"/>
  <c r="V409" i="20" s="1"/>
  <c r="W409" i="20" l="1"/>
  <c r="X409" i="20" s="1"/>
  <c r="V410" i="20" s="1"/>
  <c r="W410" i="20" l="1"/>
  <c r="X410" i="20" s="1"/>
  <c r="V411" i="20" s="1"/>
  <c r="W411" i="20" l="1"/>
  <c r="X411" i="20" s="1"/>
  <c r="V412" i="20" s="1"/>
  <c r="W412" i="20" l="1"/>
  <c r="X412" i="20" s="1"/>
  <c r="V413" i="20" s="1"/>
  <c r="W413" i="20" l="1"/>
  <c r="X413" i="20" s="1"/>
  <c r="V414" i="20" s="1"/>
  <c r="W414" i="20" l="1"/>
  <c r="X414" i="20" s="1"/>
  <c r="V415" i="20" s="1"/>
  <c r="W415" i="20" l="1"/>
  <c r="X415" i="20" s="1"/>
  <c r="V416" i="20" s="1"/>
  <c r="W416" i="20" l="1"/>
  <c r="X416" i="20" s="1"/>
  <c r="V417" i="20" s="1"/>
  <c r="W417" i="20" l="1"/>
  <c r="X417" i="20" s="1"/>
  <c r="V418" i="20" s="1"/>
  <c r="W418" i="20" l="1"/>
  <c r="X418" i="20" s="1"/>
  <c r="V419" i="20" s="1"/>
  <c r="W419" i="20" l="1"/>
  <c r="X419" i="20" s="1"/>
  <c r="V420" i="20" s="1"/>
  <c r="W420" i="20" l="1"/>
  <c r="X420" i="20" s="1"/>
  <c r="V421" i="20" s="1"/>
  <c r="W421" i="20" l="1"/>
  <c r="X421" i="20" s="1"/>
  <c r="V422" i="20" s="1"/>
  <c r="W422" i="20" l="1"/>
  <c r="X422" i="20" s="1"/>
  <c r="V423" i="20" s="1"/>
  <c r="W423" i="20" l="1"/>
  <c r="X423" i="20" s="1"/>
  <c r="V424" i="20" s="1"/>
  <c r="W424" i="20" l="1"/>
  <c r="X424" i="20" s="1"/>
  <c r="V425" i="20" s="1"/>
  <c r="W425" i="20" l="1"/>
  <c r="X425" i="20" s="1"/>
  <c r="V426" i="20" s="1"/>
  <c r="W426" i="20" l="1"/>
  <c r="X426" i="20" s="1"/>
  <c r="V427" i="20" l="1"/>
  <c r="W427" i="20" s="1"/>
  <c r="X427" i="20" s="1"/>
  <c r="V428" i="20" s="1"/>
  <c r="W428" i="20" s="1"/>
  <c r="X428" i="20" s="1"/>
  <c r="V429" i="20" s="1"/>
  <c r="W429" i="20" l="1"/>
  <c r="X429" i="20" s="1"/>
  <c r="V430" i="20" s="1"/>
  <c r="W430" i="20" l="1"/>
  <c r="X430" i="20" s="1"/>
  <c r="V431" i="20" s="1"/>
  <c r="W431" i="20" l="1"/>
  <c r="X431" i="20" s="1"/>
  <c r="V432" i="20" s="1"/>
  <c r="W432" i="20" l="1"/>
  <c r="X432" i="20" s="1"/>
  <c r="V433" i="20" s="1"/>
  <c r="W433" i="20" l="1"/>
  <c r="X433" i="20" s="1"/>
  <c r="V434" i="20" l="1"/>
  <c r="W434" i="20" s="1"/>
  <c r="X434" i="20" s="1"/>
  <c r="V435" i="20" s="1"/>
  <c r="W435" i="20" s="1"/>
  <c r="X435" i="20" s="1"/>
  <c r="V436" i="20" s="1"/>
  <c r="W436" i="20" l="1"/>
  <c r="X436" i="20" s="1"/>
  <c r="V437" i="20" s="1"/>
  <c r="W437" i="20" l="1"/>
  <c r="X437" i="20" s="1"/>
  <c r="V438" i="20" s="1"/>
  <c r="W438" i="20" l="1"/>
  <c r="X438" i="20" s="1"/>
  <c r="V439" i="20" s="1"/>
  <c r="W439" i="20" l="1"/>
  <c r="X439" i="20" s="1"/>
  <c r="V440" i="20" s="1"/>
  <c r="W440" i="20" l="1"/>
  <c r="X440" i="20" s="1"/>
  <c r="V441" i="20" l="1"/>
  <c r="W441" i="20" s="1"/>
  <c r="X441" i="20" s="1"/>
  <c r="V442" i="20" s="1"/>
  <c r="W442" i="20" s="1"/>
  <c r="X442" i="20" s="1"/>
  <c r="V443" i="20" s="1"/>
  <c r="W443" i="20" l="1"/>
  <c r="X443" i="20" s="1"/>
  <c r="V444" i="20" s="1"/>
  <c r="W444" i="20" l="1"/>
  <c r="X444" i="20" s="1"/>
  <c r="V445" i="20" s="1"/>
  <c r="W445" i="20" l="1"/>
  <c r="X445" i="20" s="1"/>
  <c r="V446" i="20" s="1"/>
  <c r="W446" i="20" l="1"/>
  <c r="X446" i="20" s="1"/>
  <c r="V447" i="20" s="1"/>
  <c r="W447" i="20" l="1"/>
  <c r="X447" i="20" s="1"/>
  <c r="V448" i="20" l="1"/>
  <c r="W448" i="20" s="1"/>
  <c r="X448" i="20" s="1"/>
  <c r="V449" i="20" s="1"/>
  <c r="W449" i="20" s="1"/>
  <c r="X449" i="20" s="1"/>
  <c r="V450" i="20" s="1"/>
  <c r="W450" i="20" l="1"/>
  <c r="X450" i="20" s="1"/>
  <c r="V451" i="20" s="1"/>
  <c r="W451" i="20" l="1"/>
  <c r="X451" i="20" s="1"/>
  <c r="V452" i="20" s="1"/>
  <c r="W452" i="20" l="1"/>
  <c r="X452" i="20" s="1"/>
  <c r="V453" i="20" s="1"/>
  <c r="W453" i="20" l="1"/>
  <c r="X453" i="20" s="1"/>
  <c r="V454" i="20" s="1"/>
  <c r="W454" i="20" l="1"/>
  <c r="X454" i="20" s="1"/>
  <c r="W455" i="20" l="1"/>
  <c r="X455" i="20" s="1"/>
  <c r="V456" i="20" s="1"/>
  <c r="W456" i="20" s="1"/>
  <c r="X456" i="20" s="1"/>
  <c r="V457" i="20" s="1"/>
  <c r="V455" i="20"/>
  <c r="W457" i="20" l="1"/>
  <c r="X457" i="20" s="1"/>
  <c r="V458" i="20" s="1"/>
  <c r="W458" i="20" l="1"/>
  <c r="X458" i="20" s="1"/>
  <c r="V459" i="20" s="1"/>
  <c r="W459" i="20" l="1"/>
  <c r="X459" i="20" s="1"/>
  <c r="V460" i="20" s="1"/>
  <c r="W460" i="20" l="1"/>
  <c r="X460" i="20" s="1"/>
  <c r="V461" i="20" s="1"/>
  <c r="W461" i="20" l="1"/>
  <c r="X461" i="20" s="1"/>
  <c r="V462" i="20" s="1"/>
  <c r="W462" i="20" l="1"/>
  <c r="X462" i="20" s="1"/>
  <c r="V463" i="20" s="1"/>
  <c r="W463" i="20" l="1"/>
  <c r="X463" i="20" s="1"/>
  <c r="V464" i="20" s="1"/>
  <c r="W464" i="20" l="1"/>
  <c r="X464" i="20" s="1"/>
  <c r="V465" i="20" s="1"/>
  <c r="W465" i="20" l="1"/>
  <c r="X465" i="20" s="1"/>
  <c r="V466" i="20" s="1"/>
  <c r="W466" i="20" l="1"/>
  <c r="X466" i="20" s="1"/>
  <c r="V467" i="20" s="1"/>
  <c r="W467" i="20" l="1"/>
  <c r="X467" i="20" s="1"/>
  <c r="V468" i="20" s="1"/>
  <c r="W468" i="20" l="1"/>
  <c r="X468" i="20" s="1"/>
  <c r="V469" i="20" s="1"/>
  <c r="W469" i="20" l="1"/>
  <c r="X469" i="20" s="1"/>
  <c r="V470" i="20" s="1"/>
  <c r="W470" i="20" l="1"/>
  <c r="X470" i="20" s="1"/>
  <c r="V471" i="20" s="1"/>
  <c r="W471" i="20" l="1"/>
  <c r="X471" i="20" s="1"/>
  <c r="V472" i="20" s="1"/>
  <c r="W472" i="20" l="1"/>
  <c r="X472" i="20" s="1"/>
  <c r="V473" i="20" s="1"/>
  <c r="W473" i="20" l="1"/>
  <c r="X473" i="20" s="1"/>
  <c r="V474" i="20" s="1"/>
  <c r="W474" i="20" l="1"/>
  <c r="X474" i="20" s="1"/>
  <c r="V475" i="20" s="1"/>
  <c r="W475" i="20" l="1"/>
  <c r="X475" i="20" s="1"/>
  <c r="V476" i="20" l="1"/>
  <c r="W476" i="20" s="1"/>
  <c r="X476" i="20" s="1"/>
  <c r="V477" i="20" s="1"/>
  <c r="W477" i="20" s="1"/>
  <c r="X477" i="20" s="1"/>
  <c r="V478" i="20" s="1"/>
  <c r="W478" i="20" l="1"/>
  <c r="X478" i="20" s="1"/>
  <c r="V479" i="20" s="1"/>
  <c r="W479" i="20" l="1"/>
  <c r="X479" i="20" s="1"/>
  <c r="V480" i="20" s="1"/>
  <c r="W480" i="20" l="1"/>
  <c r="X480" i="20" s="1"/>
  <c r="V481" i="20" s="1"/>
  <c r="W481" i="20" l="1"/>
  <c r="X481" i="20" s="1"/>
  <c r="V482" i="20" s="1"/>
  <c r="W482" i="20" l="1"/>
  <c r="X482" i="20" s="1"/>
  <c r="V483" i="20" l="1"/>
  <c r="W483" i="20" s="1"/>
  <c r="X483" i="20" s="1"/>
  <c r="V484" i="20" s="1"/>
  <c r="W484" i="20" s="1"/>
  <c r="X484" i="20" s="1"/>
  <c r="V485" i="20" s="1"/>
  <c r="W485" i="20" l="1"/>
  <c r="X485" i="20" s="1"/>
  <c r="V486" i="20" s="1"/>
  <c r="W486" i="20" l="1"/>
  <c r="X486" i="20" s="1"/>
  <c r="V487" i="20" s="1"/>
  <c r="W487" i="20" l="1"/>
  <c r="X487" i="20" s="1"/>
  <c r="V488" i="20" s="1"/>
  <c r="W488" i="20" l="1"/>
  <c r="X488" i="20" s="1"/>
  <c r="V489" i="20" s="1"/>
  <c r="W489" i="20" l="1"/>
  <c r="X489" i="20" s="1"/>
  <c r="W490" i="20" l="1"/>
  <c r="X490" i="20" s="1"/>
  <c r="V491" i="20" s="1"/>
  <c r="W491" i="20" s="1"/>
  <c r="X491" i="20" s="1"/>
  <c r="V492" i="20" s="1"/>
  <c r="V490" i="20"/>
  <c r="W492" i="20" l="1"/>
  <c r="X492" i="20" s="1"/>
  <c r="V493" i="20" s="1"/>
  <c r="W493" i="20" l="1"/>
  <c r="X493" i="20" s="1"/>
  <c r="V494" i="20" s="1"/>
  <c r="W494" i="20" l="1"/>
  <c r="X494" i="20" s="1"/>
  <c r="V495" i="20" s="1"/>
  <c r="W495" i="20" l="1"/>
  <c r="X495" i="20" s="1"/>
  <c r="V496" i="20" s="1"/>
  <c r="W496" i="20" l="1"/>
  <c r="X496" i="20" s="1"/>
  <c r="V497" i="20" l="1"/>
  <c r="W497" i="20" s="1"/>
  <c r="X497" i="20" s="1"/>
  <c r="V498" i="20" s="1"/>
  <c r="W498" i="20" s="1"/>
  <c r="X498" i="20" s="1"/>
  <c r="V499" i="20" s="1"/>
  <c r="W499" i="20" l="1"/>
  <c r="X499" i="20" s="1"/>
  <c r="V500" i="20" s="1"/>
  <c r="W500" i="20" l="1"/>
  <c r="X500" i="20" s="1"/>
  <c r="V501" i="20" s="1"/>
  <c r="W501" i="20" l="1"/>
  <c r="X501" i="20" s="1"/>
  <c r="V502" i="20" s="1"/>
  <c r="W502" i="20" l="1"/>
  <c r="X502" i="20" s="1"/>
  <c r="V503" i="20" s="1"/>
  <c r="W503" i="20" l="1"/>
  <c r="X503" i="20" s="1"/>
  <c r="V504" i="20" l="1"/>
  <c r="W504" i="20" s="1"/>
  <c r="X504" i="20" s="1"/>
  <c r="V505" i="20" s="1"/>
  <c r="W505" i="20" s="1"/>
  <c r="X505" i="20" s="1"/>
  <c r="V506" i="20" s="1"/>
  <c r="W506" i="20" l="1"/>
  <c r="X506" i="20" s="1"/>
  <c r="V507" i="20" s="1"/>
  <c r="W507" i="20" l="1"/>
  <c r="X507" i="20" s="1"/>
  <c r="V508" i="20" s="1"/>
  <c r="W508" i="20" l="1"/>
  <c r="X508" i="20" s="1"/>
  <c r="V509" i="20" s="1"/>
  <c r="W509" i="20" l="1"/>
  <c r="X509" i="20" s="1"/>
  <c r="V510" i="20" s="1"/>
  <c r="W510" i="20" l="1"/>
  <c r="X510" i="20" s="1"/>
  <c r="V511" i="20" s="1"/>
  <c r="W511" i="20" l="1"/>
  <c r="X511" i="20" s="1"/>
  <c r="V512" i="20" s="1"/>
  <c r="W512" i="20" l="1"/>
  <c r="X512" i="20" s="1"/>
  <c r="V513" i="20" s="1"/>
  <c r="W513" i="20" l="1"/>
  <c r="X513" i="20" s="1"/>
  <c r="V514" i="20" s="1"/>
  <c r="W514" i="20" l="1"/>
  <c r="X514" i="20" s="1"/>
  <c r="V515" i="20" s="1"/>
  <c r="W515" i="20" l="1"/>
  <c r="X515" i="20" s="1"/>
  <c r="V516" i="20" s="1"/>
  <c r="W516" i="20" l="1"/>
  <c r="X516" i="20" s="1"/>
  <c r="V517" i="20" s="1"/>
  <c r="W517" i="20" l="1"/>
  <c r="X517" i="20" s="1"/>
  <c r="V518" i="20" l="1"/>
  <c r="W518" i="20" s="1"/>
  <c r="X518" i="20" s="1"/>
  <c r="V519" i="20" s="1"/>
  <c r="W519" i="20" s="1"/>
  <c r="X519" i="20" s="1"/>
  <c r="V520" i="20" s="1"/>
  <c r="W520" i="20" l="1"/>
  <c r="X520" i="20" s="1"/>
  <c r="V521" i="20" s="1"/>
  <c r="W521" i="20" l="1"/>
  <c r="X521" i="20" s="1"/>
  <c r="V522" i="20" s="1"/>
  <c r="W522" i="20" l="1"/>
  <c r="X522" i="20" s="1"/>
  <c r="V523" i="20" s="1"/>
  <c r="W523" i="20" l="1"/>
  <c r="X523" i="20" s="1"/>
  <c r="V524" i="20" s="1"/>
  <c r="W524" i="20" l="1"/>
  <c r="X524" i="20" s="1"/>
  <c r="V525" i="20" l="1"/>
  <c r="W525" i="20" s="1"/>
  <c r="X525" i="20" s="1"/>
  <c r="V526" i="20" s="1"/>
  <c r="W526" i="20" s="1"/>
  <c r="X526" i="20" s="1"/>
  <c r="V527" i="20" s="1"/>
  <c r="W527" i="20" l="1"/>
  <c r="X527" i="20" s="1"/>
  <c r="V528" i="20" s="1"/>
  <c r="W528" i="20" l="1"/>
  <c r="X528" i="20" s="1"/>
  <c r="V529" i="20" s="1"/>
  <c r="W529" i="20" l="1"/>
  <c r="X529" i="20" s="1"/>
  <c r="V530" i="20" s="1"/>
  <c r="W530" i="20" l="1"/>
  <c r="X530" i="20" s="1"/>
  <c r="V531" i="20" s="1"/>
  <c r="W531" i="20" l="1"/>
  <c r="X531" i="20" s="1"/>
  <c r="V532" i="20" l="1"/>
  <c r="W532" i="20" s="1"/>
  <c r="X532" i="20" s="1"/>
  <c r="V533" i="20" s="1"/>
  <c r="W533" i="20" s="1"/>
  <c r="X533" i="20" s="1"/>
  <c r="V534" i="20" s="1"/>
  <c r="W534" i="20" l="1"/>
  <c r="X534" i="20" s="1"/>
  <c r="V535" i="20" s="1"/>
  <c r="W535" i="20" l="1"/>
  <c r="X535" i="20" s="1"/>
  <c r="V536" i="20" s="1"/>
  <c r="W536" i="20" l="1"/>
  <c r="X536" i="20" s="1"/>
  <c r="V537" i="20" s="1"/>
  <c r="W537" i="20" l="1"/>
  <c r="X537" i="20" s="1"/>
  <c r="V538" i="20" s="1"/>
  <c r="W538" i="20" l="1"/>
  <c r="X538" i="20" s="1"/>
  <c r="V539" i="20" l="1"/>
  <c r="W539" i="20" s="1"/>
  <c r="X539" i="20" s="1"/>
  <c r="V540" i="20" s="1"/>
  <c r="W540" i="20" s="1"/>
  <c r="X540" i="20" s="1"/>
  <c r="V541" i="20" s="1"/>
  <c r="W541" i="20" l="1"/>
  <c r="X541" i="20" s="1"/>
  <c r="V542" i="20" s="1"/>
  <c r="W542" i="20" l="1"/>
  <c r="X542" i="20" s="1"/>
  <c r="V543" i="20" s="1"/>
  <c r="W543" i="20" l="1"/>
  <c r="X543" i="20" s="1"/>
  <c r="V544" i="20" s="1"/>
  <c r="W544" i="20" l="1"/>
  <c r="X544" i="20" s="1"/>
  <c r="V545" i="20" s="1"/>
  <c r="W545" i="20" l="1"/>
  <c r="X545" i="20" s="1"/>
  <c r="V546" i="20" s="1"/>
  <c r="W546" i="20" l="1"/>
  <c r="X546" i="20" s="1"/>
  <c r="V547" i="20" s="1"/>
  <c r="W547" i="20" l="1"/>
  <c r="X547" i="20" s="1"/>
  <c r="V548" i="20" s="1"/>
  <c r="W548" i="20" l="1"/>
  <c r="X548" i="20" s="1"/>
  <c r="V549" i="20" s="1"/>
  <c r="W549" i="20" l="1"/>
  <c r="X549" i="20" s="1"/>
  <c r="V550" i="20" s="1"/>
  <c r="W550" i="20" l="1"/>
  <c r="X550" i="20" s="1"/>
  <c r="V551" i="20" s="1"/>
  <c r="W551" i="20" l="1"/>
  <c r="X551" i="20" s="1"/>
  <c r="V552" i="20" s="1"/>
  <c r="W552" i="20" l="1"/>
  <c r="X552" i="20" s="1"/>
  <c r="V553" i="20" s="1"/>
  <c r="W553" i="20" l="1"/>
  <c r="X553" i="20" s="1"/>
  <c r="V554" i="20" s="1"/>
  <c r="W554" i="20" l="1"/>
  <c r="X554" i="20" s="1"/>
  <c r="V555" i="20" s="1"/>
  <c r="W555" i="20" l="1"/>
  <c r="X555" i="20" s="1"/>
  <c r="V556" i="20" s="1"/>
  <c r="W556" i="20" l="1"/>
  <c r="X556" i="20" s="1"/>
  <c r="V557" i="20" s="1"/>
  <c r="W557" i="20" l="1"/>
  <c r="X557" i="20" s="1"/>
  <c r="V558" i="20" s="1"/>
  <c r="W558" i="20" l="1"/>
  <c r="X558" i="20" s="1"/>
  <c r="V559" i="20" s="1"/>
  <c r="W559" i="20" l="1"/>
  <c r="X559" i="20" s="1"/>
  <c r="V560" i="20" s="1"/>
  <c r="W560" i="20" l="1"/>
  <c r="X560" i="20" s="1"/>
  <c r="V561" i="20" s="1"/>
  <c r="W561" i="20" l="1"/>
  <c r="X561" i="20" s="1"/>
  <c r="V562" i="20" s="1"/>
  <c r="W562" i="20" l="1"/>
  <c r="X562" i="20" s="1"/>
  <c r="V563" i="20" s="1"/>
  <c r="W563" i="20" l="1"/>
  <c r="X563" i="20" s="1"/>
  <c r="V564" i="20" s="1"/>
  <c r="W564" i="20" l="1"/>
  <c r="X564" i="20" s="1"/>
  <c r="V565" i="20" s="1"/>
  <c r="W565" i="20" l="1"/>
  <c r="X565" i="20" s="1"/>
  <c r="V566" i="20" s="1"/>
  <c r="W566" i="20" l="1"/>
  <c r="X566" i="20" s="1"/>
  <c r="V567" i="20" s="1"/>
  <c r="W567" i="20" l="1"/>
  <c r="X567" i="20" s="1"/>
  <c r="V568" i="20" s="1"/>
  <c r="W568" i="20" l="1"/>
  <c r="X568" i="20" s="1"/>
  <c r="V569" i="20" s="1"/>
  <c r="W569" i="20" l="1"/>
  <c r="X569" i="20" s="1"/>
  <c r="V570" i="20" s="1"/>
  <c r="W570" i="20" l="1"/>
  <c r="X570" i="20" s="1"/>
  <c r="V571" i="20" s="1"/>
  <c r="W571" i="20" l="1"/>
  <c r="X571" i="20" s="1"/>
  <c r="V572" i="20" s="1"/>
  <c r="W572" i="20" l="1"/>
  <c r="X572" i="20" s="1"/>
  <c r="V573" i="20" s="1"/>
  <c r="W573" i="20" l="1"/>
  <c r="X573" i="20" s="1"/>
  <c r="V574" i="20" s="1"/>
  <c r="W574" i="20" l="1"/>
  <c r="X574" i="20" s="1"/>
  <c r="V575" i="20" s="1"/>
  <c r="W575" i="20" l="1"/>
  <c r="X575" i="20" s="1"/>
  <c r="V576" i="20" s="1"/>
  <c r="W576" i="20" l="1"/>
  <c r="X576" i="20" s="1"/>
  <c r="V577" i="20" s="1"/>
  <c r="W577" i="20" l="1"/>
  <c r="X577" i="20" s="1"/>
  <c r="V578" i="20" s="1"/>
  <c r="W578" i="20" l="1"/>
  <c r="X578" i="20" s="1"/>
  <c r="V579" i="20" s="1"/>
  <c r="W579" i="20" l="1"/>
  <c r="X579" i="20" s="1"/>
  <c r="V580" i="20" s="1"/>
  <c r="W580" i="20" l="1"/>
  <c r="X580" i="20" s="1"/>
  <c r="V581" i="20" s="1"/>
  <c r="W581" i="20" l="1"/>
  <c r="X581" i="20" s="1"/>
  <c r="V582" i="20" s="1"/>
  <c r="W582" i="20" l="1"/>
  <c r="X582" i="20" s="1"/>
  <c r="V583" i="20" s="1"/>
  <c r="W583" i="20" l="1"/>
  <c r="X583" i="20" s="1"/>
  <c r="V584" i="20" s="1"/>
  <c r="W584" i="20" l="1"/>
  <c r="X584" i="20" s="1"/>
  <c r="V585" i="20" s="1"/>
  <c r="W585" i="20" l="1"/>
  <c r="X585" i="20" s="1"/>
  <c r="V586" i="20" s="1"/>
  <c r="W586" i="20" l="1"/>
  <c r="X586" i="20" s="1"/>
  <c r="V587" i="20" s="1"/>
  <c r="W587" i="20" l="1"/>
  <c r="X587" i="20" s="1"/>
  <c r="V588" i="20" s="1"/>
  <c r="W588" i="20" l="1"/>
  <c r="X588" i="20" s="1"/>
  <c r="V589" i="20" s="1"/>
  <c r="W589" i="20" l="1"/>
  <c r="X589" i="20" s="1"/>
  <c r="V590" i="20" s="1"/>
  <c r="W590" i="20" l="1"/>
  <c r="X590" i="20" s="1"/>
  <c r="V591" i="20" s="1"/>
  <c r="W591" i="20" l="1"/>
  <c r="X591" i="20" s="1"/>
  <c r="V592" i="20" s="1"/>
  <c r="W592" i="20" l="1"/>
  <c r="X592" i="20" s="1"/>
  <c r="V593" i="20" s="1"/>
  <c r="W593" i="20" l="1"/>
  <c r="X593" i="20" s="1"/>
  <c r="V594" i="20" s="1"/>
  <c r="W594" i="20" l="1"/>
  <c r="X594" i="20" s="1"/>
  <c r="V595" i="20" l="1"/>
  <c r="W595" i="20" s="1"/>
  <c r="X595" i="20" s="1"/>
  <c r="V596" i="20" s="1"/>
  <c r="W596" i="20" s="1"/>
  <c r="X596" i="20" s="1"/>
  <c r="V597" i="20" s="1"/>
  <c r="W597" i="20" l="1"/>
  <c r="X597" i="20" s="1"/>
  <c r="V598" i="20" s="1"/>
  <c r="W598" i="20" l="1"/>
  <c r="X598" i="20" s="1"/>
  <c r="V599" i="20" s="1"/>
  <c r="W599" i="20" l="1"/>
  <c r="X599" i="20" s="1"/>
  <c r="V600" i="20" s="1"/>
  <c r="W600" i="20" l="1"/>
  <c r="X600" i="20" s="1"/>
  <c r="V601" i="20" s="1"/>
  <c r="W601" i="20" l="1"/>
  <c r="X601" i="20" s="1"/>
  <c r="V602" i="20" l="1"/>
  <c r="W602" i="20" s="1"/>
  <c r="X602" i="20" s="1"/>
  <c r="V603" i="20" s="1"/>
  <c r="W603" i="20" s="1"/>
  <c r="X603" i="20" s="1"/>
  <c r="V604" i="20" s="1"/>
  <c r="W604" i="20" l="1"/>
  <c r="X604" i="20" s="1"/>
  <c r="V605" i="20" s="1"/>
  <c r="W605" i="20" l="1"/>
  <c r="X605" i="20" s="1"/>
  <c r="V606" i="20" s="1"/>
  <c r="W606" i="20" l="1"/>
  <c r="X606" i="20" s="1"/>
  <c r="V607" i="20" s="1"/>
  <c r="W607" i="20" l="1"/>
  <c r="X607" i="20" s="1"/>
  <c r="V608" i="20" s="1"/>
  <c r="W608" i="20" l="1"/>
  <c r="X608" i="20" s="1"/>
  <c r="V609" i="20" l="1"/>
  <c r="W609" i="20" s="1"/>
  <c r="X609" i="20" s="1"/>
  <c r="V610" i="20" s="1"/>
  <c r="W610" i="20" s="1"/>
  <c r="X610" i="20" s="1"/>
  <c r="V611" i="20" s="1"/>
  <c r="W611" i="20" l="1"/>
  <c r="X611" i="20" s="1"/>
  <c r="V612" i="20" s="1"/>
  <c r="W612" i="20" l="1"/>
  <c r="X612" i="20" s="1"/>
  <c r="V613" i="20" s="1"/>
  <c r="W613" i="20" l="1"/>
  <c r="X613" i="20" s="1"/>
  <c r="V614" i="20" s="1"/>
  <c r="W614" i="20" l="1"/>
  <c r="X614" i="20" s="1"/>
  <c r="V615" i="20" s="1"/>
  <c r="W615" i="20" l="1"/>
  <c r="X615" i="20" s="1"/>
  <c r="V616" i="20" l="1"/>
  <c r="W616" i="20" s="1"/>
  <c r="X616" i="20" s="1"/>
  <c r="V617" i="20" s="1"/>
  <c r="W617" i="20" s="1"/>
  <c r="X617" i="20" s="1"/>
  <c r="V618" i="20" s="1"/>
  <c r="W618" i="20" l="1"/>
  <c r="X618" i="20" s="1"/>
  <c r="V619" i="20" s="1"/>
  <c r="W619" i="20" l="1"/>
  <c r="X619" i="20" s="1"/>
  <c r="V620" i="20" s="1"/>
  <c r="W620" i="20" l="1"/>
  <c r="X620" i="20" s="1"/>
  <c r="V621" i="20" s="1"/>
  <c r="W621" i="20" l="1"/>
  <c r="X621" i="20" s="1"/>
  <c r="V622" i="20" s="1"/>
  <c r="W622" i="20" l="1"/>
  <c r="X622" i="20" s="1"/>
  <c r="W623" i="20" l="1"/>
  <c r="X623" i="20" s="1"/>
  <c r="V624" i="20" s="1"/>
  <c r="W624" i="20" s="1"/>
  <c r="X624" i="20" s="1"/>
  <c r="V625" i="20" s="1"/>
  <c r="V623" i="20"/>
  <c r="W625" i="20" l="1"/>
  <c r="X625" i="20" s="1"/>
  <c r="V626" i="20" s="1"/>
  <c r="W626" i="20" l="1"/>
  <c r="X626" i="20" s="1"/>
  <c r="V627" i="20" s="1"/>
  <c r="W627" i="20" l="1"/>
  <c r="X627" i="20" s="1"/>
  <c r="V628" i="20" s="1"/>
  <c r="W628" i="20" l="1"/>
  <c r="X628" i="20" s="1"/>
  <c r="V629" i="20" s="1"/>
  <c r="W629" i="20" l="1"/>
  <c r="X629" i="20" s="1"/>
  <c r="W630" i="20" l="1"/>
  <c r="X630" i="20" s="1"/>
  <c r="V631" i="20" s="1"/>
  <c r="W631" i="20" s="1"/>
  <c r="X631" i="20" s="1"/>
  <c r="V632" i="20" s="1"/>
  <c r="V630" i="20"/>
  <c r="W632" i="20" l="1"/>
  <c r="X632" i="20" s="1"/>
  <c r="V633" i="20" s="1"/>
  <c r="W633" i="20" l="1"/>
  <c r="X633" i="20" s="1"/>
  <c r="V634" i="20" s="1"/>
  <c r="W634" i="20" l="1"/>
  <c r="X634" i="20" s="1"/>
  <c r="V635" i="20" s="1"/>
  <c r="W635" i="20" l="1"/>
  <c r="X635" i="20" s="1"/>
  <c r="V636" i="20" s="1"/>
  <c r="W636" i="20" l="1"/>
  <c r="X636" i="20" s="1"/>
  <c r="V637" i="20" l="1"/>
  <c r="W637" i="20" s="1"/>
  <c r="X637" i="20" s="1"/>
  <c r="V638" i="20" s="1"/>
  <c r="W638" i="20" s="1"/>
  <c r="X638" i="20" s="1"/>
  <c r="V639" i="20" s="1"/>
  <c r="W639" i="20" l="1"/>
  <c r="X639" i="20" s="1"/>
  <c r="V640" i="20" s="1"/>
  <c r="W640" i="20" l="1"/>
  <c r="X640" i="20" s="1"/>
  <c r="V641" i="20" s="1"/>
  <c r="W641" i="20" l="1"/>
  <c r="X641" i="20" s="1"/>
  <c r="V642" i="20" s="1"/>
  <c r="W642" i="20" l="1"/>
  <c r="X642" i="20" s="1"/>
  <c r="V643" i="20" s="1"/>
  <c r="W643" i="20" l="1"/>
  <c r="X643" i="20" s="1"/>
  <c r="W644" i="20" l="1"/>
  <c r="X644" i="20" s="1"/>
  <c r="V645" i="20" s="1"/>
  <c r="W645" i="20" s="1"/>
  <c r="X645" i="20" s="1"/>
  <c r="V646" i="20" s="1"/>
  <c r="V644" i="20"/>
  <c r="W646" i="20" l="1"/>
  <c r="X646" i="20" s="1"/>
  <c r="V647" i="20" s="1"/>
  <c r="W647" i="20" l="1"/>
  <c r="X647" i="20" s="1"/>
  <c r="V648" i="20" s="1"/>
  <c r="W648" i="20" l="1"/>
  <c r="X648" i="20" s="1"/>
  <c r="V649" i="20" s="1"/>
  <c r="W649" i="20" l="1"/>
  <c r="X649" i="20" s="1"/>
  <c r="V650" i="20" s="1"/>
  <c r="W650" i="20" l="1"/>
  <c r="X650" i="20" s="1"/>
  <c r="V651" i="20" s="1"/>
  <c r="W651" i="20" l="1"/>
  <c r="X651" i="20" s="1"/>
  <c r="V652" i="20" s="1"/>
  <c r="W652" i="20" l="1"/>
  <c r="X652" i="20" s="1"/>
  <c r="V653" i="20" s="1"/>
  <c r="W653" i="20" l="1"/>
  <c r="X653" i="20" s="1"/>
  <c r="V654" i="20" s="1"/>
  <c r="W654" i="20" l="1"/>
  <c r="X654" i="20" s="1"/>
  <c r="V655" i="20" s="1"/>
  <c r="W655" i="20" l="1"/>
  <c r="X655" i="20" s="1"/>
  <c r="V656" i="20" s="1"/>
  <c r="W656" i="20" l="1"/>
  <c r="X656" i="20" s="1"/>
  <c r="V657" i="20" s="1"/>
  <c r="W657" i="20" l="1"/>
  <c r="X657" i="20" s="1"/>
  <c r="W658" i="20" l="1"/>
  <c r="X658" i="20" s="1"/>
  <c r="V659" i="20" s="1"/>
  <c r="W659" i="20" s="1"/>
  <c r="X659" i="20" s="1"/>
  <c r="V660" i="20" s="1"/>
  <c r="V658" i="20"/>
  <c r="W660" i="20" l="1"/>
  <c r="X660" i="20" s="1"/>
  <c r="V661" i="20" s="1"/>
  <c r="W661" i="20" l="1"/>
  <c r="X661" i="20" s="1"/>
  <c r="V662" i="20" s="1"/>
  <c r="W662" i="20" l="1"/>
  <c r="X662" i="20" s="1"/>
  <c r="V663" i="20" s="1"/>
  <c r="W663" i="20" l="1"/>
  <c r="X663" i="20" s="1"/>
  <c r="V664" i="20" s="1"/>
  <c r="W664" i="20" l="1"/>
  <c r="X664" i="20" s="1"/>
  <c r="V665" i="20" s="1"/>
  <c r="W665" i="20" l="1"/>
  <c r="X665" i="20" s="1"/>
  <c r="V666" i="20" s="1"/>
  <c r="W666" i="20" l="1"/>
  <c r="X666" i="20" s="1"/>
  <c r="V667" i="20" s="1"/>
  <c r="W667" i="20" l="1"/>
  <c r="X667" i="20" s="1"/>
  <c r="V668" i="20" s="1"/>
  <c r="W668" i="20" l="1"/>
  <c r="X668" i="20" s="1"/>
  <c r="V669" i="20" s="1"/>
  <c r="W669" i="20" l="1"/>
  <c r="X669" i="20" s="1"/>
  <c r="V670" i="20" s="1"/>
  <c r="W670" i="20" l="1"/>
  <c r="X670" i="20" s="1"/>
  <c r="V671" i="20" s="1"/>
  <c r="W671" i="20" l="1"/>
  <c r="X671" i="20" s="1"/>
  <c r="V672" i="20" s="1"/>
  <c r="W672" i="20" l="1"/>
  <c r="X672" i="20" s="1"/>
  <c r="V673" i="20" s="1"/>
  <c r="W673" i="20" l="1"/>
  <c r="X673" i="20" s="1"/>
  <c r="V674" i="20" s="1"/>
  <c r="W674" i="20" l="1"/>
  <c r="X674" i="20" s="1"/>
  <c r="V675" i="20" s="1"/>
  <c r="W675" i="20" l="1"/>
  <c r="X675" i="20" s="1"/>
  <c r="V676" i="20" s="1"/>
  <c r="W676" i="20" l="1"/>
  <c r="X676" i="20" s="1"/>
  <c r="V677" i="20" s="1"/>
  <c r="W677" i="20" l="1"/>
  <c r="X677" i="20" s="1"/>
  <c r="V678" i="20" s="1"/>
  <c r="W678" i="20" l="1"/>
  <c r="X678" i="20" s="1"/>
  <c r="V679" i="20" s="1"/>
  <c r="W679" i="20" l="1"/>
  <c r="X679" i="20" s="1"/>
  <c r="V680" i="20" s="1"/>
  <c r="W680" i="20" l="1"/>
  <c r="X680" i="20" s="1"/>
  <c r="V681" i="20" s="1"/>
  <c r="W681" i="20" l="1"/>
  <c r="X681" i="20" s="1"/>
  <c r="V682" i="20" s="1"/>
  <c r="W682" i="20" l="1"/>
  <c r="X682" i="20" s="1"/>
  <c r="V683" i="20" s="1"/>
  <c r="W683" i="20" l="1"/>
  <c r="X683" i="20" s="1"/>
  <c r="V684" i="20" s="1"/>
  <c r="W684" i="20" l="1"/>
  <c r="X684" i="20" s="1"/>
  <c r="V685" i="20" s="1"/>
  <c r="W685" i="20" l="1"/>
  <c r="X685" i="20" s="1"/>
  <c r="V686" i="20" s="1"/>
  <c r="W686" i="20" l="1"/>
  <c r="X686" i="20" s="1"/>
  <c r="V687" i="20" s="1"/>
  <c r="W687" i="20" l="1"/>
  <c r="X687" i="20" s="1"/>
  <c r="V688" i="20" s="1"/>
  <c r="W688" i="20" l="1"/>
  <c r="X688" i="20" s="1"/>
  <c r="V689" i="20" s="1"/>
  <c r="W689" i="20" l="1"/>
  <c r="X689" i="20" s="1"/>
  <c r="V690" i="20" s="1"/>
  <c r="W690" i="20" l="1"/>
  <c r="X690" i="20" s="1"/>
  <c r="V691" i="20" s="1"/>
  <c r="W691" i="20" l="1"/>
  <c r="X691" i="20" s="1"/>
  <c r="V692" i="20" s="1"/>
  <c r="W692" i="20" l="1"/>
  <c r="X692" i="20" s="1"/>
  <c r="V693" i="20" s="1"/>
  <c r="W693" i="20" l="1"/>
  <c r="X693" i="20" s="1"/>
  <c r="V694" i="20" s="1"/>
  <c r="W694" i="20" l="1"/>
  <c r="X694" i="20" s="1"/>
  <c r="V695" i="20" s="1"/>
  <c r="W695" i="20" l="1"/>
  <c r="X695" i="20" s="1"/>
  <c r="V696" i="20" s="1"/>
  <c r="W696" i="20" l="1"/>
  <c r="X696" i="20" s="1"/>
  <c r="V697" i="20" s="1"/>
  <c r="W697" i="20" l="1"/>
  <c r="X697" i="20" s="1"/>
  <c r="V698" i="20" s="1"/>
  <c r="W698" i="20" l="1"/>
  <c r="X698" i="20" s="1"/>
  <c r="V699" i="20" s="1"/>
  <c r="W699" i="20" l="1"/>
  <c r="X699" i="20" s="1"/>
  <c r="V700" i="20" s="1"/>
  <c r="W700" i="20" l="1"/>
  <c r="X700" i="20" s="1"/>
  <c r="V701" i="20" s="1"/>
  <c r="W701" i="20" l="1"/>
  <c r="X701" i="20" s="1"/>
  <c r="V702" i="20" s="1"/>
  <c r="W702" i="20" l="1"/>
  <c r="X702" i="20" s="1"/>
  <c r="V703" i="20" s="1"/>
  <c r="W703" i="20" l="1"/>
  <c r="X703" i="20" s="1"/>
  <c r="V704" i="20" s="1"/>
  <c r="W704" i="20" l="1"/>
  <c r="X704" i="20" s="1"/>
  <c r="V705" i="20" s="1"/>
  <c r="W705" i="20" l="1"/>
  <c r="X705" i="20" s="1"/>
  <c r="V706" i="20" s="1"/>
  <c r="W706" i="20" l="1"/>
  <c r="X706" i="20" s="1"/>
  <c r="V707" i="20" l="1"/>
  <c r="W707" i="20" s="1"/>
  <c r="X707" i="20" s="1"/>
  <c r="V708" i="20" s="1"/>
  <c r="W708" i="20" s="1"/>
  <c r="X708" i="20" s="1"/>
  <c r="V709" i="20" s="1"/>
  <c r="W709" i="20" l="1"/>
  <c r="X709" i="20" s="1"/>
  <c r="V710" i="20" s="1"/>
  <c r="W710" i="20" l="1"/>
  <c r="X710" i="20" s="1"/>
  <c r="V711" i="20" s="1"/>
  <c r="W711" i="20" l="1"/>
  <c r="X711" i="20" s="1"/>
  <c r="V712" i="20" s="1"/>
  <c r="W712" i="20" l="1"/>
  <c r="X712" i="20" s="1"/>
  <c r="V713" i="20" s="1"/>
  <c r="W713" i="20" l="1"/>
  <c r="X713" i="20" s="1"/>
  <c r="V714" i="20" s="1"/>
  <c r="W714" i="20" l="1"/>
  <c r="X714" i="20" s="1"/>
  <c r="V715" i="20" s="1"/>
  <c r="W715" i="20" l="1"/>
  <c r="X715" i="20" s="1"/>
  <c r="V716" i="20" s="1"/>
  <c r="W716" i="20" l="1"/>
  <c r="X716" i="20" s="1"/>
  <c r="V717" i="20" s="1"/>
  <c r="W717" i="20" l="1"/>
  <c r="X717" i="20" s="1"/>
  <c r="V718" i="20" s="1"/>
  <c r="W718" i="20" l="1"/>
  <c r="X718" i="20" s="1"/>
  <c r="V719" i="20" s="1"/>
  <c r="W719" i="20" l="1"/>
  <c r="X719" i="20" s="1"/>
  <c r="V720" i="20" s="1"/>
  <c r="W720" i="20" l="1"/>
  <c r="X720" i="20" s="1"/>
  <c r="V721" i="20" s="1"/>
  <c r="W721" i="20" l="1"/>
  <c r="X721" i="20" s="1"/>
  <c r="V722" i="20" s="1"/>
  <c r="W722" i="20" l="1"/>
  <c r="X722" i="20" s="1"/>
  <c r="V723" i="20" s="1"/>
  <c r="W723" i="20" l="1"/>
  <c r="X723" i="20" s="1"/>
  <c r="V724" i="20" s="1"/>
  <c r="W724" i="20" l="1"/>
  <c r="X724" i="20" s="1"/>
  <c r="V725" i="20" s="1"/>
  <c r="W725" i="20" l="1"/>
  <c r="X725" i="20" s="1"/>
  <c r="V726" i="20" s="1"/>
  <c r="W726" i="20" l="1"/>
  <c r="X726" i="20" s="1"/>
  <c r="V727" i="20" s="1"/>
  <c r="W727" i="20" l="1"/>
  <c r="X727" i="20" s="1"/>
  <c r="V728" i="20" s="1"/>
  <c r="W728" i="20" l="1"/>
  <c r="X728" i="20" s="1"/>
  <c r="V729" i="20" s="1"/>
  <c r="W729" i="20" l="1"/>
  <c r="X729" i="20" s="1"/>
  <c r="V730" i="20" s="1"/>
  <c r="W730" i="20" l="1"/>
  <c r="X730" i="20" s="1"/>
  <c r="V731" i="20" s="1"/>
  <c r="W731" i="20" l="1"/>
  <c r="X731" i="20" s="1"/>
  <c r="V732" i="20" s="1"/>
  <c r="W732" i="20" l="1"/>
  <c r="X732" i="20" s="1"/>
  <c r="V733" i="20" s="1"/>
  <c r="W733" i="20" l="1"/>
  <c r="X733" i="20" s="1"/>
  <c r="V734" i="20" s="1"/>
  <c r="W734" i="20" l="1"/>
  <c r="X734" i="20" s="1"/>
  <c r="V735" i="20" s="1"/>
  <c r="W735" i="20" l="1"/>
  <c r="X735" i="20" s="1"/>
  <c r="V736" i="20" s="1"/>
  <c r="W736" i="20" l="1"/>
  <c r="X736" i="20" s="1"/>
  <c r="V737" i="20" s="1"/>
  <c r="W737" i="20" l="1"/>
  <c r="X737" i="20" s="1"/>
  <c r="V738" i="20" s="1"/>
  <c r="W738" i="20" l="1"/>
  <c r="X738" i="20" s="1"/>
  <c r="V739" i="20" s="1"/>
  <c r="W739" i="20" l="1"/>
  <c r="X739" i="20" s="1"/>
  <c r="V740" i="20" s="1"/>
  <c r="W740" i="20" l="1"/>
  <c r="X740" i="20" s="1"/>
  <c r="V741" i="20" s="1"/>
  <c r="W741" i="20" l="1"/>
  <c r="X741" i="20" s="1"/>
  <c r="V742" i="20" s="1"/>
  <c r="W742" i="20" l="1"/>
  <c r="X742" i="20" s="1"/>
  <c r="V743" i="20" s="1"/>
  <c r="W743" i="20" l="1"/>
  <c r="X743" i="20" s="1"/>
  <c r="V744" i="20" s="1"/>
  <c r="W744" i="20" l="1"/>
  <c r="X744" i="20" s="1"/>
  <c r="V745" i="20" s="1"/>
  <c r="W745" i="20" l="1"/>
  <c r="X745" i="20" s="1"/>
  <c r="V746" i="20" s="1"/>
  <c r="W746" i="20" l="1"/>
  <c r="X746" i="20" s="1"/>
  <c r="V747" i="20" s="1"/>
  <c r="W747" i="20" l="1"/>
  <c r="X747" i="20" s="1"/>
  <c r="V748" i="20" s="1"/>
  <c r="W748" i="20" l="1"/>
  <c r="X748" i="20" s="1"/>
  <c r="V749" i="20" s="1"/>
  <c r="W749" i="20" l="1"/>
  <c r="X749" i="20" s="1"/>
  <c r="V750" i="20" s="1"/>
  <c r="W750" i="20" l="1"/>
  <c r="X750" i="20" s="1"/>
  <c r="V751" i="20" s="1"/>
  <c r="W751" i="20" l="1"/>
  <c r="X751" i="20" s="1"/>
  <c r="V752" i="20" s="1"/>
  <c r="W752" i="20" l="1"/>
  <c r="X752" i="20" s="1"/>
  <c r="V753" i="20" s="1"/>
  <c r="W753" i="20" l="1"/>
  <c r="X753" i="20" s="1"/>
  <c r="V754" i="20" s="1"/>
  <c r="W754" i="20" l="1"/>
  <c r="X754" i="20" s="1"/>
  <c r="V755" i="20" s="1"/>
  <c r="W755" i="20" l="1"/>
  <c r="X755" i="20" s="1"/>
  <c r="V756" i="20" s="1"/>
  <c r="W756" i="20" l="1"/>
  <c r="X756" i="20" s="1"/>
  <c r="V757" i="20" s="1"/>
  <c r="W757" i="20" l="1"/>
  <c r="X757" i="20" s="1"/>
  <c r="V758" i="20" s="1"/>
  <c r="W758" i="20" l="1"/>
  <c r="X758" i="20" s="1"/>
  <c r="V759" i="20" s="1"/>
  <c r="W759" i="20" l="1"/>
  <c r="X759" i="20" s="1"/>
  <c r="V760" i="20" s="1"/>
  <c r="W760" i="20" l="1"/>
  <c r="X760" i="20" s="1"/>
  <c r="V761" i="20" s="1"/>
  <c r="W761" i="20" l="1"/>
  <c r="X761" i="20" s="1"/>
  <c r="V762" i="20" s="1"/>
  <c r="W762" i="20" l="1"/>
  <c r="X762" i="20" s="1"/>
  <c r="V763" i="20" s="1"/>
  <c r="W763" i="20" l="1"/>
  <c r="X763" i="20" s="1"/>
  <c r="V764" i="20" s="1"/>
  <c r="W764" i="20" l="1"/>
  <c r="X764" i="20" s="1"/>
  <c r="V765" i="20" s="1"/>
  <c r="W765" i="20" l="1"/>
  <c r="X765" i="20" s="1"/>
  <c r="V766" i="20" s="1"/>
  <c r="W766" i="20" l="1"/>
  <c r="X766" i="20" s="1"/>
  <c r="V767" i="20" s="1"/>
  <c r="W767" i="20" l="1"/>
  <c r="X767" i="20" s="1"/>
  <c r="V768" i="20" s="1"/>
  <c r="W768" i="20" l="1"/>
  <c r="X768" i="20" s="1"/>
  <c r="V769" i="20" s="1"/>
  <c r="W769" i="20" l="1"/>
  <c r="X769" i="20" s="1"/>
  <c r="V770" i="20" s="1"/>
  <c r="W770" i="20" l="1"/>
  <c r="X770" i="20" s="1"/>
  <c r="V771" i="20" s="1"/>
  <c r="W771" i="20" l="1"/>
  <c r="X771" i="20" s="1"/>
  <c r="V772" i="20" s="1"/>
  <c r="W772" i="20" l="1"/>
  <c r="X772" i="20" s="1"/>
  <c r="V773" i="20" s="1"/>
  <c r="W773" i="20" l="1"/>
  <c r="X773" i="20" s="1"/>
  <c r="V774" i="20" s="1"/>
  <c r="W774" i="20" l="1"/>
  <c r="X774" i="20" s="1"/>
  <c r="V775" i="20" s="1"/>
  <c r="W775" i="20" l="1"/>
  <c r="X775" i="20" s="1"/>
  <c r="V776" i="20" s="1"/>
  <c r="W776" i="20" l="1"/>
  <c r="X776" i="20" s="1"/>
  <c r="V777" i="20" l="1"/>
  <c r="W777" i="20" s="1"/>
  <c r="X777" i="20" s="1"/>
  <c r="V778" i="20" s="1"/>
  <c r="W778" i="20" s="1"/>
  <c r="X778" i="20" s="1"/>
  <c r="V779" i="20" s="1"/>
  <c r="W779" i="20" l="1"/>
  <c r="X779" i="20" s="1"/>
  <c r="V780" i="20" s="1"/>
  <c r="W780" i="20" l="1"/>
  <c r="X780" i="20" s="1"/>
  <c r="V781" i="20" s="1"/>
  <c r="W781" i="20" l="1"/>
  <c r="X781" i="20" s="1"/>
  <c r="V782" i="20" s="1"/>
  <c r="W782" i="20" l="1"/>
  <c r="X782" i="20" s="1"/>
  <c r="V783" i="20" s="1"/>
  <c r="W783" i="20" l="1"/>
  <c r="X783" i="20" s="1"/>
  <c r="W784" i="20" l="1"/>
  <c r="X784" i="20" s="1"/>
  <c r="V785" i="20" s="1"/>
  <c r="W785" i="20" s="1"/>
  <c r="X785" i="20" s="1"/>
  <c r="V786" i="20" s="1"/>
  <c r="V784" i="20"/>
  <c r="W786" i="20" l="1"/>
  <c r="X786" i="20" s="1"/>
  <c r="V787" i="20" s="1"/>
  <c r="W787" i="20" l="1"/>
  <c r="X787" i="20" s="1"/>
  <c r="V788" i="20" s="1"/>
  <c r="W788" i="20" l="1"/>
  <c r="X788" i="20" s="1"/>
  <c r="V789" i="20" s="1"/>
  <c r="W789" i="20" l="1"/>
  <c r="X789" i="20" s="1"/>
  <c r="V790" i="20" s="1"/>
  <c r="W790" i="20" l="1"/>
  <c r="X790" i="20" s="1"/>
  <c r="V791" i="20" l="1"/>
  <c r="W791" i="20" s="1"/>
  <c r="X791" i="20" s="1"/>
  <c r="V792" i="20" s="1"/>
  <c r="W792" i="20" s="1"/>
  <c r="X792" i="20" s="1"/>
  <c r="V793" i="20" s="1"/>
  <c r="W793" i="20" l="1"/>
  <c r="X793" i="20" s="1"/>
  <c r="V794" i="20" s="1"/>
  <c r="W794" i="20" l="1"/>
  <c r="X794" i="20" s="1"/>
  <c r="V795" i="20" s="1"/>
  <c r="W795" i="20" l="1"/>
  <c r="X795" i="20" s="1"/>
  <c r="V796" i="20" s="1"/>
  <c r="W796" i="20" l="1"/>
  <c r="X796" i="20" s="1"/>
  <c r="V797" i="20" s="1"/>
  <c r="W797" i="20" l="1"/>
  <c r="X797" i="20" s="1"/>
  <c r="V798" i="20" s="1"/>
  <c r="W798" i="20" l="1"/>
  <c r="X798" i="20" s="1"/>
  <c r="V799" i="20" s="1"/>
  <c r="W799" i="20" l="1"/>
  <c r="X799" i="20" s="1"/>
  <c r="V800" i="20" s="1"/>
  <c r="W800" i="20" l="1"/>
  <c r="X800" i="20" s="1"/>
  <c r="V801" i="20" s="1"/>
  <c r="W801" i="20" l="1"/>
  <c r="X801" i="20" s="1"/>
  <c r="V802" i="20" s="1"/>
  <c r="W802" i="20" l="1"/>
  <c r="X802" i="20" s="1"/>
  <c r="V803" i="20" s="1"/>
  <c r="W803" i="20" l="1"/>
  <c r="X803" i="20" s="1"/>
  <c r="V804" i="20" s="1"/>
  <c r="W804" i="20" l="1"/>
  <c r="X804" i="20" s="1"/>
  <c r="V805" i="20" s="1"/>
  <c r="W805" i="20" l="1"/>
  <c r="X805" i="20" s="1"/>
  <c r="V806" i="20" s="1"/>
  <c r="W806" i="20" l="1"/>
  <c r="X806" i="20" s="1"/>
  <c r="V807" i="20" s="1"/>
  <c r="W807" i="20" l="1"/>
  <c r="X807" i="20" s="1"/>
  <c r="V808" i="20" s="1"/>
  <c r="W808" i="20" l="1"/>
  <c r="X808" i="20" s="1"/>
  <c r="V809" i="20" s="1"/>
  <c r="W809" i="20" l="1"/>
  <c r="X809" i="20" s="1"/>
  <c r="V810" i="20" s="1"/>
  <c r="W810" i="20" l="1"/>
  <c r="X810" i="20" s="1"/>
  <c r="V811" i="20" s="1"/>
  <c r="W811" i="20" l="1"/>
  <c r="X811" i="20" s="1"/>
  <c r="V812" i="20" s="1"/>
  <c r="W812" i="20" l="1"/>
  <c r="X812" i="20" s="1"/>
  <c r="V813" i="20" s="1"/>
  <c r="W813" i="20" l="1"/>
  <c r="X813" i="20" s="1"/>
  <c r="V814" i="20" s="1"/>
  <c r="W814" i="20" l="1"/>
  <c r="X814" i="20" s="1"/>
  <c r="V815" i="20" s="1"/>
  <c r="W815" i="20" l="1"/>
  <c r="X815" i="20" s="1"/>
  <c r="V816" i="20" s="1"/>
  <c r="W816" i="20" l="1"/>
  <c r="X816" i="20" s="1"/>
  <c r="V817" i="20" s="1"/>
  <c r="W817" i="20" l="1"/>
  <c r="X817" i="20" s="1"/>
  <c r="V818" i="20" s="1"/>
  <c r="W818" i="20" l="1"/>
  <c r="X818" i="20" s="1"/>
  <c r="V819" i="20" s="1"/>
  <c r="W819" i="20" l="1"/>
  <c r="X819" i="20" s="1"/>
  <c r="V820" i="20" s="1"/>
  <c r="W820" i="20" l="1"/>
  <c r="X820" i="20" s="1"/>
  <c r="V821" i="20" s="1"/>
  <c r="W821" i="20" l="1"/>
  <c r="X821" i="20" s="1"/>
  <c r="V822" i="20" s="1"/>
  <c r="W822" i="20" l="1"/>
  <c r="X822" i="20" s="1"/>
  <c r="V823" i="20" s="1"/>
  <c r="W823" i="20" l="1"/>
  <c r="X823" i="20" s="1"/>
  <c r="V824" i="20" s="1"/>
  <c r="W824" i="20" l="1"/>
  <c r="X824" i="20" s="1"/>
  <c r="V825" i="20" s="1"/>
  <c r="W825" i="20" l="1"/>
  <c r="X825" i="20" s="1"/>
  <c r="V826" i="20" s="1"/>
  <c r="W826" i="20" l="1"/>
  <c r="X826" i="20" s="1"/>
  <c r="V827" i="20" s="1"/>
  <c r="W827" i="20" l="1"/>
  <c r="X827" i="20" s="1"/>
  <c r="V828" i="20" s="1"/>
  <c r="W828" i="20" l="1"/>
  <c r="X828" i="20" s="1"/>
  <c r="V829" i="20" s="1"/>
  <c r="W829" i="20" l="1"/>
  <c r="X829" i="20" s="1"/>
  <c r="V830" i="20" s="1"/>
  <c r="W830" i="20" l="1"/>
  <c r="X830" i="20" s="1"/>
  <c r="V831" i="20" s="1"/>
  <c r="W831" i="20" l="1"/>
  <c r="X831" i="20" s="1"/>
  <c r="V832" i="20" s="1"/>
  <c r="W832" i="20" l="1"/>
  <c r="X832" i="20" s="1"/>
  <c r="V833" i="20" s="1"/>
  <c r="W833" i="20" l="1"/>
  <c r="X833" i="20" s="1"/>
  <c r="V834" i="20" s="1"/>
  <c r="W834" i="20" l="1"/>
  <c r="X834" i="20" s="1"/>
  <c r="V835" i="20" s="1"/>
  <c r="W835" i="20" l="1"/>
  <c r="X835" i="20" s="1"/>
  <c r="V836" i="20" s="1"/>
  <c r="W836" i="20" l="1"/>
  <c r="X836" i="20" s="1"/>
  <c r="V837" i="20" s="1"/>
  <c r="W837" i="20" l="1"/>
  <c r="X837" i="20" s="1"/>
  <c r="V838" i="20" s="1"/>
  <c r="W838" i="20" l="1"/>
  <c r="X838" i="20" s="1"/>
  <c r="V839" i="20" s="1"/>
  <c r="W839" i="20" l="1"/>
  <c r="X839" i="20" s="1"/>
  <c r="V840" i="20" s="1"/>
  <c r="W840" i="20" l="1"/>
  <c r="X840" i="20" s="1"/>
  <c r="V841" i="20" s="1"/>
  <c r="W841" i="20" l="1"/>
  <c r="X841" i="20" s="1"/>
  <c r="V842" i="20" s="1"/>
  <c r="W842" i="20" l="1"/>
  <c r="X842" i="20" s="1"/>
  <c r="V843" i="20" s="1"/>
  <c r="W843" i="20" l="1"/>
  <c r="X843" i="20" s="1"/>
  <c r="V844" i="20" s="1"/>
  <c r="W844" i="20" l="1"/>
  <c r="X844" i="20" s="1"/>
  <c r="V845" i="20" s="1"/>
  <c r="W845" i="20" l="1"/>
  <c r="X845" i="20" s="1"/>
  <c r="V846" i="20" s="1"/>
  <c r="W846" i="20" l="1"/>
  <c r="X846" i="20" s="1"/>
  <c r="V847" i="20" s="1"/>
  <c r="W847" i="20" l="1"/>
  <c r="X847" i="20" s="1"/>
  <c r="V848" i="20" s="1"/>
  <c r="W848" i="20" l="1"/>
  <c r="X848" i="20" s="1"/>
  <c r="V849" i="20" s="1"/>
  <c r="W849" i="20" l="1"/>
  <c r="X849" i="20" s="1"/>
  <c r="V850" i="20" s="1"/>
  <c r="W850" i="20" l="1"/>
  <c r="X850" i="20" s="1"/>
  <c r="V851" i="20" s="1"/>
  <c r="W851" i="20" l="1"/>
  <c r="X851" i="20" s="1"/>
  <c r="V852" i="20" s="1"/>
  <c r="W852" i="20" l="1"/>
  <c r="X852" i="20" s="1"/>
  <c r="V853" i="20" s="1"/>
  <c r="W853" i="20" l="1"/>
  <c r="X853" i="20" s="1"/>
  <c r="V854" i="20" s="1"/>
  <c r="W854" i="20" l="1"/>
  <c r="X854" i="20" s="1"/>
  <c r="V855" i="20" s="1"/>
  <c r="W855" i="20" l="1"/>
  <c r="X855" i="20" s="1"/>
  <c r="V856" i="20" s="1"/>
  <c r="W856" i="20" l="1"/>
  <c r="X856" i="20" s="1"/>
  <c r="V857" i="20" s="1"/>
  <c r="W857" i="20" l="1"/>
  <c r="X857" i="20" s="1"/>
  <c r="V858" i="20" s="1"/>
  <c r="W858" i="20" l="1"/>
  <c r="X858" i="20" s="1"/>
  <c r="V859" i="20" s="1"/>
  <c r="W859" i="20" l="1"/>
  <c r="X859" i="20" s="1"/>
  <c r="V860" i="20" s="1"/>
  <c r="W860" i="20" l="1"/>
  <c r="X860" i="20" s="1"/>
  <c r="V861" i="20" s="1"/>
  <c r="W861" i="20" l="1"/>
  <c r="X861" i="20" s="1"/>
  <c r="V862" i="20" s="1"/>
  <c r="W862" i="20" l="1"/>
  <c r="X862" i="20" s="1"/>
  <c r="V863" i="20" s="1"/>
  <c r="W863" i="20" l="1"/>
  <c r="X863" i="20" s="1"/>
  <c r="V864" i="20" s="1"/>
  <c r="W864" i="20" l="1"/>
  <c r="X864" i="20" s="1"/>
  <c r="V865" i="20" s="1"/>
  <c r="W865" i="20" l="1"/>
  <c r="X865" i="20" s="1"/>
  <c r="V866" i="20" s="1"/>
  <c r="W866" i="20" l="1"/>
  <c r="X866" i="20" s="1"/>
  <c r="V867" i="20" s="1"/>
  <c r="W867" i="20" l="1"/>
  <c r="X867" i="20" s="1"/>
  <c r="V868" i="20" s="1"/>
  <c r="W868" i="20" l="1"/>
  <c r="X868" i="20" s="1"/>
  <c r="V869" i="20" s="1"/>
  <c r="W869" i="20" l="1"/>
  <c r="X869" i="20" s="1"/>
  <c r="V870" i="20" s="1"/>
  <c r="W870" i="20" l="1"/>
  <c r="X870" i="20" s="1"/>
  <c r="V871" i="20" s="1"/>
  <c r="W871" i="20" l="1"/>
  <c r="X871" i="20" s="1"/>
  <c r="V872" i="20" s="1"/>
  <c r="W872" i="20" l="1"/>
  <c r="X872" i="20" s="1"/>
  <c r="V873" i="20" s="1"/>
  <c r="W873" i="20" l="1"/>
  <c r="X873" i="20" s="1"/>
  <c r="V874" i="20" s="1"/>
  <c r="W874" i="20" l="1"/>
  <c r="X874" i="20" s="1"/>
  <c r="V875" i="20" s="1"/>
  <c r="W875" i="20" l="1"/>
  <c r="X875" i="20" s="1"/>
  <c r="V876" i="20" s="1"/>
  <c r="W876" i="20" l="1"/>
  <c r="X876" i="20" s="1"/>
  <c r="V877" i="20" s="1"/>
  <c r="W877" i="20" l="1"/>
  <c r="X877" i="20" s="1"/>
  <c r="V878" i="20" s="1"/>
  <c r="W878" i="20" l="1"/>
  <c r="X878" i="20" s="1"/>
  <c r="V879" i="20" s="1"/>
  <c r="W879" i="20" l="1"/>
  <c r="X879" i="20" s="1"/>
  <c r="V880" i="20" s="1"/>
  <c r="W880" i="20" l="1"/>
  <c r="X880" i="20" s="1"/>
  <c r="V881" i="20" s="1"/>
  <c r="W881" i="20" l="1"/>
  <c r="X881" i="20" s="1"/>
  <c r="V882" i="20" s="1"/>
  <c r="W882" i="20" l="1"/>
  <c r="X882" i="20" s="1"/>
  <c r="V883" i="20" s="1"/>
  <c r="W883" i="20" l="1"/>
  <c r="X883" i="20" s="1"/>
  <c r="V884" i="20" s="1"/>
  <c r="W884" i="20" l="1"/>
  <c r="X884" i="20" s="1"/>
  <c r="V885" i="20" s="1"/>
  <c r="W885" i="20" l="1"/>
  <c r="X885" i="20" s="1"/>
  <c r="V886" i="20" s="1"/>
  <c r="W886" i="20" l="1"/>
  <c r="X886" i="20" s="1"/>
  <c r="V887" i="20" s="1"/>
  <c r="W887" i="20" l="1"/>
  <c r="X887" i="20" s="1"/>
  <c r="V888" i="20" s="1"/>
  <c r="W888" i="20" l="1"/>
  <c r="X888" i="20" s="1"/>
  <c r="V889" i="20" s="1"/>
  <c r="W889" i="20" l="1"/>
  <c r="X889" i="20" s="1"/>
  <c r="V890" i="20" s="1"/>
  <c r="W890" i="20" l="1"/>
  <c r="X890" i="20" s="1"/>
  <c r="V891" i="20" s="1"/>
  <c r="W891" i="20" l="1"/>
  <c r="X891" i="20" s="1"/>
  <c r="V892" i="20" s="1"/>
  <c r="W892" i="20" l="1"/>
  <c r="X892" i="20" s="1"/>
  <c r="V893" i="20" s="1"/>
  <c r="W893" i="20" l="1"/>
  <c r="X893" i="20" s="1"/>
  <c r="V894" i="20" s="1"/>
  <c r="W894" i="20" l="1"/>
  <c r="X894" i="20" s="1"/>
  <c r="V895" i="20" s="1"/>
  <c r="W895" i="20" l="1"/>
  <c r="X895" i="20" s="1"/>
  <c r="V896" i="20" s="1"/>
  <c r="W896" i="20" l="1"/>
  <c r="X896" i="20" s="1"/>
  <c r="V897" i="20" s="1"/>
  <c r="W897" i="20" l="1"/>
  <c r="X897" i="20" s="1"/>
  <c r="V898" i="20" s="1"/>
  <c r="W898" i="20" l="1"/>
  <c r="X898" i="20" s="1"/>
  <c r="V899" i="20" s="1"/>
  <c r="W899" i="20" l="1"/>
  <c r="X899" i="20" s="1"/>
  <c r="V900" i="20" s="1"/>
  <c r="W900" i="20" l="1"/>
  <c r="X900" i="20" s="1"/>
  <c r="V901" i="20" s="1"/>
  <c r="W901" i="20" l="1"/>
  <c r="X901" i="20" s="1"/>
  <c r="V902" i="20" s="1"/>
  <c r="W902" i="20" l="1"/>
  <c r="X902" i="20" s="1"/>
  <c r="V903" i="20" s="1"/>
  <c r="W903" i="20" l="1"/>
  <c r="X903" i="20" s="1"/>
  <c r="V904" i="20" s="1"/>
  <c r="W904" i="20" l="1"/>
  <c r="X904" i="20" s="1"/>
  <c r="V905" i="20" s="1"/>
  <c r="W905" i="20" l="1"/>
  <c r="X905" i="20" s="1"/>
  <c r="V906" i="20" s="1"/>
  <c r="W906" i="20" l="1"/>
  <c r="X906" i="20" s="1"/>
  <c r="V907" i="20" s="1"/>
  <c r="W907" i="20" l="1"/>
  <c r="X907" i="20" s="1"/>
  <c r="V908" i="20" s="1"/>
  <c r="W908" i="20" l="1"/>
  <c r="X908" i="20" s="1"/>
  <c r="V909" i="20" s="1"/>
  <c r="W909" i="20" l="1"/>
  <c r="X909" i="20" s="1"/>
  <c r="V910" i="20" s="1"/>
  <c r="W910" i="20" l="1"/>
  <c r="X910" i="20" s="1"/>
  <c r="V911" i="20" s="1"/>
  <c r="W911" i="20" l="1"/>
  <c r="X911" i="20" s="1"/>
  <c r="V912" i="20" s="1"/>
  <c r="W912" i="20" l="1"/>
  <c r="X912" i="20" s="1"/>
  <c r="V913" i="20" s="1"/>
  <c r="W913" i="20" l="1"/>
  <c r="X913" i="20" s="1"/>
  <c r="V914" i="20" s="1"/>
  <c r="W914" i="20" l="1"/>
  <c r="X914" i="20" s="1"/>
  <c r="V915" i="20" s="1"/>
  <c r="W915" i="20" l="1"/>
  <c r="X915" i="20" s="1"/>
  <c r="V916" i="20" s="1"/>
  <c r="W916" i="20" l="1"/>
  <c r="X916" i="20" s="1"/>
  <c r="V917" i="20" s="1"/>
  <c r="W917" i="20" l="1"/>
  <c r="X917" i="20" s="1"/>
  <c r="V918" i="20" s="1"/>
  <c r="W918" i="20" l="1"/>
  <c r="X918" i="20" s="1"/>
  <c r="V919" i="20" s="1"/>
  <c r="W919" i="20" l="1"/>
  <c r="X919" i="20" s="1"/>
  <c r="V920" i="20" s="1"/>
  <c r="W920" i="20" l="1"/>
  <c r="X920" i="20" s="1"/>
  <c r="V921" i="20" s="1"/>
  <c r="W921" i="20" l="1"/>
  <c r="X921" i="20" s="1"/>
  <c r="V922" i="20" s="1"/>
  <c r="W922" i="20" l="1"/>
  <c r="X922" i="20" s="1"/>
  <c r="V923" i="20" s="1"/>
  <c r="W923" i="20" l="1"/>
  <c r="X923" i="20" s="1"/>
  <c r="V924" i="20" s="1"/>
  <c r="W924" i="20" l="1"/>
  <c r="X924" i="20" s="1"/>
  <c r="V925" i="20" s="1"/>
  <c r="W925" i="20" l="1"/>
  <c r="X925" i="20" s="1"/>
  <c r="V926" i="20" s="1"/>
  <c r="W926" i="20" l="1"/>
  <c r="X926" i="20" s="1"/>
  <c r="V927" i="20" s="1"/>
  <c r="W927" i="20" l="1"/>
  <c r="X927" i="20" s="1"/>
  <c r="V928" i="20" s="1"/>
  <c r="W928" i="20" l="1"/>
  <c r="X928" i="20" s="1"/>
  <c r="V929" i="20" s="1"/>
  <c r="W929" i="20" l="1"/>
  <c r="X929" i="20" s="1"/>
  <c r="V930" i="20" s="1"/>
  <c r="W930" i="20" l="1"/>
  <c r="X930" i="20" s="1"/>
  <c r="V931" i="20" s="1"/>
  <c r="W931" i="20" l="1"/>
  <c r="X931" i="20" s="1"/>
  <c r="V932" i="20" s="1"/>
  <c r="W932" i="20" l="1"/>
  <c r="X932" i="20" s="1"/>
  <c r="V933" i="20" s="1"/>
  <c r="W933" i="20" l="1"/>
  <c r="X933" i="20" s="1"/>
  <c r="V934" i="20" s="1"/>
  <c r="W934" i="20" l="1"/>
  <c r="X934" i="20" s="1"/>
  <c r="V935" i="20" s="1"/>
  <c r="W935" i="20" l="1"/>
  <c r="X935" i="20" s="1"/>
  <c r="V936" i="20" s="1"/>
  <c r="W936" i="20" l="1"/>
  <c r="X936" i="20" s="1"/>
  <c r="V937" i="20" s="1"/>
  <c r="W937" i="20" l="1"/>
  <c r="X937" i="20" s="1"/>
  <c r="V938" i="20" s="1"/>
  <c r="W938" i="20" l="1"/>
  <c r="X938" i="20" s="1"/>
  <c r="V939" i="20" s="1"/>
  <c r="W939" i="20" l="1"/>
  <c r="X939" i="20" s="1"/>
  <c r="V940" i="20" s="1"/>
  <c r="W940" i="20" l="1"/>
  <c r="X940" i="20" s="1"/>
  <c r="V941" i="20" s="1"/>
  <c r="W941" i="20" l="1"/>
  <c r="X941" i="20" s="1"/>
  <c r="V942" i="20" s="1"/>
  <c r="W942" i="20" l="1"/>
  <c r="X942" i="20" s="1"/>
  <c r="V943" i="20" s="1"/>
  <c r="W943" i="20" l="1"/>
  <c r="X943" i="20" s="1"/>
  <c r="V944" i="20" s="1"/>
  <c r="W944" i="20" l="1"/>
  <c r="X944" i="20" s="1"/>
  <c r="V945" i="20" s="1"/>
  <c r="W945" i="20" l="1"/>
  <c r="X945" i="20" s="1"/>
  <c r="V946" i="20" s="1"/>
  <c r="W946" i="20" l="1"/>
  <c r="X946" i="20" s="1"/>
  <c r="V947" i="20" s="1"/>
  <c r="W947" i="20" l="1"/>
  <c r="X947" i="20" s="1"/>
  <c r="V948" i="20" s="1"/>
  <c r="W948" i="20" l="1"/>
  <c r="X948" i="20" s="1"/>
  <c r="V949" i="20" s="1"/>
  <c r="W949" i="20" l="1"/>
  <c r="X949" i="20" s="1"/>
  <c r="V950" i="20" s="1"/>
  <c r="W950" i="20" l="1"/>
  <c r="X950" i="20" s="1"/>
  <c r="V951" i="20" s="1"/>
  <c r="W951" i="20" l="1"/>
  <c r="X951" i="20" s="1"/>
  <c r="V952" i="20" s="1"/>
  <c r="W952" i="20" l="1"/>
  <c r="X952" i="20" s="1"/>
  <c r="V953" i="20" s="1"/>
  <c r="W953" i="20" l="1"/>
  <c r="X953" i="20" s="1"/>
  <c r="V954" i="20" s="1"/>
  <c r="W954" i="20" l="1"/>
  <c r="X954" i="20" s="1"/>
  <c r="V955" i="20" s="1"/>
  <c r="W955" i="20" l="1"/>
  <c r="X955" i="20" s="1"/>
  <c r="V956" i="20" s="1"/>
  <c r="W956" i="20" l="1"/>
  <c r="X956" i="20" s="1"/>
  <c r="V957" i="20" s="1"/>
  <c r="W957" i="20" l="1"/>
  <c r="X957" i="20" s="1"/>
  <c r="V958" i="20" s="1"/>
  <c r="W958" i="20" l="1"/>
  <c r="X958" i="20" s="1"/>
  <c r="V959" i="20" s="1"/>
  <c r="W959" i="20" l="1"/>
  <c r="X959" i="20" s="1"/>
  <c r="V960" i="20" s="1"/>
  <c r="W960" i="20" l="1"/>
  <c r="X960" i="20" s="1"/>
  <c r="V961" i="20" s="1"/>
  <c r="W961" i="20" l="1"/>
  <c r="X961" i="20" s="1"/>
  <c r="V962" i="20" s="1"/>
  <c r="W962" i="20" l="1"/>
  <c r="X962" i="20" s="1"/>
  <c r="V963" i="20" s="1"/>
  <c r="W963" i="20" l="1"/>
  <c r="X963" i="20" s="1"/>
  <c r="V964" i="20" s="1"/>
  <c r="W964" i="20" l="1"/>
  <c r="X964" i="20" s="1"/>
  <c r="V965" i="20" s="1"/>
  <c r="W965" i="20" l="1"/>
  <c r="X965" i="20" s="1"/>
  <c r="V966" i="20" s="1"/>
  <c r="W966" i="20" l="1"/>
  <c r="X966" i="20" s="1"/>
  <c r="V967" i="20" s="1"/>
  <c r="W967" i="20" l="1"/>
  <c r="X967" i="20" s="1"/>
  <c r="V968" i="20" s="1"/>
  <c r="W968" i="20" l="1"/>
  <c r="X968" i="20" s="1"/>
  <c r="V969" i="20" s="1"/>
  <c r="W969" i="20" l="1"/>
  <c r="X969" i="20" s="1"/>
  <c r="V970" i="20" s="1"/>
  <c r="W970" i="20" l="1"/>
  <c r="X970" i="20" s="1"/>
  <c r="V971" i="20" s="1"/>
  <c r="W971" i="20" l="1"/>
  <c r="X971" i="20" s="1"/>
  <c r="V972" i="20" s="1"/>
  <c r="W972" i="20" l="1"/>
  <c r="X972" i="20" s="1"/>
  <c r="V973" i="20" s="1"/>
  <c r="W973" i="20" l="1"/>
  <c r="X973" i="20" s="1"/>
  <c r="V974" i="20" s="1"/>
  <c r="W974" i="20" l="1"/>
  <c r="X974" i="20" s="1"/>
  <c r="V975" i="20" s="1"/>
  <c r="W975" i="20" l="1"/>
  <c r="X975" i="20" s="1"/>
  <c r="V976" i="20" s="1"/>
  <c r="W976" i="20" l="1"/>
  <c r="X976" i="20" s="1"/>
  <c r="V977" i="20" s="1"/>
  <c r="W977" i="20" l="1"/>
  <c r="X977" i="20" s="1"/>
  <c r="V978" i="20" s="1"/>
  <c r="W978" i="20" l="1"/>
  <c r="X978" i="20" s="1"/>
  <c r="V979" i="20" s="1"/>
  <c r="W979" i="20" l="1"/>
  <c r="X979" i="20" s="1"/>
  <c r="V980" i="20" s="1"/>
  <c r="W980" i="20" l="1"/>
  <c r="X980" i="20" s="1"/>
  <c r="V981" i="20" s="1"/>
  <c r="W981" i="20" l="1"/>
  <c r="X981" i="20" s="1"/>
  <c r="V982" i="20" s="1"/>
  <c r="W982" i="20" l="1"/>
  <c r="X982" i="20" s="1"/>
  <c r="V983" i="20" s="1"/>
  <c r="W983" i="20" l="1"/>
  <c r="X983" i="20" s="1"/>
  <c r="V984" i="20" s="1"/>
  <c r="W984" i="20" l="1"/>
  <c r="X984" i="20" s="1"/>
  <c r="V985" i="20" s="1"/>
  <c r="W985" i="20" l="1"/>
  <c r="X985" i="20" s="1"/>
  <c r="V986" i="20" s="1"/>
  <c r="W986" i="20" l="1"/>
  <c r="X986" i="20" s="1"/>
  <c r="V987" i="20" s="1"/>
  <c r="W987" i="20" l="1"/>
  <c r="X987" i="20" s="1"/>
  <c r="V988" i="20" s="1"/>
  <c r="W988" i="20" l="1"/>
  <c r="X988" i="20" s="1"/>
  <c r="V989" i="20" s="1"/>
  <c r="W989" i="20" l="1"/>
  <c r="X989" i="20" s="1"/>
  <c r="V990" i="20" s="1"/>
  <c r="W990" i="20" l="1"/>
  <c r="X990" i="20" s="1"/>
  <c r="V991" i="20" s="1"/>
  <c r="W991" i="20" l="1"/>
  <c r="X991" i="20" s="1"/>
  <c r="V992" i="20" s="1"/>
  <c r="W992" i="20" l="1"/>
  <c r="X992" i="20" s="1"/>
  <c r="V993" i="20" s="1"/>
  <c r="W993" i="20" l="1"/>
  <c r="X993" i="20" s="1"/>
  <c r="V994" i="20" s="1"/>
  <c r="W994" i="20" l="1"/>
  <c r="X994" i="20" s="1"/>
  <c r="V995" i="20" s="1"/>
  <c r="W995" i="20" l="1"/>
  <c r="X995" i="20" s="1"/>
  <c r="V996" i="20" s="1"/>
  <c r="W996" i="20" l="1"/>
  <c r="X996" i="20" s="1"/>
  <c r="V997" i="20" s="1"/>
  <c r="W997" i="20" l="1"/>
  <c r="X997" i="20" s="1"/>
  <c r="V998" i="20" s="1"/>
  <c r="W998" i="20" l="1"/>
  <c r="X998" i="20" s="1"/>
  <c r="V999" i="20" s="1"/>
  <c r="W999" i="20" l="1"/>
  <c r="X999" i="20" s="1"/>
  <c r="V1000" i="20" s="1"/>
  <c r="W1000" i="20" l="1"/>
  <c r="X1000" i="20" s="1"/>
  <c r="V1001" i="20" s="1"/>
  <c r="W1001" i="20" l="1"/>
  <c r="X1001" i="20" s="1"/>
  <c r="V1002" i="20" s="1"/>
  <c r="W1002" i="20" l="1"/>
  <c r="X1002" i="20" s="1"/>
  <c r="V1003" i="20" s="1"/>
  <c r="W1003" i="20" l="1"/>
  <c r="X1003" i="20" s="1"/>
  <c r="V1004" i="20" s="1"/>
  <c r="W1004" i="20" l="1"/>
  <c r="X1004" i="20" s="1"/>
  <c r="V1005" i="20" s="1"/>
  <c r="W1005" i="20" l="1"/>
  <c r="X1005" i="20" s="1"/>
  <c r="V1006" i="20" s="1"/>
  <c r="W1006" i="20" l="1"/>
  <c r="X1006" i="20" s="1"/>
  <c r="V1007" i="20" s="1"/>
  <c r="W1007" i="20" l="1"/>
  <c r="X1007" i="20" s="1"/>
  <c r="V1008" i="20" s="1"/>
  <c r="W1008" i="20" l="1"/>
  <c r="X1008" i="20" s="1"/>
  <c r="V1009" i="20" s="1"/>
  <c r="W1009" i="20" l="1"/>
  <c r="X1009" i="20" s="1"/>
  <c r="V1010" i="20" s="1"/>
  <c r="W1010" i="20" l="1"/>
  <c r="X1010" i="20" s="1"/>
  <c r="V1011" i="20" s="1"/>
  <c r="W1011" i="20" l="1"/>
  <c r="X1011" i="20" s="1"/>
  <c r="V1012" i="20" s="1"/>
  <c r="W1012" i="20" l="1"/>
  <c r="X1012" i="20" s="1"/>
  <c r="V1013" i="20" s="1"/>
  <c r="W1013" i="20" l="1"/>
  <c r="X1013" i="20" s="1"/>
  <c r="V1014" i="20" s="1"/>
  <c r="W1014" i="20" l="1"/>
  <c r="X1014" i="20" s="1"/>
  <c r="V1015" i="20" s="1"/>
  <c r="W1015" i="20" l="1"/>
  <c r="X1015" i="20" s="1"/>
  <c r="V1016" i="20" s="1"/>
  <c r="W1016" i="20" l="1"/>
  <c r="X1016" i="20" s="1"/>
  <c r="V1017" i="20" s="1"/>
  <c r="W1017" i="20" l="1"/>
  <c r="X1017" i="20" s="1"/>
  <c r="V1018" i="20" s="1"/>
  <c r="W1018" i="20" l="1"/>
  <c r="X1018" i="20" s="1"/>
  <c r="V1019" i="20" s="1"/>
  <c r="W1019" i="20" l="1"/>
  <c r="X1019" i="20" s="1"/>
  <c r="V1020" i="20" s="1"/>
  <c r="W1020" i="20" l="1"/>
  <c r="X1020" i="20" s="1"/>
  <c r="V1021" i="20" s="1"/>
  <c r="W1021" i="20" l="1"/>
  <c r="X1021" i="20" s="1"/>
  <c r="V1022" i="20" l="1"/>
  <c r="W1022" i="20" s="1"/>
  <c r="X1022" i="20" s="1"/>
  <c r="V1023" i="20" s="1"/>
  <c r="W1023" i="20" s="1"/>
  <c r="X1023" i="20" s="1"/>
  <c r="V1024" i="20" s="1"/>
  <c r="W1024" i="20" l="1"/>
  <c r="X1024" i="20" s="1"/>
  <c r="V1025" i="20" s="1"/>
  <c r="W1025" i="20" l="1"/>
  <c r="X1025" i="20" s="1"/>
  <c r="V1026" i="20" s="1"/>
  <c r="W1026" i="20" l="1"/>
  <c r="X1026" i="20" s="1"/>
  <c r="V1027" i="20" s="1"/>
  <c r="W1027" i="20" l="1"/>
  <c r="X1027" i="20" s="1"/>
  <c r="V1028" i="20" s="1"/>
  <c r="W1028" i="20" l="1"/>
  <c r="X1028" i="20" s="1"/>
  <c r="V1029" i="20" l="1"/>
  <c r="W1029" i="20" s="1"/>
  <c r="X1029" i="20" s="1"/>
  <c r="V1030" i="20" s="1"/>
  <c r="W1030" i="20" s="1"/>
  <c r="X1030" i="20" s="1"/>
  <c r="V1031" i="20" s="1"/>
  <c r="W1031" i="20" l="1"/>
  <c r="X1031" i="20" s="1"/>
  <c r="V1032" i="20" s="1"/>
  <c r="W1032" i="20" l="1"/>
  <c r="X1032" i="20" s="1"/>
  <c r="V1033" i="20" s="1"/>
  <c r="W1033" i="20" l="1"/>
  <c r="X1033" i="20" s="1"/>
  <c r="V1034" i="20" s="1"/>
  <c r="W1034" i="20" l="1"/>
  <c r="X1034" i="20" s="1"/>
  <c r="V1035" i="20" s="1"/>
  <c r="W1035" i="20" l="1"/>
  <c r="X1035" i="20" s="1"/>
  <c r="V1036" i="20" l="1"/>
  <c r="W1036" i="20" s="1"/>
  <c r="X1036" i="20" s="1"/>
  <c r="V1037" i="20" s="1"/>
  <c r="W1037" i="20" s="1"/>
  <c r="X1037" i="20" s="1"/>
  <c r="V1038" i="20" s="1"/>
  <c r="W1038" i="20" l="1"/>
  <c r="X1038" i="20" s="1"/>
  <c r="V1039" i="20" s="1"/>
  <c r="W1039" i="20" l="1"/>
  <c r="X1039" i="20" s="1"/>
  <c r="V1040" i="20" s="1"/>
  <c r="W1040" i="20" l="1"/>
  <c r="X1040" i="20" s="1"/>
  <c r="V1041" i="20" s="1"/>
  <c r="W1041" i="20" l="1"/>
  <c r="X1041" i="20" s="1"/>
  <c r="V1042" i="20" s="1"/>
  <c r="W1042" i="20" l="1"/>
  <c r="X1042" i="20" s="1"/>
  <c r="V1043" i="20" l="1"/>
  <c r="W1043" i="20" s="1"/>
  <c r="X1043" i="20" s="1"/>
  <c r="V1044" i="20" s="1"/>
  <c r="W1044" i="20" s="1"/>
  <c r="X1044" i="20" s="1"/>
  <c r="V1045" i="20" s="1"/>
  <c r="W1045" i="20" l="1"/>
  <c r="X1045" i="20" s="1"/>
  <c r="V1046" i="20" s="1"/>
  <c r="W1046" i="20" l="1"/>
  <c r="X1046" i="20" s="1"/>
  <c r="V1047" i="20" s="1"/>
  <c r="W1047" i="20" l="1"/>
  <c r="X1047" i="20" s="1"/>
  <c r="V1048" i="20" s="1"/>
  <c r="W1048" i="20" l="1"/>
  <c r="X1048" i="20" s="1"/>
  <c r="V1049" i="20" s="1"/>
  <c r="W1049" i="20" l="1"/>
  <c r="X1049" i="20" s="1"/>
  <c r="V1050" i="20" l="1"/>
  <c r="W1050" i="20" s="1"/>
  <c r="X1050" i="20" s="1"/>
  <c r="V1051" i="20" s="1"/>
  <c r="W1051" i="20" s="1"/>
  <c r="X1051" i="20" s="1"/>
  <c r="V1052" i="20" s="1"/>
  <c r="W1052" i="20" l="1"/>
  <c r="X1052" i="20" s="1"/>
  <c r="V1053" i="20" s="1"/>
  <c r="W1053" i="20" l="1"/>
  <c r="X1053" i="20" s="1"/>
  <c r="V1054" i="20" s="1"/>
  <c r="W1054" i="20" l="1"/>
  <c r="X1054" i="20" s="1"/>
  <c r="V1055" i="20" s="1"/>
  <c r="W1055" i="20" l="1"/>
  <c r="X1055" i="20" s="1"/>
  <c r="V1056" i="20" s="1"/>
  <c r="W1056" i="20" l="1"/>
  <c r="X1056" i="20" s="1"/>
  <c r="V1057" i="20" s="1"/>
  <c r="W1057" i="20" l="1"/>
  <c r="X1057" i="20" s="1"/>
  <c r="V1058" i="20" s="1"/>
  <c r="W1058" i="20" l="1"/>
  <c r="X1058" i="20" s="1"/>
  <c r="V1059" i="20" s="1"/>
  <c r="W1059" i="20" l="1"/>
  <c r="X1059" i="20" s="1"/>
  <c r="V1060" i="20" s="1"/>
  <c r="W1060" i="20" l="1"/>
  <c r="X1060" i="20" s="1"/>
  <c r="V1061" i="20" s="1"/>
  <c r="W1061" i="20" l="1"/>
  <c r="X1061" i="20" s="1"/>
  <c r="V1062" i="20" s="1"/>
  <c r="W1062" i="20" l="1"/>
  <c r="X1062" i="20" s="1"/>
  <c r="V1063" i="20" s="1"/>
  <c r="W1063" i="20" l="1"/>
  <c r="X1063" i="20"/>
  <c r="V1064" i="20" s="1"/>
  <c r="W1064" i="20" l="1"/>
  <c r="X1064" i="20" s="1"/>
  <c r="V1065" i="20" s="1"/>
  <c r="W1065" i="20" l="1"/>
  <c r="X1065" i="20" s="1"/>
  <c r="V1066" i="20" s="1"/>
  <c r="W1066" i="20" l="1"/>
  <c r="X1066" i="20" s="1"/>
  <c r="V1067" i="20" s="1"/>
  <c r="W1067" i="20" l="1"/>
  <c r="X1067" i="20" s="1"/>
  <c r="V1068" i="20" s="1"/>
  <c r="W1068" i="20" l="1"/>
  <c r="X1068" i="20" s="1"/>
  <c r="V1069" i="20" s="1"/>
  <c r="W1069" i="20" l="1"/>
  <c r="X1069" i="20" s="1"/>
  <c r="V1070" i="20" s="1"/>
  <c r="W1070" i="20" l="1"/>
  <c r="X1070" i="20" s="1"/>
  <c r="V1071" i="20" s="1"/>
  <c r="W1071" i="20" l="1"/>
  <c r="X1071" i="20" s="1"/>
  <c r="V1072" i="20" s="1"/>
  <c r="W1072" i="20" l="1"/>
  <c r="X1072" i="20" s="1"/>
  <c r="V1073" i="20" s="1"/>
  <c r="W1073" i="20" l="1"/>
  <c r="X1073" i="20" s="1"/>
  <c r="V1074" i="20" s="1"/>
  <c r="W1074" i="20" l="1"/>
  <c r="X1074" i="20" s="1"/>
  <c r="V1075" i="20" s="1"/>
  <c r="W1075" i="20" l="1"/>
  <c r="X1075" i="20" s="1"/>
  <c r="V1076" i="20" s="1"/>
  <c r="W1076" i="20" l="1"/>
  <c r="X1076" i="20" s="1"/>
  <c r="V1077" i="20" s="1"/>
  <c r="W1077" i="20" l="1"/>
  <c r="X1077" i="20" s="1"/>
  <c r="V1078" i="20" s="1"/>
  <c r="W1078" i="20" l="1"/>
  <c r="X1078" i="20" s="1"/>
  <c r="V1079" i="20" s="1"/>
  <c r="W1079" i="20" l="1"/>
  <c r="X1079" i="20" s="1"/>
  <c r="V1080" i="20" s="1"/>
  <c r="W1080" i="20" l="1"/>
  <c r="X1080" i="20" s="1"/>
  <c r="V1081" i="20" s="1"/>
  <c r="W1081" i="20" l="1"/>
  <c r="X1081" i="20" s="1"/>
  <c r="V1082" i="20" s="1"/>
  <c r="W1082" i="20" l="1"/>
  <c r="X1082" i="20" s="1"/>
  <c r="V1083" i="20" s="1"/>
  <c r="W1083" i="20" l="1"/>
  <c r="X1083" i="20" s="1"/>
  <c r="V1084" i="20" s="1"/>
  <c r="W1084" i="20" l="1"/>
  <c r="X1084" i="20" s="1"/>
  <c r="V1085" i="20" s="1"/>
  <c r="W1085" i="20" l="1"/>
  <c r="X1085" i="20" s="1"/>
  <c r="V1086" i="20" s="1"/>
  <c r="W1086" i="20" l="1"/>
  <c r="X1086" i="20" s="1"/>
  <c r="V1087" i="20" s="1"/>
  <c r="W1087" i="20" l="1"/>
  <c r="X1087" i="20" s="1"/>
  <c r="V1088" i="20" s="1"/>
  <c r="W1088" i="20" l="1"/>
  <c r="X1088" i="20" s="1"/>
  <c r="V1089" i="20" s="1"/>
  <c r="W1089" i="20" l="1"/>
  <c r="X1089" i="20" s="1"/>
  <c r="V1090" i="20" s="1"/>
  <c r="W1090" i="20" l="1"/>
  <c r="X1090" i="20" s="1"/>
  <c r="V1091" i="20" s="1"/>
  <c r="W1091" i="20" l="1"/>
  <c r="X1091" i="20" s="1"/>
  <c r="V1092" i="20" s="1"/>
  <c r="W1092" i="20" l="1"/>
  <c r="X1092" i="20" s="1"/>
  <c r="V1093" i="20" s="1"/>
  <c r="W1093" i="20" l="1"/>
  <c r="X1093" i="20" s="1"/>
  <c r="V1094" i="20" s="1"/>
  <c r="W1094" i="20" l="1"/>
  <c r="X1094" i="20" s="1"/>
  <c r="V1095" i="20" s="1"/>
  <c r="W1095" i="20" l="1"/>
  <c r="X1095" i="20" s="1"/>
  <c r="V1096" i="20" s="1"/>
  <c r="W1096" i="20" l="1"/>
  <c r="X1096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9F5104-65FA-452E-9948-96E07C8D8B0A}" keepAlive="1" interval="1" name="Requête - Ajouter1" description="Connexion à la requête « Ajouter1 » dans le classeur." type="5" refreshedVersion="6" background="1" saveData="1">
    <dbPr connection="Provider=Microsoft.Mashup.OleDb.1;Data Source=$Workbook$;Location=Ajouter1;Extended Properties=&quot;&quot;" command="SELECT * FROM [Ajouter1]"/>
  </connection>
  <connection id="2" xr16:uid="{9903123F-4BE3-4501-AB6E-6C4845B67628}" keepAlive="1" interval="1" name="Requête - Ajouter1 (2)" description="Connexion à la requête « Ajouter1 (2) » dans le classeur." type="5" refreshedVersion="6" background="1" saveData="1">
    <dbPr connection="Provider=Microsoft.Mashup.OleDb.1;Data Source=$Workbook$;Location=&quot;Ajouter1 (2)&quot;;Extended Properties=&quot;&quot;" command="SELECT * FROM [Ajouter1 (2)]"/>
  </connection>
  <connection id="3" xr16:uid="{3FEFCB36-6969-42AE-8F95-BE6E21626D1C}" keepAlive="1" name="Requête - TCC" description="Connexion à la requête « TCC » dans le classeur." type="5" refreshedVersion="6" background="1" saveData="1">
    <dbPr connection="Provider=Microsoft.Mashup.OleDb.1;Data Source=$Workbook$;Location=TCC;Extended Properties=&quot;&quot;" command="SELECT * FROM [TCC]"/>
  </connection>
  <connection id="4" xr16:uid="{2EAE9C19-73F7-4466-93C6-FF220B630EA7}" keepAlive="1" name="Requête - TCE" description="Connexion à la requête « TCE » dans le classeur." type="5" refreshedVersion="6" background="1" saveData="1">
    <dbPr connection="Provider=Microsoft.Mashup.OleDb.1;Data Source=$Workbook$;Location=TCE;Extended Properties=&quot;&quot;" command="SELECT * FROM [TCE]"/>
  </connection>
  <connection id="5" xr16:uid="{8F3D85EC-0173-49A9-8E5C-E7867DBB3E28}" keepAlive="1" name="Requête - TCM" description="Connexion à la requête « TCM » dans le classeur." type="5" refreshedVersion="6" background="1" saveData="1">
    <dbPr connection="Provider=Microsoft.Mashup.OleDb.1;Data Source=$Workbook$;Location=TCM;Extended Properties=&quot;&quot;" command="SELECT * FROM [TCM]"/>
  </connection>
  <connection id="6" xr16:uid="{1EE4DAE1-E7CE-41FF-9A9B-AA0F0CCD53CB}" keepAlive="1" name="Requête - TCS" description="Connexion à la requête « TCS » dans le classeur." type="5" refreshedVersion="6" background="1" saveData="1">
    <dbPr connection="Provider=Microsoft.Mashup.OleDb.1;Data Source=$Workbook$;Location=TCS;Extended Properties=&quot;&quot;" command="SELECT * FROM [TCS]"/>
  </connection>
</connections>
</file>

<file path=xl/sharedStrings.xml><?xml version="1.0" encoding="utf-8"?>
<sst xmlns="http://schemas.openxmlformats.org/spreadsheetml/2006/main" count="699" uniqueCount="203">
  <si>
    <t xml:space="preserve">Facturation particulier </t>
  </si>
  <si>
    <t>Facturation mairie</t>
  </si>
  <si>
    <t>Facturation marché public</t>
  </si>
  <si>
    <t>Total</t>
  </si>
  <si>
    <t>Findis</t>
  </si>
  <si>
    <t xml:space="preserve">Pro </t>
  </si>
  <si>
    <t>Pms</t>
  </si>
  <si>
    <t>Yess electrique</t>
  </si>
  <si>
    <t>Rexel</t>
  </si>
  <si>
    <t>Dépenses Fournisseurs  entreprise</t>
  </si>
  <si>
    <t>Dépenses Fournisseurs magasin</t>
  </si>
  <si>
    <t>Loyer magasin</t>
  </si>
  <si>
    <t>Charges magasin</t>
  </si>
  <si>
    <t>Encaissement Magasin</t>
  </si>
  <si>
    <t>Redevance findis</t>
  </si>
  <si>
    <t>Redevance Pro</t>
  </si>
  <si>
    <t>Téléphone magasin</t>
  </si>
  <si>
    <t>Téléphone Laurent</t>
  </si>
  <si>
    <t xml:space="preserve">Eau </t>
  </si>
  <si>
    <t>Fourniture Bureau</t>
  </si>
  <si>
    <t>Publicité</t>
  </si>
  <si>
    <t>Assurance</t>
  </si>
  <si>
    <t>Fourniture bureau</t>
  </si>
  <si>
    <t>Sagesco</t>
  </si>
  <si>
    <t xml:space="preserve">Mois </t>
  </si>
  <si>
    <t>N-1</t>
  </si>
  <si>
    <t>N</t>
  </si>
  <si>
    <t>Ecart</t>
  </si>
  <si>
    <t>Encaissement Entreprise</t>
  </si>
  <si>
    <t>Facturation magasin</t>
  </si>
  <si>
    <t>MOIS:</t>
  </si>
  <si>
    <t>Electricite</t>
  </si>
  <si>
    <t>Frais postaux</t>
  </si>
  <si>
    <t>Charges entreprise</t>
  </si>
  <si>
    <t>Loyer Hangar</t>
  </si>
  <si>
    <t>Télphone Stephane</t>
  </si>
  <si>
    <t>Electricite magasin</t>
  </si>
  <si>
    <t>Assurance voiture</t>
  </si>
  <si>
    <t>Assurance décénale</t>
  </si>
  <si>
    <t>ass voiture laurent</t>
  </si>
  <si>
    <t>ass camion laurent</t>
  </si>
  <si>
    <t>carburant laurent</t>
  </si>
  <si>
    <t>carburant camion</t>
  </si>
  <si>
    <t>carburant stephane</t>
  </si>
  <si>
    <t>Electricite hangar</t>
  </si>
  <si>
    <t>Carburant entreprise</t>
  </si>
  <si>
    <t>Emprunt veh entp</t>
  </si>
  <si>
    <t>Charges communes</t>
  </si>
  <si>
    <t>Prêt travaux sci</t>
  </si>
  <si>
    <t>Prêt site internet</t>
  </si>
  <si>
    <t xml:space="preserve">Montant emprunté </t>
  </si>
  <si>
    <t xml:space="preserve">Solde du prêt </t>
  </si>
  <si>
    <t>Date de fin</t>
  </si>
  <si>
    <t>Montant epargné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</si>
  <si>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</si>
  <si>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</si>
  <si>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</si>
  <si>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</si>
  <si>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</si>
  <si>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</si>
  <si>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</si>
  <si>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</si>
  <si>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janvier</t>
  </si>
  <si>
    <t>fevrier</t>
  </si>
  <si>
    <t xml:space="preserve">mars </t>
  </si>
  <si>
    <t>avril</t>
  </si>
  <si>
    <t>Emprunt prêt Covid 19</t>
  </si>
  <si>
    <t>Emprunts</t>
  </si>
  <si>
    <t>Credit Bail</t>
  </si>
  <si>
    <t>Vehicule stephane</t>
  </si>
  <si>
    <t>Camion alexis</t>
  </si>
  <si>
    <t>Clubman</t>
  </si>
  <si>
    <t xml:space="preserve">Prets investissement </t>
  </si>
  <si>
    <t>Prets véhicules</t>
  </si>
  <si>
    <t>Tot prêt vehicule</t>
  </si>
  <si>
    <t>Tot prêt investissement</t>
  </si>
  <si>
    <t>Total location vehicule</t>
  </si>
  <si>
    <t>Total charges fixes vehicule et emprunts</t>
  </si>
  <si>
    <t>Veronique</t>
  </si>
  <si>
    <t>Salaire magasin</t>
  </si>
  <si>
    <t>Laurent</t>
  </si>
  <si>
    <t>Alexis BROUTE</t>
  </si>
  <si>
    <t>Alexandre fromager</t>
  </si>
  <si>
    <t>Maxence Chretien</t>
  </si>
  <si>
    <t>Jeremy Lébert</t>
  </si>
  <si>
    <t>Gael Morin</t>
  </si>
  <si>
    <t>Charges sociales</t>
  </si>
  <si>
    <t>Ag2r</t>
  </si>
  <si>
    <t>Urssaf</t>
  </si>
  <si>
    <t>Congé paye</t>
  </si>
  <si>
    <t>Prélevement a la source</t>
  </si>
  <si>
    <t>PRO Btp</t>
  </si>
  <si>
    <t>Gan mutuelle</t>
  </si>
  <si>
    <t>ag2r vie</t>
  </si>
  <si>
    <t>ag2r stephane</t>
  </si>
  <si>
    <t>prévoyance gerant</t>
  </si>
  <si>
    <t>agr2r déces</t>
  </si>
  <si>
    <t>Bilan mensuel</t>
  </si>
  <si>
    <t>Encaissement</t>
  </si>
  <si>
    <t>Achats  Magasin</t>
  </si>
  <si>
    <t>Salaires magasin</t>
  </si>
  <si>
    <t>Encaissement entreprise</t>
  </si>
  <si>
    <t>Achats entreprise</t>
  </si>
  <si>
    <t>Salaire entreprise</t>
  </si>
  <si>
    <t>Delta magasin</t>
  </si>
  <si>
    <t>Delta entreprise</t>
  </si>
  <si>
    <t>Charges commune</t>
  </si>
  <si>
    <t>Charges sociale</t>
  </si>
  <si>
    <t>gerant</t>
  </si>
  <si>
    <t>Charge exceptionnelle</t>
  </si>
  <si>
    <t>Revenu exceptionnel</t>
  </si>
  <si>
    <t>enprunt covid 19</t>
  </si>
  <si>
    <t>Description</t>
  </si>
  <si>
    <t>Catégorie</t>
  </si>
  <si>
    <t>Sous catégorie</t>
  </si>
  <si>
    <t>fournisseurs</t>
  </si>
  <si>
    <t>Pro</t>
  </si>
  <si>
    <t>PMS</t>
  </si>
  <si>
    <t>Yess Electrique</t>
  </si>
  <si>
    <t>Catégories</t>
  </si>
  <si>
    <t>Charge magasin</t>
  </si>
  <si>
    <t>Charge entreprise</t>
  </si>
  <si>
    <t>Charge commune</t>
  </si>
  <si>
    <t>Sous catégories</t>
  </si>
  <si>
    <t>Fournisseur</t>
  </si>
  <si>
    <t>Erreurs</t>
  </si>
  <si>
    <t>Sélection impossible</t>
  </si>
  <si>
    <t>Date</t>
  </si>
  <si>
    <t>Montant</t>
  </si>
  <si>
    <t>Données des listes déroulantes</t>
  </si>
  <si>
    <t>Tableau des encaissements</t>
  </si>
  <si>
    <t>Liste des charges</t>
  </si>
  <si>
    <t>Charge</t>
  </si>
  <si>
    <t>Tableau des charges</t>
  </si>
  <si>
    <t>date de fin</t>
  </si>
  <si>
    <t>type de prêt</t>
  </si>
  <si>
    <t>Véhicule</t>
  </si>
  <si>
    <t>Investissement</t>
  </si>
  <si>
    <t>Crédit-bail</t>
  </si>
  <si>
    <t>libellé</t>
  </si>
  <si>
    <t>montant emprunté</t>
  </si>
  <si>
    <t>mensualité</t>
  </si>
  <si>
    <t>date de début</t>
  </si>
  <si>
    <t>solde</t>
  </si>
  <si>
    <t>Tableau des salaires</t>
  </si>
  <si>
    <t>Salaire</t>
  </si>
  <si>
    <t>Liste des salariés</t>
  </si>
  <si>
    <t>Salarié</t>
  </si>
  <si>
    <t>Liste des emplacements</t>
  </si>
  <si>
    <t>Magasin</t>
  </si>
  <si>
    <t>Entreprise</t>
  </si>
  <si>
    <t>Liste des charges sociales</t>
  </si>
  <si>
    <t>Duree</t>
  </si>
  <si>
    <t>05/05/2020</t>
  </si>
  <si>
    <t/>
  </si>
  <si>
    <t>Libellé</t>
  </si>
  <si>
    <t>Total général</t>
  </si>
  <si>
    <t>travaux magasin</t>
  </si>
  <si>
    <t>Étiquettes de colonnes</t>
  </si>
  <si>
    <t>1er paiement</t>
  </si>
  <si>
    <t>Solde</t>
  </si>
  <si>
    <t>Mensualité</t>
  </si>
  <si>
    <t>Intérêts</t>
  </si>
  <si>
    <t>Capital</t>
  </si>
  <si>
    <t xml:space="preserve">Nombres de périodes </t>
  </si>
  <si>
    <t xml:space="preserve">Taux d'intérêts </t>
  </si>
  <si>
    <t>Capital emprunté</t>
  </si>
  <si>
    <t xml:space="preserve">Amortissement </t>
  </si>
  <si>
    <t>Type</t>
  </si>
  <si>
    <t>Échéance</t>
  </si>
  <si>
    <t>Tableau de saisie emprunts</t>
  </si>
  <si>
    <t>Tableaux d'amortissements des emprunts</t>
  </si>
  <si>
    <t>travaux entreprise</t>
  </si>
  <si>
    <t>Étiquettes de lignes</t>
  </si>
  <si>
    <t>2021</t>
  </si>
  <si>
    <t>2022</t>
  </si>
  <si>
    <t>2023</t>
  </si>
  <si>
    <t>Somme de Montant</t>
  </si>
  <si>
    <t>Charge Fournisseurs magasin</t>
  </si>
  <si>
    <t>Charge Fournisseurs Entreprise</t>
  </si>
  <si>
    <t>janv</t>
  </si>
  <si>
    <t>2500</t>
  </si>
  <si>
    <t>Colonne1</t>
  </si>
  <si>
    <t>Charge sociale</t>
  </si>
  <si>
    <t>2020</t>
  </si>
  <si>
    <t>(vide)</t>
  </si>
  <si>
    <t>Entreprise Chretien SA -Suivi des charges</t>
  </si>
  <si>
    <t>Entreprise Chretien SA - Saisie des données</t>
  </si>
  <si>
    <t>1</t>
  </si>
  <si>
    <t>Total Somme de Montant</t>
  </si>
  <si>
    <t>Total Nombre de Sous catégorie</t>
  </si>
  <si>
    <t>Nombre de Sous catégorie</t>
  </si>
  <si>
    <t>Nombre de Description</t>
  </si>
  <si>
    <t>Total Nombre de Description</t>
  </si>
  <si>
    <t>févr</t>
  </si>
  <si>
    <t>mars</t>
  </si>
  <si>
    <t>avr</t>
  </si>
  <si>
    <t>juil</t>
  </si>
  <si>
    <t>août</t>
  </si>
  <si>
    <t>sept</t>
  </si>
  <si>
    <t>oct</t>
  </si>
  <si>
    <t>nov</t>
  </si>
  <si>
    <t>déc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</si>
</sst>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#,##0.00\ _€"/>
    <numFmt numFmtId="166" formatCode="[$-40C]d\-mmm\-yyyy;@"/>
    <numFmt numFmtId="167" formatCode="[$-40C]mmm\-yy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0"/>
      <color rgb="FFFF0080"/>
      <name val="Consolas"/>
      <family val="3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indexed="65"/>
        <bgColor auto="1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4" fillId="0" borderId="1" xfId="0" applyFont="1" applyBorder="1"/>
    <xf numFmtId="0" fontId="0" fillId="0" borderId="1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Fill="1" applyBorder="1"/>
    <xf numFmtId="0" fontId="4" fillId="0" borderId="5" xfId="0" applyFont="1" applyFill="1" applyBorder="1"/>
    <xf numFmtId="0" fontId="2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Fill="1" applyBorder="1"/>
    <xf numFmtId="0" fontId="6" fillId="0" borderId="1" xfId="0" applyFont="1" applyBorder="1"/>
    <xf numFmtId="164" fontId="0" fillId="0" borderId="1" xfId="0" applyNumberForma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0" fillId="0" borderId="1" xfId="0" applyNumberFormat="1" applyBorder="1"/>
    <xf numFmtId="166" fontId="0" fillId="0" borderId="1" xfId="0" applyNumberFormat="1" applyBorder="1"/>
    <xf numFmtId="0" fontId="0" fillId="0" borderId="9" xfId="0" applyBorder="1"/>
    <xf numFmtId="0" fontId="0" fillId="0" borderId="1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9" xfId="0" applyFill="1" applyBorder="1"/>
    <xf numFmtId="0" fontId="0" fillId="3" borderId="1" xfId="0" applyFill="1" applyBorder="1"/>
    <xf numFmtId="0" fontId="8" fillId="0" borderId="1" xfId="0" applyFont="1" applyBorder="1"/>
    <xf numFmtId="0" fontId="6" fillId="3" borderId="1" xfId="0" applyFont="1" applyFill="1" applyBorder="1"/>
    <xf numFmtId="0" fontId="0" fillId="5" borderId="1" xfId="0" applyFill="1" applyBorder="1"/>
    <xf numFmtId="0" fontId="0" fillId="0" borderId="0" xfId="0" applyFill="1" applyBorder="1"/>
    <xf numFmtId="0" fontId="0" fillId="0" borderId="0" xfId="0" applyBorder="1"/>
    <xf numFmtId="167" fontId="0" fillId="0" borderId="0" xfId="0" applyNumberFormat="1"/>
    <xf numFmtId="0" fontId="1" fillId="0" borderId="0" xfId="0" applyFont="1"/>
    <xf numFmtId="0" fontId="6" fillId="0" borderId="0" xfId="0" applyFont="1" applyBorder="1"/>
    <xf numFmtId="0" fontId="6" fillId="0" borderId="0" xfId="0" applyFont="1" applyFill="1" applyBorder="1"/>
    <xf numFmtId="0" fontId="13" fillId="6" borderId="0" xfId="0" applyFont="1" applyFill="1"/>
    <xf numFmtId="0" fontId="13" fillId="6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ont="1" applyFill="1"/>
    <xf numFmtId="0" fontId="8" fillId="0" borderId="0" xfId="0" applyFont="1" applyBorder="1"/>
    <xf numFmtId="0" fontId="0" fillId="6" borderId="0" xfId="0" applyFill="1"/>
    <xf numFmtId="0" fontId="0" fillId="7" borderId="0" xfId="0" applyFill="1" applyBorder="1"/>
    <xf numFmtId="0" fontId="1" fillId="7" borderId="0" xfId="0" applyFont="1" applyFill="1" applyBorder="1" applyAlignment="1">
      <alignment vertical="center" wrapText="1"/>
    </xf>
    <xf numFmtId="0" fontId="0" fillId="7" borderId="0" xfId="0" applyFill="1" applyBorder="1" applyAlignment="1"/>
    <xf numFmtId="0" fontId="1" fillId="7" borderId="0" xfId="0" applyFont="1" applyFill="1" applyBorder="1" applyAlignment="1">
      <alignment horizontal="center" wrapText="1"/>
    </xf>
    <xf numFmtId="0" fontId="1" fillId="7" borderId="0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wrapText="1"/>
    </xf>
    <xf numFmtId="0" fontId="15" fillId="7" borderId="0" xfId="0" applyFont="1" applyFill="1" applyBorder="1" applyAlignment="1">
      <alignment horizontal="center" vertical="center"/>
    </xf>
    <xf numFmtId="0" fontId="14" fillId="8" borderId="10" xfId="0" applyFont="1" applyFill="1" applyBorder="1"/>
    <xf numFmtId="0" fontId="14" fillId="8" borderId="11" xfId="0" applyFont="1" applyFill="1" applyBorder="1"/>
    <xf numFmtId="0" fontId="14" fillId="8" borderId="12" xfId="0" applyFont="1" applyFill="1" applyBorder="1"/>
    <xf numFmtId="0" fontId="0" fillId="0" borderId="0" xfId="0" applyFont="1" applyFill="1" applyBorder="1"/>
    <xf numFmtId="0" fontId="14" fillId="8" borderId="13" xfId="0" applyFont="1" applyFill="1" applyBorder="1"/>
    <xf numFmtId="0" fontId="14" fillId="8" borderId="0" xfId="0" applyFont="1" applyFill="1" applyBorder="1"/>
    <xf numFmtId="0" fontId="14" fillId="8" borderId="14" xfId="0" applyFont="1" applyFill="1" applyBorder="1"/>
    <xf numFmtId="167" fontId="14" fillId="8" borderId="15" xfId="0" applyNumberFormat="1" applyFont="1" applyFill="1" applyBorder="1"/>
    <xf numFmtId="167" fontId="14" fillId="8" borderId="0" xfId="0" applyNumberFormat="1" applyFont="1" applyFill="1" applyBorder="1"/>
    <xf numFmtId="167" fontId="14" fillId="8" borderId="16" xfId="0" applyNumberFormat="1" applyFont="1" applyFill="1" applyBorder="1"/>
    <xf numFmtId="0" fontId="0" fillId="0" borderId="0" xfId="0" pivotButton="1"/>
    <xf numFmtId="0" fontId="0" fillId="0" borderId="0" xfId="0" applyFont="1" applyFill="1" applyAlignment="1">
      <alignment horizontal="center"/>
    </xf>
    <xf numFmtId="0" fontId="0" fillId="0" borderId="0" xfId="0" applyFill="1"/>
    <xf numFmtId="164" fontId="0" fillId="0" borderId="0" xfId="0" applyNumberFormat="1"/>
    <xf numFmtId="14" fontId="0" fillId="0" borderId="0" xfId="0" applyNumberFormat="1"/>
    <xf numFmtId="10" fontId="0" fillId="0" borderId="1" xfId="0" applyNumberFormat="1" applyBorder="1"/>
    <xf numFmtId="0" fontId="16" fillId="10" borderId="1" xfId="0" applyFont="1" applyFill="1" applyBorder="1"/>
    <xf numFmtId="0" fontId="13" fillId="6" borderId="0" xfId="0" applyFont="1" applyFill="1" applyAlignment="1">
      <alignment horizontal="center"/>
    </xf>
    <xf numFmtId="0" fontId="1" fillId="0" borderId="18" xfId="0" applyFont="1" applyBorder="1"/>
    <xf numFmtId="0" fontId="17" fillId="0" borderId="20" xfId="0" applyFont="1" applyBorder="1" applyAlignment="1">
      <alignment vertical="center"/>
    </xf>
    <xf numFmtId="14" fontId="0" fillId="9" borderId="10" xfId="0" applyNumberFormat="1" applyFont="1" applyFill="1" applyBorder="1" applyAlignment="1">
      <alignment horizontal="right" vertical="center"/>
    </xf>
    <xf numFmtId="164" fontId="0" fillId="9" borderId="11" xfId="0" applyNumberFormat="1" applyFont="1" applyFill="1" applyBorder="1"/>
    <xf numFmtId="164" fontId="0" fillId="9" borderId="12" xfId="0" applyNumberFormat="1" applyFont="1" applyFill="1" applyBorder="1"/>
    <xf numFmtId="14" fontId="0" fillId="0" borderId="10" xfId="0" applyNumberFormat="1" applyFont="1" applyBorder="1" applyAlignment="1">
      <alignment horizontal="right" vertical="center"/>
    </xf>
    <xf numFmtId="164" fontId="0" fillId="0" borderId="11" xfId="0" applyNumberFormat="1" applyFont="1" applyBorder="1"/>
    <xf numFmtId="164" fontId="0" fillId="0" borderId="12" xfId="0" applyNumberFormat="1" applyFont="1" applyBorder="1"/>
    <xf numFmtId="14" fontId="1" fillId="0" borderId="17" xfId="0" applyNumberFormat="1" applyFont="1" applyBorder="1" applyAlignment="1">
      <alignment horizontal="right" vertical="center"/>
    </xf>
    <xf numFmtId="164" fontId="1" fillId="0" borderId="18" xfId="0" applyNumberFormat="1" applyFont="1" applyBorder="1"/>
    <xf numFmtId="164" fontId="1" fillId="0" borderId="19" xfId="0" applyNumberFormat="1" applyFont="1" applyBorder="1"/>
    <xf numFmtId="8" fontId="0" fillId="9" borderId="11" xfId="0" applyNumberFormat="1" applyFont="1" applyFill="1" applyBorder="1"/>
    <xf numFmtId="14" fontId="0" fillId="0" borderId="10" xfId="0" applyNumberFormat="1" applyFont="1" applyFill="1" applyBorder="1" applyAlignment="1">
      <alignment horizontal="right" vertical="center"/>
    </xf>
    <xf numFmtId="8" fontId="0" fillId="0" borderId="11" xfId="0" applyNumberFormat="1" applyFont="1" applyFill="1" applyBorder="1"/>
    <xf numFmtId="164" fontId="0" fillId="0" borderId="11" xfId="0" applyNumberFormat="1" applyFont="1" applyFill="1" applyBorder="1"/>
    <xf numFmtId="164" fontId="0" fillId="0" borderId="12" xfId="0" applyNumberFormat="1" applyFont="1" applyFill="1" applyBorder="1"/>
    <xf numFmtId="14" fontId="0" fillId="7" borderId="0" xfId="0" applyNumberFormat="1" applyFill="1" applyBorder="1"/>
    <xf numFmtId="0" fontId="0" fillId="0" borderId="0" xfId="0" applyAlignment="1">
      <alignment horizontal="left"/>
    </xf>
    <xf numFmtId="167" fontId="0" fillId="9" borderId="11" xfId="0" applyNumberFormat="1" applyFont="1" applyFill="1" applyBorder="1" applyAlignment="1">
      <alignment horizontal="right" vertical="center"/>
    </xf>
    <xf numFmtId="167" fontId="0" fillId="0" borderId="11" xfId="0" applyNumberFormat="1" applyFont="1" applyBorder="1" applyAlignment="1">
      <alignment horizontal="right" vertical="center"/>
    </xf>
    <xf numFmtId="14" fontId="0" fillId="0" borderId="1" xfId="0" applyNumberFormat="1" applyBorder="1"/>
    <xf numFmtId="1" fontId="0" fillId="0" borderId="1" xfId="0" applyNumberFormat="1" applyBorder="1"/>
    <xf numFmtId="49" fontId="14" fillId="8" borderId="0" xfId="0" applyNumberFormat="1" applyFont="1" applyFill="1" applyBorder="1"/>
    <xf numFmtId="164" fontId="14" fillId="8" borderId="0" xfId="0" applyNumberFormat="1" applyFont="1" applyFill="1" applyBorder="1"/>
    <xf numFmtId="0" fontId="1" fillId="0" borderId="0" xfId="0" applyFont="1" applyAlignment="1">
      <alignment horizontal="left"/>
    </xf>
    <xf numFmtId="14" fontId="14" fillId="8" borderId="0" xfId="0" applyNumberFormat="1" applyFont="1" applyFill="1" applyBorder="1"/>
    <xf numFmtId="7" fontId="14" fillId="8" borderId="0" xfId="0" applyNumberFormat="1" applyFont="1" applyFill="1" applyBorder="1"/>
    <xf numFmtId="0" fontId="0" fillId="9" borderId="11" xfId="0" applyFont="1" applyFill="1" applyBorder="1"/>
    <xf numFmtId="14" fontId="0" fillId="9" borderId="11" xfId="0" applyNumberFormat="1" applyFont="1" applyFill="1" applyBorder="1"/>
    <xf numFmtId="0" fontId="0" fillId="9" borderId="0" xfId="0" applyFont="1" applyFill="1" applyBorder="1"/>
    <xf numFmtId="0" fontId="14" fillId="8" borderId="0" xfId="0" applyFont="1" applyFill="1"/>
    <xf numFmtId="7" fontId="0" fillId="9" borderId="11" xfId="0" applyNumberFormat="1" applyFont="1" applyFill="1" applyBorder="1"/>
    <xf numFmtId="0" fontId="0" fillId="11" borderId="0" xfId="0" applyFill="1"/>
    <xf numFmtId="0" fontId="11" fillId="11" borderId="0" xfId="0" applyFont="1" applyFill="1"/>
    <xf numFmtId="0" fontId="10" fillId="11" borderId="0" xfId="0" applyFont="1" applyFill="1"/>
    <xf numFmtId="0" fontId="0" fillId="11" borderId="0" xfId="0" applyFill="1" applyAlignment="1">
      <alignment horizontal="left"/>
    </xf>
    <xf numFmtId="44" fontId="0" fillId="11" borderId="0" xfId="0" applyNumberFormat="1" applyFill="1"/>
    <xf numFmtId="0" fontId="0" fillId="11" borderId="0" xfId="0" applyFill="1" applyAlignment="1">
      <alignment horizontal="left" indent="1"/>
    </xf>
    <xf numFmtId="0" fontId="18" fillId="7" borderId="0" xfId="0" applyFont="1" applyFill="1" applyBorder="1"/>
    <xf numFmtId="0" fontId="10" fillId="7" borderId="0" xfId="0" applyFont="1" applyFill="1" applyBorder="1" applyAlignment="1">
      <alignment vertical="top" wrapText="1"/>
    </xf>
    <xf numFmtId="0" fontId="15" fillId="7" borderId="0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vertical="center"/>
    </xf>
    <xf numFmtId="0" fontId="0" fillId="7" borderId="0" xfId="0" applyFill="1"/>
    <xf numFmtId="167" fontId="0" fillId="7" borderId="0" xfId="0" applyNumberFormat="1" applyFill="1"/>
    <xf numFmtId="0" fontId="0" fillId="7" borderId="0" xfId="0" applyFill="1" applyAlignment="1">
      <alignment horizontal="left"/>
    </xf>
    <xf numFmtId="44" fontId="0" fillId="7" borderId="0" xfId="0" applyNumberFormat="1" applyFill="1"/>
    <xf numFmtId="0" fontId="0" fillId="7" borderId="0" xfId="0" applyFill="1" applyAlignment="1">
      <alignment horizontal="left" indent="1"/>
    </xf>
    <xf numFmtId="0" fontId="11" fillId="0" borderId="0" xfId="0" applyFont="1" applyAlignment="1">
      <alignment horizontal="center"/>
    </xf>
    <xf numFmtId="0" fontId="10" fillId="7" borderId="0" xfId="0" applyFont="1" applyFill="1" applyBorder="1" applyAlignment="1">
      <alignment horizontal="center" vertical="top" wrapText="1"/>
    </xf>
    <xf numFmtId="0" fontId="15" fillId="7" borderId="21" xfId="0" applyFont="1" applyFill="1" applyBorder="1" applyAlignment="1">
      <alignment horizontal="center" vertical="center"/>
    </xf>
    <xf numFmtId="0" fontId="15" fillId="7" borderId="22" xfId="0" applyFont="1" applyFill="1" applyBorder="1" applyAlignment="1">
      <alignment horizontal="center" vertical="center"/>
    </xf>
    <xf numFmtId="0" fontId="15" fillId="7" borderId="23" xfId="0" applyFont="1" applyFill="1" applyBorder="1" applyAlignment="1">
      <alignment horizontal="center" vertical="center"/>
    </xf>
    <xf numFmtId="0" fontId="15" fillId="7" borderId="24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horizontal="center" vertical="center"/>
    </xf>
    <xf numFmtId="0" fontId="15" fillId="7" borderId="25" xfId="0" applyFont="1" applyFill="1" applyBorder="1" applyAlignment="1">
      <alignment horizontal="center" vertical="center"/>
    </xf>
    <xf numFmtId="0" fontId="15" fillId="7" borderId="26" xfId="0" applyFont="1" applyFill="1" applyBorder="1" applyAlignment="1">
      <alignment horizontal="center" vertical="center"/>
    </xf>
    <xf numFmtId="0" fontId="15" fillId="7" borderId="27" xfId="0" applyFont="1" applyFill="1" applyBorder="1" applyAlignment="1">
      <alignment horizontal="center" vertical="center"/>
    </xf>
    <xf numFmtId="0" fontId="15" fillId="7" borderId="28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1" fillId="6" borderId="0" xfId="0" applyFont="1" applyFill="1" applyAlignment="1">
      <alignment horizontal="center"/>
    </xf>
    <xf numFmtId="0" fontId="13" fillId="6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  <xf numFmtId="164" fontId="5" fillId="5" borderId="2" xfId="0" applyNumberFormat="1" applyFont="1" applyFill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164" fontId="6" fillId="0" borderId="2" xfId="0" applyNumberFormat="1" applyFont="1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6" fillId="0" borderId="4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3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4" fontId="7" fillId="0" borderId="2" xfId="0" applyNumberFormat="1" applyFont="1" applyFill="1" applyBorder="1" applyAlignment="1">
      <alignment horizontal="center"/>
    </xf>
    <xf numFmtId="164" fontId="7" fillId="0" borderId="3" xfId="0" applyNumberFormat="1" applyFont="1" applyFill="1" applyBorder="1" applyAlignment="1">
      <alignment horizontal="center"/>
    </xf>
    <xf numFmtId="164" fontId="7" fillId="0" borderId="4" xfId="0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</cellXfs>
  <cellStyles count="1">
    <cellStyle name="Normal" xfId="0" builtinId="0"/>
  </cellStyles>
  <dxfs count="1183"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numFmt numFmtId="34" formatCode="_-* #,##0.00\ &quot;€&quot;_-;\-* #,##0.00\ &quot;€&quot;_-;_-* &quot;-&quot;??\ &quot;€&quot;_-;_-@_-"/>
    </dxf>
    <dxf>
      <numFmt numFmtId="164" formatCode="#,##0.00\ &quot;€&quot;"/>
    </dxf>
    <dxf>
      <alignment horizontal="center"/>
    </dxf>
    <dxf>
      <font>
        <i val="0"/>
      </font>
    </dxf>
    <dxf>
      <font>
        <b/>
      </font>
    </dxf>
    <dxf>
      <font>
        <sz val="14"/>
      </font>
    </dxf>
    <dxf>
      <alignment horizontal="center"/>
    </dxf>
    <dxf>
      <font>
        <sz val="14"/>
      </font>
    </dxf>
    <dxf>
      <font>
        <b/>
      </font>
    </dxf>
    <dxf>
      <font>
        <b/>
      </font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numFmt numFmtId="34" formatCode="_-* #,##0.00\ &quot;€&quot;_-;\-* #,##0.00\ &quot;€&quot;_-;_-* &quot;-&quot;??\ &quot;€&quot;_-;_-@_-"/>
    </dxf>
    <dxf>
      <numFmt numFmtId="164" formatCode="#,##0.00\ &quot;€&quot;"/>
    </dxf>
    <dxf>
      <alignment horizontal="center"/>
    </dxf>
    <dxf>
      <font>
        <i val="0"/>
      </font>
    </dxf>
    <dxf>
      <font>
        <b/>
      </font>
    </dxf>
    <dxf>
      <font>
        <sz val="14"/>
      </font>
    </dxf>
    <dxf>
      <alignment horizontal="center"/>
    </dxf>
    <dxf>
      <font>
        <sz val="14"/>
      </font>
    </dxf>
    <dxf>
      <font>
        <b/>
      </font>
    </dxf>
    <dxf>
      <font>
        <b/>
      </font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b/>
      </font>
    </dxf>
    <dxf>
      <font>
        <sz val="14"/>
      </font>
    </dxf>
    <dxf>
      <font>
        <sz val="14"/>
      </font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#,##0.00\ &quot;€&quot;;[Red]\-#,##0.00\ &quot;€&quot;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-40C]mmm\-yy;@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4" formatCode="#,##0.00\ &quot;€&quot;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7" formatCode="[$-40C]mmm\-yy;@"/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7" formatCode="[$-40C]mmm\-yy;@"/>
      <fill>
        <patternFill patternType="solid">
          <fgColor theme="4"/>
          <bgColor theme="4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* #,##0.00\ &quot;€&quot;_-;\-* #,##0.00\ &quot;€&quot;_-;_-* &quot;-&quot;??\ &quot;€&quot;_-;_-@_-"/>
    </dxf>
    <dxf>
      <font>
        <b/>
      </font>
    </dxf>
    <dxf>
      <font>
        <b/>
      </font>
    </dxf>
    <dxf>
      <font>
        <sz val="14"/>
      </font>
    </dxf>
    <dxf>
      <alignment horizontal="center"/>
    </dxf>
    <dxf>
      <font>
        <sz val="14"/>
      </font>
    </dxf>
    <dxf>
      <font>
        <b/>
      </font>
    </dxf>
    <dxf>
      <font>
        <i val="0"/>
      </font>
    </dxf>
    <dxf>
      <alignment horizontal="center"/>
    </dxf>
    <dxf>
      <numFmt numFmtId="164" formatCode="#,##0.00\ &quot;€&quot;"/>
    </dxf>
    <dxf>
      <numFmt numFmtId="34" formatCode="_-* #,##0.00\ &quot;€&quot;_-;\-* #,##0.00\ &quot;€&quot;_-;_-* &quot;-&quot;??\ &quot;€&quot;_-;_-@_-"/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sz val="14"/>
      </font>
    </dxf>
    <dxf>
      <font>
        <b/>
      </font>
    </dxf>
    <dxf>
      <font>
        <sz val="14"/>
      </font>
    </dxf>
    <dxf>
      <fill>
        <patternFill>
          <bgColor theme="4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</dxfs>
  <tableStyles count="1" defaultTableStyle="TableStyleMedium2" defaultPivotStyle="Style de tableau croisé dynamique 2">
    <tableStyle name="Style de tableau croisé dynamique 2" table="0" count="8" xr9:uid="{2C22E0FA-67EB-48D3-A48C-A07415603CC6}">
      <tableStyleElement type="wholeTable" dxfId="1182"/>
      <tableStyleElement type="totalRow" dxfId="1181"/>
      <tableStyleElement type="lastColumn" dxfId="1180"/>
      <tableStyleElement type="firstColumnStripe" dxfId="1179"/>
      <tableStyleElement type="secondColumnStripe" dxfId="1178"/>
      <tableStyleElement type="firstSubtotalColumn" dxfId="1177"/>
      <tableStyleElement type="firstColumnSubheading" dxfId="1176"/>
      <tableStyleElement type="firstRowSubheading" dxfId="11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2.xml"/><Relationship Id="rId39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1/relationships/timelineCache" Target="timelineCaches/timelineCache3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7/relationships/slicerCache" Target="slicerCaches/slicerCache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1/relationships/timelineCache" Target="timelineCaches/timeline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7/relationships/slicerCache" Target="slicerCaches/slicerCache3.xml"/><Relationship Id="rId30" Type="http://schemas.microsoft.com/office/2011/relationships/timelineCache" Target="timelineCaches/timelineCache1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entreprise Chretien YK.xlsm]Charges!Tableau croisé dynamique1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Charges!$D$15:$D$17</c:f>
              <c:strCache>
                <c:ptCount val="1"/>
                <c:pt idx="0">
                  <c:v>mai - 2020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multiLvlStrRef>
              <c:f>Charges!$C$18:$C$32</c:f>
              <c:multiLvlStrCache>
                <c:ptCount val="10"/>
                <c:lvl>
                  <c:pt idx="0">
                    <c:v>agr2r déces</c:v>
                  </c:pt>
                  <c:pt idx="1">
                    <c:v>Electricite hangar</c:v>
                  </c:pt>
                  <c:pt idx="2">
                    <c:v>Loyer Hangar</c:v>
                  </c:pt>
                  <c:pt idx="3">
                    <c:v>Frais postaux</c:v>
                  </c:pt>
                  <c:pt idx="4">
                    <c:v>Loyer Hangar</c:v>
                  </c:pt>
                  <c:pt idx="5">
                    <c:v>Loyer magasin</c:v>
                  </c:pt>
                  <c:pt idx="6">
                    <c:v>Téléphone Laurent</c:v>
                  </c:pt>
                  <c:pt idx="7">
                    <c:v>Téléphone magasin</c:v>
                  </c:pt>
                  <c:pt idx="8">
                    <c:v>Ag2r</c:v>
                  </c:pt>
                  <c:pt idx="9">
                    <c:v>Urssaf</c:v>
                  </c:pt>
                </c:lvl>
                <c:lvl>
                  <c:pt idx="0">
                    <c:v>Charge commune</c:v>
                  </c:pt>
                  <c:pt idx="3">
                    <c:v>Charge entreprise</c:v>
                  </c:pt>
                  <c:pt idx="6">
                    <c:v>Charge magasin</c:v>
                  </c:pt>
                  <c:pt idx="8">
                    <c:v>Charge sociale</c:v>
                  </c:pt>
                </c:lvl>
              </c:multiLvlStrCache>
            </c:multiLvlStrRef>
          </c:cat>
          <c:val>
            <c:numRef>
              <c:f>Charges!$D$18:$D$32</c:f>
              <c:numCache>
                <c:formatCode>_("€"* #,##0.00_);_("€"* \(#,##0.00\);_("€"* "-"??_);_(@_)</c:formatCode>
                <c:ptCount val="10"/>
                <c:pt idx="0">
                  <c:v>555</c:v>
                </c:pt>
                <c:pt idx="1">
                  <c:v>8541</c:v>
                </c:pt>
                <c:pt idx="2">
                  <c:v>1120</c:v>
                </c:pt>
                <c:pt idx="3">
                  <c:v>52</c:v>
                </c:pt>
                <c:pt idx="4">
                  <c:v>741</c:v>
                </c:pt>
                <c:pt idx="5">
                  <c:v>8521</c:v>
                </c:pt>
                <c:pt idx="6">
                  <c:v>741</c:v>
                </c:pt>
                <c:pt idx="7">
                  <c:v>123</c:v>
                </c:pt>
                <c:pt idx="8">
                  <c:v>753</c:v>
                </c:pt>
                <c:pt idx="9">
                  <c:v>1452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D-48D3-BF56-82F9E0E0E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420975568"/>
        <c:axId val="1420975896"/>
        <c:axId val="0"/>
      </c:bar3DChart>
      <c:catAx>
        <c:axId val="142097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0975896"/>
        <c:crosses val="autoZero"/>
        <c:auto val="1"/>
        <c:lblAlgn val="ctr"/>
        <c:lblOffset val="100"/>
        <c:noMultiLvlLbl val="0"/>
      </c:catAx>
      <c:valAx>
        <c:axId val="142097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097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entreprise Chretien YK.xlsm]Suivi encaissements!Tableau croisé dynamique2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'Suivi encaissements'!$C$4:$C$7</c:f>
              <c:strCache>
                <c:ptCount val="1"/>
                <c:pt idx="0">
                  <c:v>mai - 2020 - Somme de Montant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'Suivi encaissements'!$B$8:$B$12</c:f>
              <c:multiLvlStrCache>
                <c:ptCount val="2"/>
                <c:lvl>
                  <c:pt idx="0">
                    <c:v>Findis</c:v>
                  </c:pt>
                  <c:pt idx="1">
                    <c:v>(vide)</c:v>
                  </c:pt>
                </c:lvl>
                <c:lvl>
                  <c:pt idx="0">
                    <c:v>Charge commune</c:v>
                  </c:pt>
                  <c:pt idx="1">
                    <c:v>Encaissement</c:v>
                  </c:pt>
                </c:lvl>
              </c:multiLvlStrCache>
            </c:multiLvlStrRef>
          </c:cat>
          <c:val>
            <c:numRef>
              <c:f>'Suivi encaissements'!$C$8:$C$12</c:f>
              <c:numCache>
                <c:formatCode>_("€"* #,##0.00_);_("€"* \(#,##0.00\);_("€"* "-"??_);_(@_)</c:formatCode>
                <c:ptCount val="2"/>
                <c:pt idx="0">
                  <c:v>852</c:v>
                </c:pt>
                <c:pt idx="1">
                  <c:v>9512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26C-94BD-48EBBCDE60D9}"/>
            </c:ext>
          </c:extLst>
        </c:ser>
        <c:ser>
          <c:idx val="1"/>
          <c:order val="1"/>
          <c:tx>
            <c:strRef>
              <c:f>'Suivi encaissements'!$D$4:$D$7</c:f>
              <c:strCache>
                <c:ptCount val="1"/>
                <c:pt idx="0">
                  <c:v>mai - 2020 - Nombre de Sous catégorie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'Suivi encaissements'!$B$8:$B$12</c:f>
              <c:multiLvlStrCache>
                <c:ptCount val="2"/>
                <c:lvl>
                  <c:pt idx="0">
                    <c:v>Findis</c:v>
                  </c:pt>
                  <c:pt idx="1">
                    <c:v>(vide)</c:v>
                  </c:pt>
                </c:lvl>
                <c:lvl>
                  <c:pt idx="0">
                    <c:v>Charge commune</c:v>
                  </c:pt>
                  <c:pt idx="1">
                    <c:v>Encaissement</c:v>
                  </c:pt>
                </c:lvl>
              </c:multiLvlStrCache>
            </c:multiLvlStrRef>
          </c:cat>
          <c:val>
            <c:numRef>
              <c:f>'Suivi encaissements'!$D$8:$D$12</c:f>
              <c:numCache>
                <c:formatCode>_("€"* #,##0.00_);_("€"* \(#,##0.00\);_("€"* "-"??_);_(@_)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26C-94BD-48EBBCDE60D9}"/>
            </c:ext>
          </c:extLst>
        </c:ser>
        <c:ser>
          <c:idx val="2"/>
          <c:order val="2"/>
          <c:tx>
            <c:strRef>
              <c:f>'Suivi encaissements'!$E$4:$E$7</c:f>
              <c:strCache>
                <c:ptCount val="1"/>
                <c:pt idx="0">
                  <c:v>mai - 2020 - Nombre de Description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'Suivi encaissements'!$B$8:$B$12</c:f>
              <c:multiLvlStrCache>
                <c:ptCount val="2"/>
                <c:lvl>
                  <c:pt idx="0">
                    <c:v>Findis</c:v>
                  </c:pt>
                  <c:pt idx="1">
                    <c:v>(vide)</c:v>
                  </c:pt>
                </c:lvl>
                <c:lvl>
                  <c:pt idx="0">
                    <c:v>Charge commune</c:v>
                  </c:pt>
                  <c:pt idx="1">
                    <c:v>Encaissement</c:v>
                  </c:pt>
                </c:lvl>
              </c:multiLvlStrCache>
            </c:multiLvlStrRef>
          </c:cat>
          <c:val>
            <c:numRef>
              <c:f>'Suivi encaissements'!$E$8:$E$12</c:f>
              <c:numCache>
                <c:formatCode>_("€"* #,##0.00_);_("€"* \(#,##0.00\);_("€"* "-"??_);_(@_)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26C-94BD-48EBBCDE6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1894968"/>
        <c:axId val="1261893656"/>
      </c:barChart>
      <c:catAx>
        <c:axId val="126189496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1893656"/>
        <c:crosses val="autoZero"/>
        <c:auto val="1"/>
        <c:lblAlgn val="ctr"/>
        <c:lblOffset val="100"/>
        <c:noMultiLvlLbl val="0"/>
      </c:catAx>
      <c:valAx>
        <c:axId val="126189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189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5</xdr:row>
      <xdr:rowOff>38101</xdr:rowOff>
    </xdr:from>
    <xdr:to>
      <xdr:col>2</xdr:col>
      <xdr:colOff>733425</xdr:colOff>
      <xdr:row>14</xdr:row>
      <xdr:rowOff>133350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809625" y="1095376"/>
          <a:ext cx="1447800" cy="1971674"/>
          <a:chOff x="742950" y="952500"/>
          <a:chExt cx="1847850" cy="1771650"/>
        </a:xfrm>
        <a:effectLst/>
        <a:scene3d>
          <a:camera prst="perspectiveFront"/>
          <a:lightRig rig="threePt" dir="t"/>
        </a:scene3d>
      </xdr:grpSpPr>
      <xdr:sp macro="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42950" y="95250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encaissements</a:t>
            </a:r>
          </a:p>
        </xdr:txBody>
      </xdr:sp>
      <xdr:pic macro="[0]!Saisie_Encaissement">
        <xdr:nvPicPr>
          <xdr:cNvPr id="23" name="Image 22" title="mso:LeaveReader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1574" y="1714500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11</xdr:col>
      <xdr:colOff>333375</xdr:colOff>
      <xdr:row>5</xdr:row>
      <xdr:rowOff>47627</xdr:rowOff>
    </xdr:from>
    <xdr:to>
      <xdr:col>14</xdr:col>
      <xdr:colOff>123825</xdr:colOff>
      <xdr:row>14</xdr:row>
      <xdr:rowOff>180976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/>
      </xdr:nvGrpSpPr>
      <xdr:grpSpPr>
        <a:xfrm>
          <a:off x="7372350" y="1104902"/>
          <a:ext cx="1447800" cy="2009774"/>
          <a:chOff x="657225" y="3762375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Magasin" textlink="">
        <xdr:nvSpPr>
          <xdr:cNvPr id="27" name="Rectangle : coins arrondi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657225" y="3762375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du magasin</a:t>
            </a:r>
          </a:p>
        </xdr:txBody>
      </xdr:sp>
      <xdr:pic macro="[0]!Saisie_Charge_Magasin">
        <xdr:nvPicPr>
          <xdr:cNvPr id="28" name="Image 27" title="mso:LeaveReader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49" y="452437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2</xdr:col>
      <xdr:colOff>923925</xdr:colOff>
      <xdr:row>5</xdr:row>
      <xdr:rowOff>47626</xdr:rowOff>
    </xdr:from>
    <xdr:to>
      <xdr:col>6</xdr:col>
      <xdr:colOff>38100</xdr:colOff>
      <xdr:row>14</xdr:row>
      <xdr:rowOff>142875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2447925" y="1104901"/>
          <a:ext cx="1447800" cy="1971674"/>
          <a:chOff x="2933700" y="981075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Entreprise" textlink="">
        <xdr:nvSpPr>
          <xdr:cNvPr id="32" name="Rectangle : coins arrondi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933700" y="981075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de l'entreprise</a:t>
            </a:r>
          </a:p>
        </xdr:txBody>
      </xdr:sp>
      <xdr:pic macro="[0]!Saisie_Charge_Entreprise">
        <xdr:nvPicPr>
          <xdr:cNvPr id="33" name="Image 32" title="mso:LeaveReader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2324" y="174307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14</xdr:col>
      <xdr:colOff>304800</xdr:colOff>
      <xdr:row>5</xdr:row>
      <xdr:rowOff>57151</xdr:rowOff>
    </xdr:from>
    <xdr:to>
      <xdr:col>16</xdr:col>
      <xdr:colOff>371475</xdr:colOff>
      <xdr:row>15</xdr:row>
      <xdr:rowOff>47625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9001125" y="1114426"/>
          <a:ext cx="1447800" cy="2057399"/>
          <a:chOff x="2867025" y="3771900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Commune" textlink="">
        <xdr:nvSpPr>
          <xdr:cNvPr id="35" name="Rectangle : coins arrondis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2867025" y="377190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communes</a:t>
            </a:r>
          </a:p>
        </xdr:txBody>
      </xdr:sp>
      <xdr:pic macro="[0]!Saisie_Charge_Commune">
        <xdr:nvPicPr>
          <xdr:cNvPr id="36" name="Image 35" title="mso:LeaveReader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95649" y="4533900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16</xdr:col>
      <xdr:colOff>600075</xdr:colOff>
      <xdr:row>5</xdr:row>
      <xdr:rowOff>19051</xdr:rowOff>
    </xdr:from>
    <xdr:to>
      <xdr:col>18</xdr:col>
      <xdr:colOff>523875</xdr:colOff>
      <xdr:row>15</xdr:row>
      <xdr:rowOff>66675</xdr:rowOff>
    </xdr:to>
    <xdr:grpSp>
      <xdr:nvGrpSpPr>
        <xdr:cNvPr id="47" name="Group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10677525" y="1076326"/>
          <a:ext cx="1447800" cy="2114549"/>
          <a:chOff x="5067300" y="3781425"/>
          <a:chExt cx="1847850" cy="1771650"/>
        </a:xfrm>
        <a:effectLst/>
        <a:scene3d>
          <a:camera prst="perspectiveFront"/>
          <a:lightRig rig="threePt" dir="t"/>
        </a:scene3d>
      </xdr:grpSpPr>
      <xdr:sp macro="[0]!Saisie_Emprunt" textlink="">
        <xdr:nvSpPr>
          <xdr:cNvPr id="38" name="Rectangle : coins arrondis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5067300" y="3781425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emprunts</a:t>
            </a:r>
          </a:p>
        </xdr:txBody>
      </xdr:sp>
      <xdr:pic macro="[0]!Saisie_Emprunt">
        <xdr:nvPicPr>
          <xdr:cNvPr id="39" name="Image 38" title="mso:LeaveReader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5924" y="454342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6</xdr:col>
      <xdr:colOff>266700</xdr:colOff>
      <xdr:row>5</xdr:row>
      <xdr:rowOff>57151</xdr:rowOff>
    </xdr:from>
    <xdr:to>
      <xdr:col>8</xdr:col>
      <xdr:colOff>447675</xdr:colOff>
      <xdr:row>14</xdr:row>
      <xdr:rowOff>152400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4124325" y="1114426"/>
          <a:ext cx="1447800" cy="1971674"/>
          <a:chOff x="5105400" y="1009650"/>
          <a:chExt cx="1847850" cy="1771650"/>
        </a:xfrm>
        <a:effectLst/>
        <a:scene3d>
          <a:camera prst="perspectiveFront"/>
          <a:lightRig rig="threePt" dir="t"/>
        </a:scene3d>
      </xdr:grpSpPr>
      <xdr:sp macro="[0]!Saisie_Salaire" textlink="">
        <xdr:nvSpPr>
          <xdr:cNvPr id="41" name="Rectangle : coins arrondis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105400" y="100965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salaires</a:t>
            </a:r>
          </a:p>
        </xdr:txBody>
      </xdr:sp>
      <xdr:pic macro="[0]!Saisie_Salaire">
        <xdr:nvPicPr>
          <xdr:cNvPr id="42" name="Image 41" title="mso:LeaveReader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4024" y="1771650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8</xdr:col>
      <xdr:colOff>638175</xdr:colOff>
      <xdr:row>5</xdr:row>
      <xdr:rowOff>57151</xdr:rowOff>
    </xdr:from>
    <xdr:to>
      <xdr:col>11</xdr:col>
      <xdr:colOff>171450</xdr:colOff>
      <xdr:row>14</xdr:row>
      <xdr:rowOff>152400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5762625" y="1114426"/>
          <a:ext cx="1447800" cy="1971674"/>
          <a:chOff x="7267575" y="1009650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Sociale" textlink="">
        <xdr:nvSpPr>
          <xdr:cNvPr id="44" name="Rectangle : coins arrondis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7267575" y="100965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</a:t>
            </a:r>
            <a:r>
              <a:rPr lang="fr-FR" sz="1400" baseline="0">
                <a:solidFill>
                  <a:schemeClr val="tx1"/>
                </a:solidFill>
              </a:rPr>
              <a:t> charges sociales</a:t>
            </a:r>
            <a:endParaRPr lang="fr-FR" sz="1400">
              <a:solidFill>
                <a:schemeClr val="tx1"/>
              </a:solidFill>
            </a:endParaRPr>
          </a:p>
        </xdr:txBody>
      </xdr:sp>
      <xdr:pic macro="[0]!Saisie_Charge_Sociale">
        <xdr:nvPicPr>
          <xdr:cNvPr id="45" name="Image 44" title="mso:LeaveReader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6674" y="170497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0</xdr:col>
      <xdr:colOff>723898</xdr:colOff>
      <xdr:row>23</xdr:row>
      <xdr:rowOff>114300</xdr:rowOff>
    </xdr:from>
    <xdr:to>
      <xdr:col>19</xdr:col>
      <xdr:colOff>283873</xdr:colOff>
      <xdr:row>25</xdr:row>
      <xdr:rowOff>133350</xdr:rowOff>
    </xdr:to>
    <xdr:sp macro="" textlink="">
      <xdr:nvSpPr>
        <xdr:cNvPr id="50" name="Rectangle : coins arrondi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723898" y="5286375"/>
          <a:ext cx="11952000" cy="40005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76200</xdr:colOff>
      <xdr:row>15</xdr:row>
      <xdr:rowOff>161926</xdr:rowOff>
    </xdr:from>
    <xdr:to>
      <xdr:col>4</xdr:col>
      <xdr:colOff>0</xdr:colOff>
      <xdr:row>22</xdr:row>
      <xdr:rowOff>57151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8200" y="3286126"/>
          <a:ext cx="1847850" cy="1752600"/>
        </a:xfrm>
        <a:prstGeom prst="roundRect">
          <a:avLst/>
        </a:prstGeom>
        <a:noFill/>
        <a:ln>
          <a:solidFill>
            <a:srgbClr val="00B050"/>
          </a:solidFill>
        </a:ln>
        <a:effectLst/>
        <a:scene3d>
          <a:camera prst="perspectiveFron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>
              <a:solidFill>
                <a:schemeClr val="tx1"/>
              </a:solidFill>
            </a:rPr>
            <a:t>Modification de données</a:t>
          </a:r>
        </a:p>
      </xdr:txBody>
    </xdr:sp>
    <xdr:clientData/>
  </xdr:twoCellAnchor>
  <xdr:twoCellAnchor>
    <xdr:from>
      <xdr:col>0</xdr:col>
      <xdr:colOff>638174</xdr:colOff>
      <xdr:row>3</xdr:row>
      <xdr:rowOff>171450</xdr:rowOff>
    </xdr:from>
    <xdr:to>
      <xdr:col>19</xdr:col>
      <xdr:colOff>133350</xdr:colOff>
      <xdr:row>4</xdr:row>
      <xdr:rowOff>247650</xdr:rowOff>
    </xdr:to>
    <xdr:sp macro="" textlink="">
      <xdr:nvSpPr>
        <xdr:cNvPr id="51" name="Rectangle : coins arrondi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8174" y="752475"/>
          <a:ext cx="11887201" cy="26670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19</xdr:row>
          <xdr:rowOff>28575</xdr:rowOff>
        </xdr:from>
        <xdr:to>
          <xdr:col>3</xdr:col>
          <xdr:colOff>38100</xdr:colOff>
          <xdr:row>20</xdr:row>
          <xdr:rowOff>171450</xdr:rowOff>
        </xdr:to>
        <xdr:sp macro="" textlink="">
          <xdr:nvSpPr>
            <xdr:cNvPr id="1040" name="cbSheet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15</xdr:row>
      <xdr:rowOff>152399</xdr:rowOff>
    </xdr:from>
    <xdr:to>
      <xdr:col>6</xdr:col>
      <xdr:colOff>923925</xdr:colOff>
      <xdr:row>22</xdr:row>
      <xdr:rowOff>76200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886075" y="3276599"/>
          <a:ext cx="1895475" cy="1781176"/>
          <a:chOff x="3514725" y="3295649"/>
          <a:chExt cx="1895475" cy="1647825"/>
        </a:xfrm>
      </xdr:grpSpPr>
      <xdr:sp macro="[0]!Groupe5_Cliquer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3514725" y="3295649"/>
            <a:ext cx="1895475" cy="1647825"/>
          </a:xfrm>
          <a:prstGeom prst="roundRect">
            <a:avLst/>
          </a:prstGeom>
          <a:noFill/>
          <a:ln>
            <a:solidFill>
              <a:srgbClr val="00B05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noAutofit/>
          </a:bodyPr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Suivi des charges</a:t>
            </a:r>
          </a:p>
        </xdr:txBody>
      </xdr:sp>
      <xdr:pic macro="[0]!Groupe5_Cliquer">
        <xdr:nvPicPr>
          <xdr:cNvPr id="5" name="Image 4" title="mso:ChartTitle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38574" y="3809999"/>
            <a:ext cx="1333501" cy="1000125"/>
          </a:xfrm>
          <a:prstGeom prst="rect">
            <a:avLst/>
          </a:prstGeom>
          <a:ln>
            <a:solidFill>
              <a:srgbClr val="00B050"/>
            </a:solidFill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5</xdr:row>
      <xdr:rowOff>57150</xdr:rowOff>
    </xdr:from>
    <xdr:to>
      <xdr:col>1</xdr:col>
      <xdr:colOff>1181100</xdr:colOff>
      <xdr:row>13</xdr:row>
      <xdr:rowOff>47626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ype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1028700"/>
              <a:ext cx="1828800" cy="15144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7</xdr:col>
      <xdr:colOff>276224</xdr:colOff>
      <xdr:row>4</xdr:row>
      <xdr:rowOff>161924</xdr:rowOff>
    </xdr:from>
    <xdr:to>
      <xdr:col>18</xdr:col>
      <xdr:colOff>419099</xdr:colOff>
      <xdr:row>33</xdr:row>
      <xdr:rowOff>171450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1466850</xdr:colOff>
      <xdr:row>5</xdr:row>
      <xdr:rowOff>57149</xdr:rowOff>
    </xdr:from>
    <xdr:to>
      <xdr:col>7</xdr:col>
      <xdr:colOff>47625</xdr:colOff>
      <xdr:row>13</xdr:row>
      <xdr:rowOff>47624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S_Date_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S_Date_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8850" y="1028699"/>
              <a:ext cx="5334000" cy="1514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666750</xdr:colOff>
      <xdr:row>18</xdr:row>
      <xdr:rowOff>104775</xdr:rowOff>
    </xdr:from>
    <xdr:to>
      <xdr:col>2</xdr:col>
      <xdr:colOff>1524000</xdr:colOff>
      <xdr:row>25</xdr:row>
      <xdr:rowOff>142875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0" y="36290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9526</xdr:rowOff>
    </xdr:from>
    <xdr:to>
      <xdr:col>2</xdr:col>
      <xdr:colOff>428625</xdr:colOff>
      <xdr:row>19</xdr:row>
      <xdr:rowOff>161926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égorie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3400" y="2495551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476250</xdr:colOff>
      <xdr:row>13</xdr:row>
      <xdr:rowOff>9526</xdr:rowOff>
    </xdr:from>
    <xdr:to>
      <xdr:col>3</xdr:col>
      <xdr:colOff>714375</xdr:colOff>
      <xdr:row>19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ous catégorie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s 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9825" y="2495551"/>
              <a:ext cx="1828800" cy="12953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476250</xdr:colOff>
      <xdr:row>20</xdr:row>
      <xdr:rowOff>85725</xdr:rowOff>
    </xdr:from>
    <xdr:to>
      <xdr:col>3</xdr:col>
      <xdr:colOff>714375</xdr:colOff>
      <xdr:row>33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Fournisseur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urniss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9825" y="39052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9525</xdr:colOff>
      <xdr:row>20</xdr:row>
      <xdr:rowOff>85725</xdr:rowOff>
    </xdr:from>
    <xdr:to>
      <xdr:col>2</xdr:col>
      <xdr:colOff>438150</xdr:colOff>
      <xdr:row>33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escription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2925" y="39052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838200</xdr:colOff>
      <xdr:row>16</xdr:row>
      <xdr:rowOff>171450</xdr:rowOff>
    </xdr:from>
    <xdr:to>
      <xdr:col>5</xdr:col>
      <xdr:colOff>1076325</xdr:colOff>
      <xdr:row>24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8" name="Date 3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2450" y="322897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>
    <xdr:from>
      <xdr:col>5</xdr:col>
      <xdr:colOff>1123950</xdr:colOff>
      <xdr:row>12</xdr:row>
      <xdr:rowOff>180974</xdr:rowOff>
    </xdr:from>
    <xdr:to>
      <xdr:col>12</xdr:col>
      <xdr:colOff>0</xdr:colOff>
      <xdr:row>36</xdr:row>
      <xdr:rowOff>19049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0.334979976855" createdVersion="6" refreshedVersion="6" minRefreshableVersion="3" recordCount="43" xr:uid="{5DBB9AE8-AD9A-4596-99D3-6ABE36BC3EEE}">
  <cacheSource type="worksheet">
    <worksheetSource name="TEnc"/>
  </cacheSource>
  <cacheFields count="7">
    <cacheField name="Date" numFmtId="167">
      <sharedItems containsSemiMixedTypes="0" containsNonDate="0" containsDate="1" containsString="0" minDate="2020-05-07T00:00:00" maxDate="2023-10-08T00:00:00" count="43">
        <d v="2020-05-07T00:00:00"/>
        <d v="2020-06-07T00:00:00"/>
        <d v="2020-07-07T00:00:00"/>
        <d v="2020-08-07T00:00:00"/>
        <d v="2020-09-07T00:00:00"/>
        <d v="2020-10-07T00:00:00"/>
        <d v="2020-11-07T00:00:00"/>
        <d v="2020-12-07T00:00:00"/>
        <d v="2021-01-07T00:00:00"/>
        <d v="2021-02-07T00:00:00"/>
        <d v="2021-03-07T00:00:00"/>
        <d v="2021-04-07T00:00:00"/>
        <d v="2021-05-07T00:00:00"/>
        <d v="2021-06-07T00:00:00"/>
        <d v="2021-07-07T00:00:00"/>
        <d v="2021-08-07T00:00:00"/>
        <d v="2021-09-07T00:00:00"/>
        <d v="2021-10-07T00:00:00"/>
        <d v="2021-11-07T00:00:00"/>
        <d v="2021-12-07T00:00:00"/>
        <d v="2022-01-07T00:00:00"/>
        <d v="2022-02-07T00:00:00"/>
        <d v="2022-03-07T00:00:00"/>
        <d v="2022-04-07T00:00:00"/>
        <d v="2022-05-07T00:00:00"/>
        <d v="2022-06-07T00:00:00"/>
        <d v="2022-07-07T00:00:00"/>
        <d v="2022-08-07T00:00:00"/>
        <d v="2022-09-07T00:00:00"/>
        <d v="2022-10-07T00:00:00"/>
        <d v="2022-11-07T00:00:00"/>
        <d v="2022-12-07T00:00:00"/>
        <d v="2023-01-07T00:00:00"/>
        <d v="2023-02-07T00:00:00"/>
        <d v="2023-03-07T00:00:00"/>
        <d v="2023-04-07T00:00:00"/>
        <d v="2023-05-07T00:00:00"/>
        <d v="2023-06-07T00:00:00"/>
        <d v="2023-07-07T00:00:00"/>
        <d v="2023-08-07T00:00:00"/>
        <d v="2023-09-07T00:00:00"/>
        <d v="2023-10-07T00:00:00"/>
        <d v="2020-05-08T00:00:00"/>
      </sharedItems>
      <fieldGroup par="6" base="0">
        <rangePr groupBy="months" startDate="2020-05-07T00:00:00" endDate="2023-10-08T00:00:00"/>
        <groupItems count="14">
          <s v="&lt;07/05/202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8/10/2023"/>
        </groupItems>
      </fieldGroup>
    </cacheField>
    <cacheField name="Catégorie" numFmtId="49">
      <sharedItems/>
    </cacheField>
    <cacheField name="Sous catégorie" numFmtId="49">
      <sharedItems containsBlank="1" count="5">
        <s v="Encaissement Entreprise"/>
        <s v="Encaissement Magasin"/>
        <s v="Charge Fournisseurs magasin"/>
        <m u="1"/>
        <s v="Dépenses Fournisseurs magasin" u="1"/>
      </sharedItems>
    </cacheField>
    <cacheField name="Fournisseur" numFmtId="49">
      <sharedItems containsBlank="1"/>
    </cacheField>
    <cacheField name="Description" numFmtId="49">
      <sharedItems/>
    </cacheField>
    <cacheField name="Montant" numFmtId="164">
      <sharedItems containsSemiMixedTypes="0" containsString="0" containsNumber="1" containsInteger="1" minValue="852" maxValue="11603"/>
    </cacheField>
    <cacheField name="Années" numFmtId="0" databaseField="0">
      <fieldGroup base="0">
        <rangePr groupBy="years" startDate="2020-05-07T00:00:00" endDate="2023-10-08T00:00:00"/>
        <groupItems count="6">
          <s v="&lt;07/05/2020"/>
          <s v="2020"/>
          <s v="2021"/>
          <s v="2022"/>
          <s v="2023"/>
          <s v="&gt;08/10/2023"/>
        </groupItems>
      </fieldGroup>
    </cacheField>
  </cacheFields>
  <extLst>
    <ext xmlns:x14="http://schemas.microsoft.com/office/spreadsheetml/2009/9/main" uri="{725AE2AE-9491-48be-B2B4-4EB974FC3084}">
      <x14:pivotCacheDefinition pivotCacheId="40565934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0.370043750001" createdVersion="6" refreshedVersion="6" minRefreshableVersion="3" recordCount="43" xr:uid="{D96C4739-4B4D-454C-9FD5-CF2B9E21113F}">
  <cacheSource type="worksheet">
    <worksheetSource name="TEnc"/>
  </cacheSource>
  <cacheFields count="7">
    <cacheField name="Date" numFmtId="167">
      <sharedItems containsSemiMixedTypes="0" containsNonDate="0" containsDate="1" containsString="0" minDate="2020-05-07T00:00:00" maxDate="2023-10-08T00:00:00" count="43">
        <d v="2020-05-07T00:00:00"/>
        <d v="2020-06-07T00:00:00"/>
        <d v="2020-07-07T00:00:00"/>
        <d v="2020-08-07T00:00:00"/>
        <d v="2020-09-07T00:00:00"/>
        <d v="2020-10-07T00:00:00"/>
        <d v="2020-11-07T00:00:00"/>
        <d v="2020-12-07T00:00:00"/>
        <d v="2021-01-07T00:00:00"/>
        <d v="2021-02-07T00:00:00"/>
        <d v="2021-03-07T00:00:00"/>
        <d v="2021-04-07T00:00:00"/>
        <d v="2021-05-07T00:00:00"/>
        <d v="2021-06-07T00:00:00"/>
        <d v="2021-07-07T00:00:00"/>
        <d v="2021-08-07T00:00:00"/>
        <d v="2021-09-07T00:00:00"/>
        <d v="2021-10-07T00:00:00"/>
        <d v="2021-11-07T00:00:00"/>
        <d v="2021-12-07T00:00:00"/>
        <d v="2022-01-07T00:00:00"/>
        <d v="2022-02-07T00:00:00"/>
        <d v="2022-03-07T00:00:00"/>
        <d v="2022-04-07T00:00:00"/>
        <d v="2022-05-07T00:00:00"/>
        <d v="2022-06-07T00:00:00"/>
        <d v="2022-07-07T00:00:00"/>
        <d v="2022-08-07T00:00:00"/>
        <d v="2022-09-07T00:00:00"/>
        <d v="2022-10-07T00:00:00"/>
        <d v="2022-11-07T00:00:00"/>
        <d v="2022-12-07T00:00:00"/>
        <d v="2023-01-07T00:00:00"/>
        <d v="2023-02-07T00:00:00"/>
        <d v="2023-03-07T00:00:00"/>
        <d v="2023-04-07T00:00:00"/>
        <d v="2023-05-07T00:00:00"/>
        <d v="2023-06-07T00:00:00"/>
        <d v="2023-07-07T00:00:00"/>
        <d v="2023-08-07T00:00:00"/>
        <d v="2023-09-07T00:00:00"/>
        <d v="2023-10-07T00:00:00"/>
        <d v="2020-05-08T00:00:00"/>
      </sharedItems>
      <fieldGroup par="6" base="0">
        <rangePr groupBy="months" startDate="2020-05-07T00:00:00" endDate="2023-10-08T00:00:00"/>
        <groupItems count="14">
          <s v="&lt;07/05/202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8/10/2023"/>
        </groupItems>
      </fieldGroup>
    </cacheField>
    <cacheField name="Catégorie" numFmtId="49">
      <sharedItems count="2">
        <s v="Encaissement"/>
        <s v="Charge commune"/>
      </sharedItems>
    </cacheField>
    <cacheField name="Sous catégorie" numFmtId="49">
      <sharedItems count="3">
        <s v="Encaissement Entreprise"/>
        <s v="Encaissement Magasin"/>
        <s v="Charge Fournisseurs magasin"/>
      </sharedItems>
    </cacheField>
    <cacheField name="Fournisseur" numFmtId="49">
      <sharedItems containsBlank="1" count="2">
        <m/>
        <s v="Findis"/>
      </sharedItems>
    </cacheField>
    <cacheField name="Description" numFmtId="49">
      <sharedItems count="1">
        <s v="Facturation particulier "/>
      </sharedItems>
    </cacheField>
    <cacheField name="Montant" numFmtId="164">
      <sharedItems containsSemiMixedTypes="0" containsString="0" containsNumber="1" containsInteger="1" minValue="852" maxValue="11603"/>
    </cacheField>
    <cacheField name="Années" numFmtId="0" databaseField="0">
      <fieldGroup base="0">
        <rangePr groupBy="years" startDate="2020-05-07T00:00:00" endDate="2023-10-08T00:00:00"/>
        <groupItems count="6">
          <s v="&lt;07/05/2020"/>
          <s v="2020"/>
          <s v="2021"/>
          <s v="2022"/>
          <s v="2023"/>
          <s v="&gt;08/10/2023"/>
        </groupItems>
      </fieldGroup>
    </cacheField>
  </cacheFields>
  <extLst>
    <ext xmlns:x14="http://schemas.microsoft.com/office/spreadsheetml/2009/9/main" uri="{725AE2AE-9491-48be-B2B4-4EB974FC3084}">
      <x14:pivotCacheDefinition pivotCacheId="22729443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4.920384837962" backgroundQuery="1" createdVersion="6" refreshedVersion="6" minRefreshableVersion="3" recordCount="12" xr:uid="{51E70002-9165-4029-885D-1A99B2FC3009}">
  <cacheSource type="external" connectionId="2"/>
  <cacheFields count="5">
    <cacheField name="Date" numFmtId="0">
      <sharedItems containsSemiMixedTypes="0" containsNonDate="0" containsDate="1" containsString="0" minDate="2019-05-08T00:00:00" maxDate="2020-06-10T00:00:00" count="4">
        <d v="2020-05-08T00:00:00"/>
        <d v="2019-05-08T00:00:00"/>
        <d v="2020-05-11T00:00:00"/>
        <d v="2020-06-09T00:00:00"/>
      </sharedItems>
      <fieldGroup par="4" base="0">
        <rangePr groupBy="months" startDate="2019-05-08T00:00:00" endDate="2020-06-10T00:00:00"/>
        <groupItems count="14">
          <s v="&lt;08/05/2019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0/06/2020"/>
        </groupItems>
      </fieldGroup>
    </cacheField>
    <cacheField name="Type" numFmtId="0">
      <sharedItems count="4">
        <s v="Charge sociale"/>
        <s v="Charge magasin"/>
        <s v="Charge entreprise"/>
        <s v="Charge commune"/>
      </sharedItems>
    </cacheField>
    <cacheField name="Charge" numFmtId="0">
      <sharedItems count="9">
        <s v="Ag2r"/>
        <s v="Urssaf"/>
        <s v="Téléphone magasin"/>
        <s v="Téléphone Laurent"/>
        <s v="Loyer Hangar"/>
        <s v="Loyer magasin"/>
        <s v="Frais postaux"/>
        <s v="Electricite hangar"/>
        <s v="agr2r déces"/>
      </sharedItems>
    </cacheField>
    <cacheField name="Montant" numFmtId="0">
      <sharedItems containsSemiMixedTypes="0" containsString="0" containsNumber="1" containsInteger="1" minValue="52" maxValue="8541" count="11">
        <n v="753"/>
        <n v="1452"/>
        <n v="1750"/>
        <n v="123"/>
        <n v="741"/>
        <n v="8521"/>
        <n v="52"/>
        <n v="632"/>
        <n v="1120"/>
        <n v="8541"/>
        <n v="555"/>
      </sharedItems>
    </cacheField>
    <cacheField name="Années" numFmtId="0" databaseField="0">
      <fieldGroup base="0">
        <rangePr groupBy="years" startDate="2019-05-08T00:00:00" endDate="2020-06-10T00:00:00"/>
        <groupItems count="4">
          <s v="&lt;08/05/2019"/>
          <s v="2019"/>
          <s v="2020"/>
          <s v="&gt;10/06/2020"/>
        </groupItems>
      </fieldGroup>
    </cacheField>
  </cacheFields>
  <extLst>
    <ext xmlns:x14="http://schemas.microsoft.com/office/spreadsheetml/2009/9/main" uri="{725AE2AE-9491-48be-B2B4-4EB974FC3084}">
      <x14:pivotCacheDefinition pivotCacheId="122179136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s v="Encaissement"/>
    <x v="0"/>
    <m/>
    <s v="Facturation particulier "/>
    <n v="9512"/>
  </r>
  <r>
    <x v="1"/>
    <s v="Encaissement"/>
    <x v="0"/>
    <m/>
    <s v="Facturation particulier "/>
    <n v="9563"/>
  </r>
  <r>
    <x v="2"/>
    <s v="Encaissement"/>
    <x v="0"/>
    <m/>
    <s v="Facturation particulier "/>
    <n v="9614"/>
  </r>
  <r>
    <x v="3"/>
    <s v="Encaissement"/>
    <x v="0"/>
    <m/>
    <s v="Facturation particulier "/>
    <n v="9665"/>
  </r>
  <r>
    <x v="4"/>
    <s v="Encaissement"/>
    <x v="0"/>
    <m/>
    <s v="Facturation particulier "/>
    <n v="9716"/>
  </r>
  <r>
    <x v="5"/>
    <s v="Encaissement"/>
    <x v="0"/>
    <m/>
    <s v="Facturation particulier "/>
    <n v="9767"/>
  </r>
  <r>
    <x v="6"/>
    <s v="Encaissement"/>
    <x v="0"/>
    <m/>
    <s v="Facturation particulier "/>
    <n v="9818"/>
  </r>
  <r>
    <x v="7"/>
    <s v="Encaissement"/>
    <x v="0"/>
    <m/>
    <s v="Facturation particulier "/>
    <n v="9869"/>
  </r>
  <r>
    <x v="8"/>
    <s v="Encaissement"/>
    <x v="0"/>
    <m/>
    <s v="Facturation particulier "/>
    <n v="9920"/>
  </r>
  <r>
    <x v="9"/>
    <s v="Encaissement"/>
    <x v="0"/>
    <m/>
    <s v="Facturation particulier "/>
    <n v="9971"/>
  </r>
  <r>
    <x v="10"/>
    <s v="Encaissement"/>
    <x v="0"/>
    <m/>
    <s v="Facturation particulier "/>
    <n v="10022"/>
  </r>
  <r>
    <x v="11"/>
    <s v="Encaissement"/>
    <x v="0"/>
    <m/>
    <s v="Facturation particulier "/>
    <n v="10073"/>
  </r>
  <r>
    <x v="12"/>
    <s v="Encaissement"/>
    <x v="0"/>
    <m/>
    <s v="Facturation particulier "/>
    <n v="10124"/>
  </r>
  <r>
    <x v="13"/>
    <s v="Encaissement"/>
    <x v="0"/>
    <m/>
    <s v="Facturation particulier "/>
    <n v="10175"/>
  </r>
  <r>
    <x v="14"/>
    <s v="Encaissement"/>
    <x v="0"/>
    <m/>
    <s v="Facturation particulier "/>
    <n v="10226"/>
  </r>
  <r>
    <x v="15"/>
    <s v="Encaissement"/>
    <x v="0"/>
    <m/>
    <s v="Facturation particulier "/>
    <n v="10277"/>
  </r>
  <r>
    <x v="16"/>
    <s v="Encaissement"/>
    <x v="0"/>
    <m/>
    <s v="Facturation particulier "/>
    <n v="10328"/>
  </r>
  <r>
    <x v="17"/>
    <s v="Encaissement"/>
    <x v="0"/>
    <m/>
    <s v="Facturation particulier "/>
    <n v="10379"/>
  </r>
  <r>
    <x v="18"/>
    <s v="Encaissement"/>
    <x v="1"/>
    <m/>
    <s v="Facturation particulier "/>
    <n v="10430"/>
  </r>
  <r>
    <x v="19"/>
    <s v="Encaissement"/>
    <x v="1"/>
    <m/>
    <s v="Facturation particulier "/>
    <n v="10481"/>
  </r>
  <r>
    <x v="20"/>
    <s v="Encaissement"/>
    <x v="1"/>
    <m/>
    <s v="Facturation particulier "/>
    <n v="10532"/>
  </r>
  <r>
    <x v="21"/>
    <s v="Encaissement"/>
    <x v="1"/>
    <m/>
    <s v="Facturation particulier "/>
    <n v="10583"/>
  </r>
  <r>
    <x v="22"/>
    <s v="Encaissement"/>
    <x v="1"/>
    <m/>
    <s v="Facturation particulier "/>
    <n v="10634"/>
  </r>
  <r>
    <x v="23"/>
    <s v="Encaissement"/>
    <x v="1"/>
    <m/>
    <s v="Facturation particulier "/>
    <n v="10685"/>
  </r>
  <r>
    <x v="24"/>
    <s v="Encaissement"/>
    <x v="1"/>
    <m/>
    <s v="Facturation particulier "/>
    <n v="10736"/>
  </r>
  <r>
    <x v="25"/>
    <s v="Encaissement"/>
    <x v="1"/>
    <m/>
    <s v="Facturation particulier "/>
    <n v="10787"/>
  </r>
  <r>
    <x v="26"/>
    <s v="Encaissement"/>
    <x v="1"/>
    <m/>
    <s v="Facturation particulier "/>
    <n v="10838"/>
  </r>
  <r>
    <x v="27"/>
    <s v="Encaissement"/>
    <x v="1"/>
    <m/>
    <s v="Facturation particulier "/>
    <n v="10889"/>
  </r>
  <r>
    <x v="28"/>
    <s v="Encaissement"/>
    <x v="1"/>
    <m/>
    <s v="Facturation particulier "/>
    <n v="10940"/>
  </r>
  <r>
    <x v="29"/>
    <s v="Encaissement"/>
    <x v="1"/>
    <m/>
    <s v="Facturation particulier "/>
    <n v="10991"/>
  </r>
  <r>
    <x v="30"/>
    <s v="Encaissement"/>
    <x v="1"/>
    <m/>
    <s v="Facturation particulier "/>
    <n v="11042"/>
  </r>
  <r>
    <x v="31"/>
    <s v="Encaissement"/>
    <x v="1"/>
    <m/>
    <s v="Facturation particulier "/>
    <n v="11093"/>
  </r>
  <r>
    <x v="32"/>
    <s v="Encaissement"/>
    <x v="1"/>
    <m/>
    <s v="Facturation particulier "/>
    <n v="11144"/>
  </r>
  <r>
    <x v="33"/>
    <s v="Encaissement"/>
    <x v="1"/>
    <m/>
    <s v="Facturation particulier "/>
    <n v="11195"/>
  </r>
  <r>
    <x v="34"/>
    <s v="Encaissement"/>
    <x v="1"/>
    <m/>
    <s v="Facturation particulier "/>
    <n v="11246"/>
  </r>
  <r>
    <x v="35"/>
    <s v="Encaissement"/>
    <x v="1"/>
    <m/>
    <s v="Facturation particulier "/>
    <n v="11297"/>
  </r>
  <r>
    <x v="36"/>
    <s v="Encaissement"/>
    <x v="1"/>
    <m/>
    <s v="Facturation particulier "/>
    <n v="11348"/>
  </r>
  <r>
    <x v="37"/>
    <s v="Encaissement"/>
    <x v="1"/>
    <m/>
    <s v="Facturation particulier "/>
    <n v="11399"/>
  </r>
  <r>
    <x v="38"/>
    <s v="Encaissement"/>
    <x v="1"/>
    <m/>
    <s v="Facturation particulier "/>
    <n v="11450"/>
  </r>
  <r>
    <x v="39"/>
    <s v="Encaissement"/>
    <x v="1"/>
    <m/>
    <s v="Facturation particulier "/>
    <n v="11501"/>
  </r>
  <r>
    <x v="40"/>
    <s v="Encaissement"/>
    <x v="1"/>
    <m/>
    <s v="Facturation particulier "/>
    <n v="11552"/>
  </r>
  <r>
    <x v="41"/>
    <s v="Encaissement"/>
    <x v="1"/>
    <m/>
    <s v="Facturation particulier "/>
    <n v="11603"/>
  </r>
  <r>
    <x v="42"/>
    <s v="Charge commune"/>
    <x v="2"/>
    <s v="Findis"/>
    <s v="Facturation particulier "/>
    <n v="85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x v="0"/>
    <x v="0"/>
    <x v="0"/>
    <x v="0"/>
    <n v="9512"/>
  </r>
  <r>
    <x v="1"/>
    <x v="0"/>
    <x v="0"/>
    <x v="0"/>
    <x v="0"/>
    <n v="9563"/>
  </r>
  <r>
    <x v="2"/>
    <x v="0"/>
    <x v="0"/>
    <x v="0"/>
    <x v="0"/>
    <n v="9614"/>
  </r>
  <r>
    <x v="3"/>
    <x v="0"/>
    <x v="0"/>
    <x v="0"/>
    <x v="0"/>
    <n v="9665"/>
  </r>
  <r>
    <x v="4"/>
    <x v="0"/>
    <x v="0"/>
    <x v="0"/>
    <x v="0"/>
    <n v="9716"/>
  </r>
  <r>
    <x v="5"/>
    <x v="0"/>
    <x v="0"/>
    <x v="0"/>
    <x v="0"/>
    <n v="9767"/>
  </r>
  <r>
    <x v="6"/>
    <x v="0"/>
    <x v="0"/>
    <x v="0"/>
    <x v="0"/>
    <n v="9818"/>
  </r>
  <r>
    <x v="7"/>
    <x v="0"/>
    <x v="0"/>
    <x v="0"/>
    <x v="0"/>
    <n v="9869"/>
  </r>
  <r>
    <x v="8"/>
    <x v="0"/>
    <x v="0"/>
    <x v="0"/>
    <x v="0"/>
    <n v="9920"/>
  </r>
  <r>
    <x v="9"/>
    <x v="0"/>
    <x v="0"/>
    <x v="0"/>
    <x v="0"/>
    <n v="9971"/>
  </r>
  <r>
    <x v="10"/>
    <x v="0"/>
    <x v="0"/>
    <x v="0"/>
    <x v="0"/>
    <n v="10022"/>
  </r>
  <r>
    <x v="11"/>
    <x v="0"/>
    <x v="0"/>
    <x v="0"/>
    <x v="0"/>
    <n v="10073"/>
  </r>
  <r>
    <x v="12"/>
    <x v="0"/>
    <x v="0"/>
    <x v="0"/>
    <x v="0"/>
    <n v="10124"/>
  </r>
  <r>
    <x v="13"/>
    <x v="0"/>
    <x v="0"/>
    <x v="0"/>
    <x v="0"/>
    <n v="10175"/>
  </r>
  <r>
    <x v="14"/>
    <x v="0"/>
    <x v="0"/>
    <x v="0"/>
    <x v="0"/>
    <n v="10226"/>
  </r>
  <r>
    <x v="15"/>
    <x v="0"/>
    <x v="0"/>
    <x v="0"/>
    <x v="0"/>
    <n v="10277"/>
  </r>
  <r>
    <x v="16"/>
    <x v="0"/>
    <x v="0"/>
    <x v="0"/>
    <x v="0"/>
    <n v="10328"/>
  </r>
  <r>
    <x v="17"/>
    <x v="0"/>
    <x v="0"/>
    <x v="0"/>
    <x v="0"/>
    <n v="10379"/>
  </r>
  <r>
    <x v="18"/>
    <x v="0"/>
    <x v="1"/>
    <x v="0"/>
    <x v="0"/>
    <n v="10430"/>
  </r>
  <r>
    <x v="19"/>
    <x v="0"/>
    <x v="1"/>
    <x v="0"/>
    <x v="0"/>
    <n v="10481"/>
  </r>
  <r>
    <x v="20"/>
    <x v="0"/>
    <x v="1"/>
    <x v="0"/>
    <x v="0"/>
    <n v="10532"/>
  </r>
  <r>
    <x v="21"/>
    <x v="0"/>
    <x v="1"/>
    <x v="0"/>
    <x v="0"/>
    <n v="10583"/>
  </r>
  <r>
    <x v="22"/>
    <x v="0"/>
    <x v="1"/>
    <x v="0"/>
    <x v="0"/>
    <n v="10634"/>
  </r>
  <r>
    <x v="23"/>
    <x v="0"/>
    <x v="1"/>
    <x v="0"/>
    <x v="0"/>
    <n v="10685"/>
  </r>
  <r>
    <x v="24"/>
    <x v="0"/>
    <x v="1"/>
    <x v="0"/>
    <x v="0"/>
    <n v="10736"/>
  </r>
  <r>
    <x v="25"/>
    <x v="0"/>
    <x v="1"/>
    <x v="0"/>
    <x v="0"/>
    <n v="10787"/>
  </r>
  <r>
    <x v="26"/>
    <x v="0"/>
    <x v="1"/>
    <x v="0"/>
    <x v="0"/>
    <n v="10838"/>
  </r>
  <r>
    <x v="27"/>
    <x v="0"/>
    <x v="1"/>
    <x v="0"/>
    <x v="0"/>
    <n v="10889"/>
  </r>
  <r>
    <x v="28"/>
    <x v="0"/>
    <x v="1"/>
    <x v="0"/>
    <x v="0"/>
    <n v="10940"/>
  </r>
  <r>
    <x v="29"/>
    <x v="0"/>
    <x v="1"/>
    <x v="0"/>
    <x v="0"/>
    <n v="10991"/>
  </r>
  <r>
    <x v="30"/>
    <x v="0"/>
    <x v="1"/>
    <x v="0"/>
    <x v="0"/>
    <n v="11042"/>
  </r>
  <r>
    <x v="31"/>
    <x v="0"/>
    <x v="1"/>
    <x v="0"/>
    <x v="0"/>
    <n v="11093"/>
  </r>
  <r>
    <x v="32"/>
    <x v="0"/>
    <x v="1"/>
    <x v="0"/>
    <x v="0"/>
    <n v="11144"/>
  </r>
  <r>
    <x v="33"/>
    <x v="0"/>
    <x v="1"/>
    <x v="0"/>
    <x v="0"/>
    <n v="11195"/>
  </r>
  <r>
    <x v="34"/>
    <x v="0"/>
    <x v="1"/>
    <x v="0"/>
    <x v="0"/>
    <n v="11246"/>
  </r>
  <r>
    <x v="35"/>
    <x v="0"/>
    <x v="1"/>
    <x v="0"/>
    <x v="0"/>
    <n v="11297"/>
  </r>
  <r>
    <x v="36"/>
    <x v="0"/>
    <x v="1"/>
    <x v="0"/>
    <x v="0"/>
    <n v="11348"/>
  </r>
  <r>
    <x v="37"/>
    <x v="0"/>
    <x v="1"/>
    <x v="0"/>
    <x v="0"/>
    <n v="11399"/>
  </r>
  <r>
    <x v="38"/>
    <x v="0"/>
    <x v="1"/>
    <x v="0"/>
    <x v="0"/>
    <n v="11450"/>
  </r>
  <r>
    <x v="39"/>
    <x v="0"/>
    <x v="1"/>
    <x v="0"/>
    <x v="0"/>
    <n v="11501"/>
  </r>
  <r>
    <x v="40"/>
    <x v="0"/>
    <x v="1"/>
    <x v="0"/>
    <x v="0"/>
    <n v="11552"/>
  </r>
  <r>
    <x v="41"/>
    <x v="0"/>
    <x v="1"/>
    <x v="0"/>
    <x v="0"/>
    <n v="11603"/>
  </r>
  <r>
    <x v="42"/>
    <x v="1"/>
    <x v="2"/>
    <x v="1"/>
    <x v="0"/>
    <n v="85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0"/>
    <x v="1"/>
    <x v="1"/>
  </r>
  <r>
    <x v="1"/>
    <x v="1"/>
    <x v="0"/>
    <x v="2"/>
  </r>
  <r>
    <x v="0"/>
    <x v="1"/>
    <x v="2"/>
    <x v="3"/>
  </r>
  <r>
    <x v="0"/>
    <x v="1"/>
    <x v="3"/>
    <x v="4"/>
  </r>
  <r>
    <x v="0"/>
    <x v="2"/>
    <x v="4"/>
    <x v="4"/>
  </r>
  <r>
    <x v="0"/>
    <x v="2"/>
    <x v="5"/>
    <x v="5"/>
  </r>
  <r>
    <x v="2"/>
    <x v="2"/>
    <x v="6"/>
    <x v="6"/>
  </r>
  <r>
    <x v="3"/>
    <x v="2"/>
    <x v="7"/>
    <x v="7"/>
  </r>
  <r>
    <x v="0"/>
    <x v="3"/>
    <x v="4"/>
    <x v="8"/>
  </r>
  <r>
    <x v="0"/>
    <x v="3"/>
    <x v="7"/>
    <x v="9"/>
  </r>
  <r>
    <x v="0"/>
    <x v="3"/>
    <x v="8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582B67-F48D-421B-B9E5-E8584F141864}" name="Tableau croisé dynamique1" cacheId="170" applyNumberFormats="0" applyBorderFormats="0" applyFontFormats="0" applyPatternFormats="0" applyAlignmentFormats="0" applyWidthHeightFormats="1" dataCaption="Valeurs" grandTotalCaption="1" updatedVersion="6" minRefreshableVersion="5" useAutoFormatting="1" itemPrintTitles="1" createdVersion="6" indent="0" outline="1" outlineData="1" multipleFieldFilters="0" chartFormat="3" fieldListSortAscending="1">
  <location ref="C15:E32" firstHeaderRow="1" firstDataRow="3" firstDataCol="1"/>
  <pivotFields count="5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x="3"/>
        <item x="2"/>
        <item x="1"/>
        <item x="0"/>
        <item t="default"/>
      </items>
    </pivotField>
    <pivotField axis="axisRow" showAll="0">
      <items count="10">
        <item x="0"/>
        <item x="8"/>
        <item x="7"/>
        <item x="6"/>
        <item x="4"/>
        <item x="5"/>
        <item x="3"/>
        <item x="2"/>
        <item x="1"/>
        <item t="default"/>
      </items>
    </pivotField>
    <pivotField dataField="1" showAll="0"/>
    <pivotField axis="axisCol" showAll="0">
      <items count="5">
        <item x="0"/>
        <item x="1"/>
        <item x="2"/>
        <item x="3"/>
        <item t="default"/>
      </items>
    </pivotField>
  </pivotFields>
  <rowFields count="2">
    <field x="1"/>
    <field x="2"/>
  </rowFields>
  <rowItems count="15">
    <i>
      <x/>
    </i>
    <i r="1">
      <x v="1"/>
    </i>
    <i r="1">
      <x v="2"/>
    </i>
    <i r="1">
      <x v="4"/>
    </i>
    <i>
      <x v="1"/>
    </i>
    <i r="1">
      <x v="3"/>
    </i>
    <i r="1">
      <x v="4"/>
    </i>
    <i r="1">
      <x v="5"/>
    </i>
    <i>
      <x v="2"/>
    </i>
    <i r="1">
      <x v="6"/>
    </i>
    <i r="1">
      <x v="7"/>
    </i>
    <i>
      <x v="3"/>
    </i>
    <i r="1">
      <x/>
    </i>
    <i r="1">
      <x v="8"/>
    </i>
    <i t="grand">
      <x/>
    </i>
  </rowItems>
  <colFields count="2">
    <field x="0"/>
    <field x="4"/>
  </colFields>
  <colItems count="2">
    <i>
      <x v="5"/>
      <x v="2"/>
    </i>
    <i t="grand">
      <x/>
    </i>
  </colItems>
  <dataFields count="1">
    <dataField name="Somme de Montant" fld="3" baseField="0" baseItem="0" numFmtId="44"/>
  </dataFields>
  <formats count="21">
    <format dxfId="1174">
      <pivotArea dataOnly="0" labelOnly="1" fieldPosition="0">
        <references count="1">
          <reference field="0" count="2">
            <x v="5"/>
            <x v="6"/>
          </reference>
        </references>
      </pivotArea>
    </format>
    <format dxfId="1173">
      <pivotArea dataOnly="0" labelOnly="1" fieldPosition="0">
        <references count="1">
          <reference field="0" count="2">
            <x v="5"/>
            <x v="6"/>
          </reference>
        </references>
      </pivotArea>
    </format>
    <format dxfId="1172">
      <pivotArea dataOnly="0" labelOnly="1" fieldPosition="0">
        <references count="2">
          <reference field="0" count="1" selected="0">
            <x v="5"/>
          </reference>
          <reference field="4" count="2">
            <x v="1"/>
            <x v="2"/>
          </reference>
        </references>
      </pivotArea>
    </format>
    <format dxfId="1171">
      <pivotArea dataOnly="0" labelOnly="1" fieldPosition="0">
        <references count="2">
          <reference field="0" count="1" selected="0">
            <x v="6"/>
          </reference>
          <reference field="4" count="1">
            <x v="2"/>
          </reference>
        </references>
      </pivotArea>
    </format>
    <format dxfId="1170">
      <pivotArea type="all" dataOnly="0" outline="0" fieldPosition="0"/>
    </format>
    <format dxfId="1169">
      <pivotArea outline="0" collapsedLevelsAreSubtotals="1" fieldPosition="0"/>
    </format>
    <format dxfId="1168">
      <pivotArea type="origin" dataOnly="0" labelOnly="1" outline="0" fieldPosition="0"/>
    </format>
    <format dxfId="1167">
      <pivotArea field="0" type="button" dataOnly="0" labelOnly="1" outline="0" axis="axisCol" fieldPosition="0"/>
    </format>
    <format dxfId="1166">
      <pivotArea field="4" type="button" dataOnly="0" labelOnly="1" outline="0" axis="axisCol" fieldPosition="1"/>
    </format>
    <format dxfId="1165">
      <pivotArea type="topRight" dataOnly="0" labelOnly="1" outline="0" fieldPosition="0"/>
    </format>
    <format dxfId="1164">
      <pivotArea field="1" type="button" dataOnly="0" labelOnly="1" outline="0" axis="axisRow" fieldPosition="0"/>
    </format>
    <format dxfId="1163">
      <pivotArea dataOnly="0" labelOnly="1" fieldPosition="0">
        <references count="1">
          <reference field="1" count="0"/>
        </references>
      </pivotArea>
    </format>
    <format dxfId="1162">
      <pivotArea dataOnly="0" labelOnly="1" grandRow="1" outline="0" fieldPosition="0"/>
    </format>
    <format dxfId="1161">
      <pivotArea dataOnly="0" labelOnly="1" fieldPosition="0">
        <references count="2">
          <reference field="1" count="1" selected="0">
            <x v="0"/>
          </reference>
          <reference field="2" count="3">
            <x v="1"/>
            <x v="2"/>
            <x v="4"/>
          </reference>
        </references>
      </pivotArea>
    </format>
    <format dxfId="1160">
      <pivotArea dataOnly="0" labelOnly="1" fieldPosition="0">
        <references count="2">
          <reference field="1" count="1" selected="0">
            <x v="1"/>
          </reference>
          <reference field="2" count="4">
            <x v="2"/>
            <x v="3"/>
            <x v="4"/>
            <x v="5"/>
          </reference>
        </references>
      </pivotArea>
    </format>
    <format dxfId="1159">
      <pivotArea dataOnly="0" labelOnly="1" fieldPosition="0">
        <references count="2">
          <reference field="1" count="1" selected="0">
            <x v="2"/>
          </reference>
          <reference field="2" count="3">
            <x v="0"/>
            <x v="6"/>
            <x v="7"/>
          </reference>
        </references>
      </pivotArea>
    </format>
    <format dxfId="1158">
      <pivotArea dataOnly="0" labelOnly="1" fieldPosition="0">
        <references count="2">
          <reference field="1" count="1" selected="0">
            <x v="3"/>
          </reference>
          <reference field="2" count="2">
            <x v="0"/>
            <x v="8"/>
          </reference>
        </references>
      </pivotArea>
    </format>
    <format dxfId="1157">
      <pivotArea dataOnly="0" labelOnly="1" fieldPosition="0">
        <references count="1">
          <reference field="0" count="2">
            <x v="5"/>
            <x v="6"/>
          </reference>
        </references>
      </pivotArea>
    </format>
    <format dxfId="1156">
      <pivotArea dataOnly="0" labelOnly="1" grandCol="1" outline="0" fieldPosition="0"/>
    </format>
    <format dxfId="1155">
      <pivotArea dataOnly="0" labelOnly="1" fieldPosition="0">
        <references count="2">
          <reference field="0" count="1" selected="0">
            <x v="5"/>
          </reference>
          <reference field="4" count="2">
            <x v="1"/>
            <x v="2"/>
          </reference>
        </references>
      </pivotArea>
    </format>
    <format dxfId="1154">
      <pivotArea dataOnly="0" labelOnly="1" fieldPosition="0">
        <references count="2">
          <reference field="0" count="1" selected="0">
            <x v="6"/>
          </reference>
          <reference field="4" count="1">
            <x v="2"/>
          </reference>
        </references>
      </pivotArea>
    </format>
  </formats>
  <chartFormats count="3">
    <chartFormat chart="2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1"/>
          </reference>
        </references>
      </pivotArea>
    </chartFormat>
    <chartFormat chart="2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2"/>
          </reference>
        </references>
      </pivotArea>
    </chartFormat>
    <chartFormat chart="2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4" count="1" selected="0">
            <x v="2"/>
          </reference>
        </references>
      </pivotArea>
    </chartFormat>
  </chartFormats>
  <pivotTableStyleInfo name="PivotStyleLight13" showRowHeaders="1" showColHeaders="1" showRowStripes="1" showColStripes="1" showLastColumn="1"/>
  <filters count="1">
    <filter fld="0" type="dateBetween" evalOrder="-1" id="40" name="Date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0DE03-F9F8-41EC-B659-316C1D634840}" name="Tableau croisé dynamique8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B10:AS16" firstHeaderRow="1" firstDataRow="3" firstDataCol="1"/>
  <pivotFields count="7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/>
    <pivotField axis="axisRow" showAll="0">
      <items count="6">
        <item x="0"/>
        <item x="1"/>
        <item m="1" x="3"/>
        <item m="1" x="4"/>
        <item x="2"/>
        <item t="default"/>
      </items>
    </pivotField>
    <pivotField showAll="0"/>
    <pivotField showAll="0"/>
    <pivotField dataField="1" showAll="0"/>
    <pivotField axis="axisCol" showAll="0">
      <items count="7">
        <item x="1"/>
        <item x="0"/>
        <item x="2"/>
        <item x="3"/>
        <item x="4"/>
        <item x="5"/>
        <item t="default"/>
      </items>
    </pivotField>
  </pivotFields>
  <rowFields count="1">
    <field x="2"/>
  </rowFields>
  <rowItems count="4">
    <i>
      <x/>
    </i>
    <i>
      <x v="1"/>
    </i>
    <i>
      <x v="4"/>
    </i>
    <i t="grand">
      <x/>
    </i>
  </rowItems>
  <colFields count="2">
    <field x="0"/>
    <field x="6"/>
  </colFields>
  <colItems count="43">
    <i>
      <x v="1"/>
      <x v="2"/>
    </i>
    <i r="1">
      <x v="3"/>
    </i>
    <i r="1">
      <x v="4"/>
    </i>
    <i>
      <x v="2"/>
      <x v="2"/>
    </i>
    <i r="1">
      <x v="3"/>
    </i>
    <i r="1">
      <x v="4"/>
    </i>
    <i>
      <x v="3"/>
      <x v="2"/>
    </i>
    <i r="1">
      <x v="3"/>
    </i>
    <i r="1">
      <x v="4"/>
    </i>
    <i>
      <x v="4"/>
      <x v="2"/>
    </i>
    <i r="1">
      <x v="3"/>
    </i>
    <i r="1">
      <x v="4"/>
    </i>
    <i>
      <x v="5"/>
      <x/>
    </i>
    <i r="1">
      <x v="2"/>
    </i>
    <i r="1">
      <x v="3"/>
    </i>
    <i r="1">
      <x v="4"/>
    </i>
    <i>
      <x v="6"/>
      <x/>
    </i>
    <i r="1">
      <x v="2"/>
    </i>
    <i r="1">
      <x v="3"/>
    </i>
    <i r="1">
      <x v="4"/>
    </i>
    <i>
      <x v="7"/>
      <x/>
    </i>
    <i r="1">
      <x v="2"/>
    </i>
    <i r="1">
      <x v="3"/>
    </i>
    <i r="1">
      <x v="4"/>
    </i>
    <i>
      <x v="8"/>
      <x/>
    </i>
    <i r="1">
      <x v="2"/>
    </i>
    <i r="1">
      <x v="3"/>
    </i>
    <i r="1">
      <x v="4"/>
    </i>
    <i>
      <x v="9"/>
      <x/>
    </i>
    <i r="1">
      <x v="2"/>
    </i>
    <i r="1">
      <x v="3"/>
    </i>
    <i r="1">
      <x v="4"/>
    </i>
    <i>
      <x v="10"/>
      <x/>
    </i>
    <i r="1">
      <x v="2"/>
    </i>
    <i r="1">
      <x v="3"/>
    </i>
    <i r="1">
      <x v="4"/>
    </i>
    <i>
      <x v="11"/>
      <x/>
    </i>
    <i r="1">
      <x v="2"/>
    </i>
    <i r="1">
      <x v="3"/>
    </i>
    <i>
      <x v="12"/>
      <x/>
    </i>
    <i r="1">
      <x v="2"/>
    </i>
    <i r="1">
      <x v="3"/>
    </i>
    <i t="grand">
      <x/>
    </i>
  </colItems>
  <dataFields count="1">
    <dataField name="Somme de Montant" fld="5" baseField="2" baseItem="0" numFmtId="164"/>
  </dataFields>
  <formats count="10">
    <format dxfId="1153">
      <pivotArea collapsedLevelsAreSubtotals="1" fieldPosition="0">
        <references count="3">
          <reference field="0" count="1" selected="0">
            <x v="5"/>
          </reference>
          <reference field="2" count="0"/>
          <reference field="6" count="1" selected="0">
            <x v="0"/>
          </reference>
        </references>
      </pivotArea>
    </format>
    <format dxfId="1152">
      <pivotArea outline="0" fieldPosition="0">
        <references count="1">
          <reference field="4294967294" count="1">
            <x v="0"/>
          </reference>
        </references>
      </pivotArea>
    </format>
    <format dxfId="1151">
      <pivotArea dataOnly="0" labelOnly="1" fieldPosition="0">
        <references count="2">
          <reference field="0" count="0" selected="0"/>
          <reference field="6" count="3">
            <x v="2"/>
            <x v="3"/>
            <x v="4"/>
          </reference>
        </references>
      </pivotArea>
    </format>
    <format dxfId="1150">
      <pivotArea dataOnly="0" labelOnly="1" fieldPosition="0">
        <references count="2">
          <reference field="0" count="0" selected="0"/>
          <reference field="6" count="3">
            <x v="2"/>
            <x v="3"/>
            <x v="4"/>
          </reference>
        </references>
      </pivotArea>
    </format>
    <format dxfId="1149">
      <pivotArea dataOnly="0" labelOnly="1" fieldPosition="0">
        <references count="2">
          <reference field="0" count="0" selected="0"/>
          <reference field="6" count="3">
            <x v="2"/>
            <x v="3"/>
            <x v="4"/>
          </reference>
        </references>
      </pivotArea>
    </format>
    <format dxfId="1148">
      <pivotArea dataOnly="0" labelOnly="1" fieldPosition="0">
        <references count="2">
          <reference field="0" count="0" selected="0"/>
          <reference field="6" count="3">
            <x v="2"/>
            <x v="3"/>
            <x v="4"/>
          </reference>
        </references>
      </pivotArea>
    </format>
    <format dxfId="1147">
      <pivotArea dataOnly="0" labelOnly="1" fieldPosition="0">
        <references count="1">
          <reference field="0" count="0"/>
        </references>
      </pivotArea>
    </format>
    <format dxfId="1146">
      <pivotArea dataOnly="0" labelOnly="1" fieldPosition="0">
        <references count="1">
          <reference field="0" count="0"/>
        </references>
      </pivotArea>
    </format>
    <format dxfId="1145">
      <pivotArea dataOnly="0" labelOnly="1" fieldPosition="0">
        <references count="1">
          <reference field="0" count="0"/>
        </references>
      </pivotArea>
    </format>
    <format dxfId="1144">
      <pivotArea dataOnly="0" labelOnly="1" fieldPosition="0">
        <references count="1">
          <reference field="2" count="0"/>
        </references>
      </pivotArea>
    </format>
  </formats>
  <pivotTableStyleInfo name="Style de tableau croisé dynamique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B254F0-38C6-4DB4-AB8D-02D5491F32F3}" name="Tableau croisé dynamique2" cacheId="1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 chartFormat="13">
  <location ref="B4:H12" firstHeaderRow="1" firstDataRow="4" firstDataCol="1"/>
  <pivotFields count="7">
    <pivotField axis="axisCol" numFmtId="167" showAll="0" includeNewItemsInFilter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>
      <items count="3">
        <item x="1"/>
        <item x="0"/>
        <item t="default"/>
      </items>
    </pivotField>
    <pivotField dataField="1" showAll="0">
      <items count="4">
        <item x="2"/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dataField="1" showAll="0">
      <items count="2">
        <item x="0"/>
        <item t="default"/>
      </items>
    </pivotField>
    <pivotField dataField="1" numFmtId="164" showAll="0"/>
    <pivotField axis="axisCol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1"/>
    <field x="3"/>
  </rowFields>
  <rowItems count="5">
    <i>
      <x/>
    </i>
    <i r="1">
      <x/>
    </i>
    <i>
      <x v="1"/>
    </i>
    <i r="1">
      <x v="1"/>
    </i>
    <i t="grand">
      <x/>
    </i>
  </rowItems>
  <colFields count="3">
    <field x="0"/>
    <field x="6"/>
    <field x="-2"/>
  </colFields>
  <colItems count="6">
    <i>
      <x v="5"/>
      <x v="1"/>
      <x/>
    </i>
    <i r="2" i="1">
      <x v="1"/>
    </i>
    <i r="2" i="2">
      <x v="2"/>
    </i>
    <i t="grand">
      <x/>
    </i>
    <i t="grand" i="1">
      <x/>
    </i>
    <i t="grand" i="2">
      <x/>
    </i>
  </colItems>
  <dataFields count="3">
    <dataField name="Somme de Montant" fld="5" baseField="0" baseItem="0" numFmtId="44"/>
    <dataField name="Nombre de Sous catégorie" fld="2" subtotal="count" baseField="0" baseItem="0"/>
    <dataField name="Nombre de Description" fld="4" subtotal="count" baseField="0" baseItem="0"/>
  </dataFields>
  <formats count="19">
    <format dxfId="1143">
      <pivotArea outline="0" collapsedLevelsAreSubtotals="1" fieldPosition="0"/>
    </format>
    <format dxfId="1142">
      <pivotArea type="all" dataOnly="0" outline="0" fieldPosition="0"/>
    </format>
    <format dxfId="1141">
      <pivotArea outline="0" collapsedLevelsAreSubtotals="1" fieldPosition="0"/>
    </format>
    <format dxfId="1140">
      <pivotArea type="origin" dataOnly="0" labelOnly="1" outline="0" fieldPosition="0"/>
    </format>
    <format dxfId="1139">
      <pivotArea field="0" type="button" dataOnly="0" labelOnly="1" outline="0" axis="axisCol" fieldPosition="0"/>
    </format>
    <format dxfId="1138">
      <pivotArea field="6" type="button" dataOnly="0" labelOnly="1" outline="0" axis="axisCol" fieldPosition="1"/>
    </format>
    <format dxfId="1137">
      <pivotArea field="-2" type="button" dataOnly="0" labelOnly="1" outline="0" axis="axisCol" fieldPosition="2"/>
    </format>
    <format dxfId="1136">
      <pivotArea type="topRight" dataOnly="0" labelOnly="1" outline="0" fieldPosition="0"/>
    </format>
    <format dxfId="1135">
      <pivotArea field="1" type="button" dataOnly="0" labelOnly="1" outline="0" axis="axisRow" fieldPosition="0"/>
    </format>
    <format dxfId="1134">
      <pivotArea dataOnly="0" labelOnly="1" fieldPosition="0">
        <references count="1">
          <reference field="1" count="0"/>
        </references>
      </pivotArea>
    </format>
    <format dxfId="1133">
      <pivotArea dataOnly="0" labelOnly="1" grandRow="1" outline="0" fieldPosition="0"/>
    </format>
    <format dxfId="1132">
      <pivotArea dataOnly="0" labelOnly="1" fieldPosition="0">
        <references count="2">
          <reference field="1" count="1" selected="0">
            <x v="0"/>
          </reference>
          <reference field="3" count="1">
            <x v="0"/>
          </reference>
        </references>
      </pivotArea>
    </format>
    <format dxfId="1131">
      <pivotArea dataOnly="0" labelOnly="1" fieldPosition="0">
        <references count="2">
          <reference field="1" count="1" selected="0">
            <x v="1"/>
          </reference>
          <reference field="3" count="1">
            <x v="1"/>
          </reference>
        </references>
      </pivotArea>
    </format>
    <format dxfId="1130">
      <pivotArea dataOnly="0" labelOnly="1" fieldPosition="0">
        <references count="1">
          <reference field="0" count="1">
            <x v="5"/>
          </reference>
        </references>
      </pivotArea>
    </format>
    <format dxfId="1129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28">
      <pivotArea field="0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127">
      <pivotArea field="0" dataOnly="0" labelOnly="1" grandCol="1" outline="0" axis="axisCol" fieldPosition="0">
        <references count="1">
          <reference field="4294967294" count="1" selected="0">
            <x v="2"/>
          </reference>
        </references>
      </pivotArea>
    </format>
    <format dxfId="1126">
      <pivotArea dataOnly="0" labelOnly="1" fieldPosition="0">
        <references count="2">
          <reference field="0" count="1" selected="0">
            <x v="5"/>
          </reference>
          <reference field="6" count="1">
            <x v="1"/>
          </reference>
        </references>
      </pivotArea>
    </format>
    <format dxfId="1125">
      <pivotArea dataOnly="0" labelOnly="1" outline="0" fieldPosition="0">
        <references count="3">
          <reference field="4294967294" count="3">
            <x v="0"/>
            <x v="1"/>
            <x v="2"/>
          </reference>
          <reference field="0" count="1" selected="0">
            <x v="5"/>
          </reference>
          <reference field="6" count="1" selected="0">
            <x v="1"/>
          </reference>
        </references>
      </pivotArea>
    </format>
  </formats>
  <chartFormats count="126">
    <chartFormat chart="12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1"/>
          </reference>
        </references>
      </pivotArea>
    </chartFormat>
    <chartFormat chart="12" format="1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5"/>
          </reference>
          <reference field="6" count="1" selected="0">
            <x v="1"/>
          </reference>
        </references>
      </pivotArea>
    </chartFormat>
    <chartFormat chart="12" format="2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5"/>
          </reference>
          <reference field="6" count="1" selected="0">
            <x v="1"/>
          </reference>
        </references>
      </pivotArea>
    </chartFormat>
    <chartFormat chart="12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3"/>
          </reference>
        </references>
      </pivotArea>
    </chartFormat>
    <chartFormat chart="12" format="4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6" count="1" selected="0">
            <x v="3"/>
          </reference>
        </references>
      </pivotArea>
    </chartFormat>
    <chartFormat chart="12" format="5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"/>
          </reference>
          <reference field="6" count="1" selected="0">
            <x v="3"/>
          </reference>
        </references>
      </pivotArea>
    </chartFormat>
    <chartFormat chart="12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4"/>
          </reference>
        </references>
      </pivotArea>
    </chartFormat>
    <chartFormat chart="12" format="7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6" count="1" selected="0">
            <x v="4"/>
          </reference>
        </references>
      </pivotArea>
    </chartFormat>
    <chartFormat chart="12" format="8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"/>
          </reference>
          <reference field="6" count="1" selected="0">
            <x v="4"/>
          </reference>
        </references>
      </pivotArea>
    </chartFormat>
    <chartFormat chart="12" format="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6" count="1" selected="0">
            <x v="2"/>
          </reference>
        </references>
      </pivotArea>
    </chartFormat>
    <chartFormat chart="12" format="10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6" count="1" selected="0">
            <x v="2"/>
          </reference>
        </references>
      </pivotArea>
    </chartFormat>
    <chartFormat chart="12" format="11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2"/>
          </reference>
          <reference field="6" count="1" selected="0">
            <x v="2"/>
          </reference>
        </references>
      </pivotArea>
    </chartFormat>
    <chartFormat chart="12" format="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6" count="1" selected="0">
            <x v="3"/>
          </reference>
        </references>
      </pivotArea>
    </chartFormat>
    <chartFormat chart="12" format="13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6" count="1" selected="0">
            <x v="3"/>
          </reference>
        </references>
      </pivotArea>
    </chartFormat>
    <chartFormat chart="12" format="14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2"/>
          </reference>
          <reference field="6" count="1" selected="0">
            <x v="3"/>
          </reference>
        </references>
      </pivotArea>
    </chartFormat>
    <chartFormat chart="12" format="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6" count="1" selected="0">
            <x v="4"/>
          </reference>
        </references>
      </pivotArea>
    </chartFormat>
    <chartFormat chart="12" format="16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6" count="1" selected="0">
            <x v="4"/>
          </reference>
        </references>
      </pivotArea>
    </chartFormat>
    <chartFormat chart="12" format="17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2"/>
          </reference>
          <reference field="6" count="1" selected="0">
            <x v="4"/>
          </reference>
        </references>
      </pivotArea>
    </chartFormat>
    <chartFormat chart="12" format="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6" count="1" selected="0">
            <x v="2"/>
          </reference>
        </references>
      </pivotArea>
    </chartFormat>
    <chartFormat chart="12" format="19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6" count="1" selected="0">
            <x v="2"/>
          </reference>
        </references>
      </pivotArea>
    </chartFormat>
    <chartFormat chart="12" format="20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3"/>
          </reference>
          <reference field="6" count="1" selected="0">
            <x v="2"/>
          </reference>
        </references>
      </pivotArea>
    </chartFormat>
    <chartFormat chart="12" format="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6" count="1" selected="0">
            <x v="3"/>
          </reference>
        </references>
      </pivotArea>
    </chartFormat>
    <chartFormat chart="12" format="22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6" count="1" selected="0">
            <x v="3"/>
          </reference>
        </references>
      </pivotArea>
    </chartFormat>
    <chartFormat chart="12" format="23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3"/>
          </reference>
          <reference field="6" count="1" selected="0">
            <x v="3"/>
          </reference>
        </references>
      </pivotArea>
    </chartFormat>
    <chartFormat chart="12" format="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6" count="1" selected="0">
            <x v="4"/>
          </reference>
        </references>
      </pivotArea>
    </chartFormat>
    <chartFormat chart="12" format="25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6" count="1" selected="0">
            <x v="4"/>
          </reference>
        </references>
      </pivotArea>
    </chartFormat>
    <chartFormat chart="12" format="26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3"/>
          </reference>
          <reference field="6" count="1" selected="0">
            <x v="4"/>
          </reference>
        </references>
      </pivotArea>
    </chartFormat>
    <chartFormat chart="12" format="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2"/>
          </reference>
        </references>
      </pivotArea>
    </chartFormat>
    <chartFormat chart="12" format="28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4"/>
          </reference>
          <reference field="6" count="1" selected="0">
            <x v="2"/>
          </reference>
        </references>
      </pivotArea>
    </chartFormat>
    <chartFormat chart="12" format="29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4"/>
          </reference>
          <reference field="6" count="1" selected="0">
            <x v="2"/>
          </reference>
        </references>
      </pivotArea>
    </chartFormat>
    <chartFormat chart="12" format="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3"/>
          </reference>
        </references>
      </pivotArea>
    </chartFormat>
    <chartFormat chart="12" format="31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4"/>
          </reference>
          <reference field="6" count="1" selected="0">
            <x v="3"/>
          </reference>
        </references>
      </pivotArea>
    </chartFormat>
    <chartFormat chart="12" format="32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4"/>
          </reference>
          <reference field="6" count="1" selected="0">
            <x v="3"/>
          </reference>
        </references>
      </pivotArea>
    </chartFormat>
    <chartFormat chart="12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4"/>
          </reference>
        </references>
      </pivotArea>
    </chartFormat>
    <chartFormat chart="12" format="34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4"/>
          </reference>
          <reference field="6" count="1" selected="0">
            <x v="4"/>
          </reference>
        </references>
      </pivotArea>
    </chartFormat>
    <chartFormat chart="12" format="35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4"/>
          </reference>
          <reference field="6" count="1" selected="0">
            <x v="4"/>
          </reference>
        </references>
      </pivotArea>
    </chartFormat>
    <chartFormat chart="12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2"/>
          </reference>
        </references>
      </pivotArea>
    </chartFormat>
    <chartFormat chart="12" format="37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5"/>
          </reference>
          <reference field="6" count="1" selected="0">
            <x v="2"/>
          </reference>
        </references>
      </pivotArea>
    </chartFormat>
    <chartFormat chart="12" format="38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5"/>
          </reference>
          <reference field="6" count="1" selected="0">
            <x v="2"/>
          </reference>
        </references>
      </pivotArea>
    </chartFormat>
    <chartFormat chart="12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3"/>
          </reference>
        </references>
      </pivotArea>
    </chartFormat>
    <chartFormat chart="12" format="40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5"/>
          </reference>
          <reference field="6" count="1" selected="0">
            <x v="3"/>
          </reference>
        </references>
      </pivotArea>
    </chartFormat>
    <chartFormat chart="12" format="41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5"/>
          </reference>
          <reference field="6" count="1" selected="0">
            <x v="3"/>
          </reference>
        </references>
      </pivotArea>
    </chartFormat>
    <chartFormat chart="12" format="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4"/>
          </reference>
        </references>
      </pivotArea>
    </chartFormat>
    <chartFormat chart="12" format="43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5"/>
          </reference>
          <reference field="6" count="1" selected="0">
            <x v="4"/>
          </reference>
        </references>
      </pivotArea>
    </chartFormat>
    <chartFormat chart="12" format="44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5"/>
          </reference>
          <reference field="6" count="1" selected="0">
            <x v="4"/>
          </reference>
        </references>
      </pivotArea>
    </chartFormat>
    <chartFormat chart="12" format="4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1"/>
          </reference>
        </references>
      </pivotArea>
    </chartFormat>
    <chartFormat chart="12" format="46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6"/>
          </reference>
          <reference field="6" count="1" selected="0">
            <x v="1"/>
          </reference>
        </references>
      </pivotArea>
    </chartFormat>
    <chartFormat chart="12" format="47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6"/>
          </reference>
          <reference field="6" count="1" selected="0">
            <x v="1"/>
          </reference>
        </references>
      </pivotArea>
    </chartFormat>
    <chartFormat chart="12" format="4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2"/>
          </reference>
        </references>
      </pivotArea>
    </chartFormat>
    <chartFormat chart="12" format="49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6"/>
          </reference>
          <reference field="6" count="1" selected="0">
            <x v="2"/>
          </reference>
        </references>
      </pivotArea>
    </chartFormat>
    <chartFormat chart="12" format="50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6"/>
          </reference>
          <reference field="6" count="1" selected="0">
            <x v="2"/>
          </reference>
        </references>
      </pivotArea>
    </chartFormat>
    <chartFormat chart="12" format="5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3"/>
          </reference>
        </references>
      </pivotArea>
    </chartFormat>
    <chartFormat chart="12" format="52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6"/>
          </reference>
          <reference field="6" count="1" selected="0">
            <x v="3"/>
          </reference>
        </references>
      </pivotArea>
    </chartFormat>
    <chartFormat chart="12" format="53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6"/>
          </reference>
          <reference field="6" count="1" selected="0">
            <x v="3"/>
          </reference>
        </references>
      </pivotArea>
    </chartFormat>
    <chartFormat chart="12" format="5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4"/>
          </reference>
        </references>
      </pivotArea>
    </chartFormat>
    <chartFormat chart="12" format="55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6"/>
          </reference>
          <reference field="6" count="1" selected="0">
            <x v="4"/>
          </reference>
        </references>
      </pivotArea>
    </chartFormat>
    <chartFormat chart="12" format="56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6"/>
          </reference>
          <reference field="6" count="1" selected="0">
            <x v="4"/>
          </reference>
        </references>
      </pivotArea>
    </chartFormat>
    <chartFormat chart="12" format="5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1"/>
          </reference>
        </references>
      </pivotArea>
    </chartFormat>
    <chartFormat chart="12" format="58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7"/>
          </reference>
          <reference field="6" count="1" selected="0">
            <x v="1"/>
          </reference>
        </references>
      </pivotArea>
    </chartFormat>
    <chartFormat chart="12" format="59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7"/>
          </reference>
          <reference field="6" count="1" selected="0">
            <x v="1"/>
          </reference>
        </references>
      </pivotArea>
    </chartFormat>
    <chartFormat chart="12" format="6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2"/>
          </reference>
        </references>
      </pivotArea>
    </chartFormat>
    <chartFormat chart="12" format="61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7"/>
          </reference>
          <reference field="6" count="1" selected="0">
            <x v="2"/>
          </reference>
        </references>
      </pivotArea>
    </chartFormat>
    <chartFormat chart="12" format="62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7"/>
          </reference>
          <reference field="6" count="1" selected="0">
            <x v="2"/>
          </reference>
        </references>
      </pivotArea>
    </chartFormat>
    <chartFormat chart="12" format="6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3"/>
          </reference>
        </references>
      </pivotArea>
    </chartFormat>
    <chartFormat chart="12" format="64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7"/>
          </reference>
          <reference field="6" count="1" selected="0">
            <x v="3"/>
          </reference>
        </references>
      </pivotArea>
    </chartFormat>
    <chartFormat chart="12" format="65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7"/>
          </reference>
          <reference field="6" count="1" selected="0">
            <x v="3"/>
          </reference>
        </references>
      </pivotArea>
    </chartFormat>
    <chartFormat chart="12" format="6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4"/>
          </reference>
        </references>
      </pivotArea>
    </chartFormat>
    <chartFormat chart="12" format="67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7"/>
          </reference>
          <reference field="6" count="1" selected="0">
            <x v="4"/>
          </reference>
        </references>
      </pivotArea>
    </chartFormat>
    <chartFormat chart="12" format="68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7"/>
          </reference>
          <reference field="6" count="1" selected="0">
            <x v="4"/>
          </reference>
        </references>
      </pivotArea>
    </chartFormat>
    <chartFormat chart="12" format="6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1"/>
          </reference>
        </references>
      </pivotArea>
    </chartFormat>
    <chartFormat chart="12" format="70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8"/>
          </reference>
          <reference field="6" count="1" selected="0">
            <x v="1"/>
          </reference>
        </references>
      </pivotArea>
    </chartFormat>
    <chartFormat chart="12" format="71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8"/>
          </reference>
          <reference field="6" count="1" selected="0">
            <x v="1"/>
          </reference>
        </references>
      </pivotArea>
    </chartFormat>
    <chartFormat chart="12" format="7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2"/>
          </reference>
        </references>
      </pivotArea>
    </chartFormat>
    <chartFormat chart="12" format="73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8"/>
          </reference>
          <reference field="6" count="1" selected="0">
            <x v="2"/>
          </reference>
        </references>
      </pivotArea>
    </chartFormat>
    <chartFormat chart="12" format="74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8"/>
          </reference>
          <reference field="6" count="1" selected="0">
            <x v="2"/>
          </reference>
        </references>
      </pivotArea>
    </chartFormat>
    <chartFormat chart="12" format="7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3"/>
          </reference>
        </references>
      </pivotArea>
    </chartFormat>
    <chartFormat chart="12" format="76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8"/>
          </reference>
          <reference field="6" count="1" selected="0">
            <x v="3"/>
          </reference>
        </references>
      </pivotArea>
    </chartFormat>
    <chartFormat chart="12" format="77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8"/>
          </reference>
          <reference field="6" count="1" selected="0">
            <x v="3"/>
          </reference>
        </references>
      </pivotArea>
    </chartFormat>
    <chartFormat chart="12" format="7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4"/>
          </reference>
        </references>
      </pivotArea>
    </chartFormat>
    <chartFormat chart="12" format="79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8"/>
          </reference>
          <reference field="6" count="1" selected="0">
            <x v="4"/>
          </reference>
        </references>
      </pivotArea>
    </chartFormat>
    <chartFormat chart="12" format="80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8"/>
          </reference>
          <reference field="6" count="1" selected="0">
            <x v="4"/>
          </reference>
        </references>
      </pivotArea>
    </chartFormat>
    <chartFormat chart="12" format="8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1"/>
          </reference>
        </references>
      </pivotArea>
    </chartFormat>
    <chartFormat chart="12" format="82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6" count="1" selected="0">
            <x v="1"/>
          </reference>
        </references>
      </pivotArea>
    </chartFormat>
    <chartFormat chart="12" format="83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6" count="1" selected="0">
            <x v="1"/>
          </reference>
        </references>
      </pivotArea>
    </chartFormat>
    <chartFormat chart="12" format="8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2"/>
          </reference>
        </references>
      </pivotArea>
    </chartFormat>
    <chartFormat chart="12" format="85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6" count="1" selected="0">
            <x v="2"/>
          </reference>
        </references>
      </pivotArea>
    </chartFormat>
    <chartFormat chart="12" format="86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6" count="1" selected="0">
            <x v="2"/>
          </reference>
        </references>
      </pivotArea>
    </chartFormat>
    <chartFormat chart="12" format="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3"/>
          </reference>
        </references>
      </pivotArea>
    </chartFormat>
    <chartFormat chart="12" format="88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6" count="1" selected="0">
            <x v="3"/>
          </reference>
        </references>
      </pivotArea>
    </chartFormat>
    <chartFormat chart="12" format="89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6" count="1" selected="0">
            <x v="3"/>
          </reference>
        </references>
      </pivotArea>
    </chartFormat>
    <chartFormat chart="12" format="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4"/>
          </reference>
        </references>
      </pivotArea>
    </chartFormat>
    <chartFormat chart="12" format="91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6" count="1" selected="0">
            <x v="4"/>
          </reference>
        </references>
      </pivotArea>
    </chartFormat>
    <chartFormat chart="12" format="92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6" count="1" selected="0">
            <x v="4"/>
          </reference>
        </references>
      </pivotArea>
    </chartFormat>
    <chartFormat chart="12" format="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1"/>
          </reference>
        </references>
      </pivotArea>
    </chartFormat>
    <chartFormat chart="12" format="94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0"/>
          </reference>
          <reference field="6" count="1" selected="0">
            <x v="1"/>
          </reference>
        </references>
      </pivotArea>
    </chartFormat>
    <chartFormat chart="12" format="95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0"/>
          </reference>
          <reference field="6" count="1" selected="0">
            <x v="1"/>
          </reference>
        </references>
      </pivotArea>
    </chartFormat>
    <chartFormat chart="12" format="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2"/>
          </reference>
        </references>
      </pivotArea>
    </chartFormat>
    <chartFormat chart="12" format="97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0"/>
          </reference>
          <reference field="6" count="1" selected="0">
            <x v="2"/>
          </reference>
        </references>
      </pivotArea>
    </chartFormat>
    <chartFormat chart="12" format="98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0"/>
          </reference>
          <reference field="6" count="1" selected="0">
            <x v="2"/>
          </reference>
        </references>
      </pivotArea>
    </chartFormat>
    <chartFormat chart="12" format="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3"/>
          </reference>
        </references>
      </pivotArea>
    </chartFormat>
    <chartFormat chart="12" format="100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0"/>
          </reference>
          <reference field="6" count="1" selected="0">
            <x v="3"/>
          </reference>
        </references>
      </pivotArea>
    </chartFormat>
    <chartFormat chart="12" format="101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0"/>
          </reference>
          <reference field="6" count="1" selected="0">
            <x v="3"/>
          </reference>
        </references>
      </pivotArea>
    </chartFormat>
    <chartFormat chart="12" format="10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4"/>
          </reference>
        </references>
      </pivotArea>
    </chartFormat>
    <chartFormat chart="12" format="103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0"/>
          </reference>
          <reference field="6" count="1" selected="0">
            <x v="4"/>
          </reference>
        </references>
      </pivotArea>
    </chartFormat>
    <chartFormat chart="12" format="104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0"/>
          </reference>
          <reference field="6" count="1" selected="0">
            <x v="4"/>
          </reference>
        </references>
      </pivotArea>
    </chartFormat>
    <chartFormat chart="12" format="1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6" count="1" selected="0">
            <x v="1"/>
          </reference>
        </references>
      </pivotArea>
    </chartFormat>
    <chartFormat chart="12" format="106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1"/>
          </reference>
          <reference field="6" count="1" selected="0">
            <x v="1"/>
          </reference>
        </references>
      </pivotArea>
    </chartFormat>
    <chartFormat chart="12" format="107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1"/>
          </reference>
          <reference field="6" count="1" selected="0">
            <x v="1"/>
          </reference>
        </references>
      </pivotArea>
    </chartFormat>
    <chartFormat chart="12" format="1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6" count="1" selected="0">
            <x v="2"/>
          </reference>
        </references>
      </pivotArea>
    </chartFormat>
    <chartFormat chart="12" format="109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1"/>
          </reference>
          <reference field="6" count="1" selected="0">
            <x v="2"/>
          </reference>
        </references>
      </pivotArea>
    </chartFormat>
    <chartFormat chart="12" format="110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1"/>
          </reference>
          <reference field="6" count="1" selected="0">
            <x v="2"/>
          </reference>
        </references>
      </pivotArea>
    </chartFormat>
    <chartFormat chart="12" format="1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6" count="1" selected="0">
            <x v="3"/>
          </reference>
        </references>
      </pivotArea>
    </chartFormat>
    <chartFormat chart="12" format="112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1"/>
          </reference>
          <reference field="6" count="1" selected="0">
            <x v="3"/>
          </reference>
        </references>
      </pivotArea>
    </chartFormat>
    <chartFormat chart="12" format="113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1"/>
          </reference>
          <reference field="6" count="1" selected="0">
            <x v="3"/>
          </reference>
        </references>
      </pivotArea>
    </chartFormat>
    <chartFormat chart="12" format="1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6" count="1" selected="0">
            <x v="1"/>
          </reference>
        </references>
      </pivotArea>
    </chartFormat>
    <chartFormat chart="12" format="115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2"/>
          </reference>
          <reference field="6" count="1" selected="0">
            <x v="1"/>
          </reference>
        </references>
      </pivotArea>
    </chartFormat>
    <chartFormat chart="12" format="116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2"/>
          </reference>
          <reference field="6" count="1" selected="0">
            <x v="1"/>
          </reference>
        </references>
      </pivotArea>
    </chartFormat>
    <chartFormat chart="12" format="1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6" count="1" selected="0">
            <x v="2"/>
          </reference>
        </references>
      </pivotArea>
    </chartFormat>
    <chartFormat chart="12" format="118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2"/>
          </reference>
          <reference field="6" count="1" selected="0">
            <x v="2"/>
          </reference>
        </references>
      </pivotArea>
    </chartFormat>
    <chartFormat chart="12" format="119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2"/>
          </reference>
          <reference field="6" count="1" selected="0">
            <x v="2"/>
          </reference>
        </references>
      </pivotArea>
    </chartFormat>
    <chartFormat chart="12" format="1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6" count="1" selected="0">
            <x v="3"/>
          </reference>
        </references>
      </pivotArea>
    </chartFormat>
    <chartFormat chart="12" format="121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2"/>
          </reference>
          <reference field="6" count="1" selected="0">
            <x v="3"/>
          </reference>
        </references>
      </pivotArea>
    </chartFormat>
    <chartFormat chart="12" format="122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2"/>
          </reference>
          <reference field="6" count="1" selected="0">
            <x v="3"/>
          </reference>
        </references>
      </pivotArea>
    </chartFormat>
    <chartFormat chart="12" format="1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2"/>
          </reference>
        </references>
      </pivotArea>
    </chartFormat>
    <chartFormat chart="12" format="124" series="1">
      <pivotArea type="data" outline="0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6" count="1" selected="0">
            <x v="2"/>
          </reference>
        </references>
      </pivotArea>
    </chartFormat>
    <chartFormat chart="12" format="125" series="1">
      <pivotArea type="data" outline="0" fieldPosition="0">
        <references count="3">
          <reference field="4294967294" count="1" selected="0">
            <x v="2"/>
          </reference>
          <reference field="0" count="1" selected="0">
            <x v="1"/>
          </reference>
          <reference field="6" count="1" selected="0">
            <x v="2"/>
          </reference>
        </references>
      </pivotArea>
    </chartFormat>
  </chartFormats>
  <pivotTableStyleInfo name="PivotStyleLight9" showRowHeaders="1" showColHeaders="1" showRowStripes="0" showColStripes="0" showLastColumn="1"/>
  <filters count="1">
    <filter fld="0" type="dateBetween" evalOrder="-1" id="20" name="Date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" xr10:uid="{E8715350-33C8-497F-86AD-2BB5F2EE7E1B}" sourceName="Type">
  <pivotTables>
    <pivotTable tabId="48" name="Tableau croisé dynamique1"/>
  </pivotTables>
  <data>
    <tabular pivotCacheId="1221791366">
      <items count="4">
        <i x="3" s="1"/>
        <i x="2" s="1"/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525FBCB1-466A-409B-8656-CCD2AF4FAF3D}" sourceName="Catégorie">
  <pivotTables>
    <pivotTable tabId="49" name="Tableau croisé dynamique2"/>
  </pivotTables>
  <data>
    <tabular pivotCacheId="227294436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ous_catégorie" xr10:uid="{BBFAD039-F6B3-4FED-B685-A9C7A5633878}" sourceName="Sous catégorie">
  <pivotTables>
    <pivotTable tabId="49" name="Tableau croisé dynamique2"/>
  </pivotTables>
  <data>
    <tabular pivotCacheId="227294436">
      <items count="3">
        <i x="2" s="1"/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Fournisseur" xr10:uid="{28753FCA-B912-4B9C-9083-D90735B934D8}" sourceName="Fournisseur">
  <pivotTables>
    <pivotTable tabId="49" name="Tableau croisé dynamique2"/>
  </pivotTables>
  <data>
    <tabular pivotCacheId="227294436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escription" xr10:uid="{90E4E4C7-7F83-48B8-A611-3841A6576785}" sourceName="Description">
  <pivotTables>
    <pivotTable tabId="49" name="Tableau croisé dynamique2"/>
  </pivotTables>
  <data>
    <tabular pivotCacheId="227294436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" xr10:uid="{0B240598-214D-47E8-8CDC-36EF1ECBBC8E}" cache="Segment_Type" caption="Type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79926495-88F5-440E-B303-49336CCF1698}" cache="Segment_Catégorie" caption="Catégorie" rowHeight="241300"/>
  <slicer name="Sous catégorie" xr10:uid="{4C9CEC81-423A-4F82-805D-6C195D1C4D5E}" cache="Segment_Sous_catégorie" caption="Sous catégorie" rowHeight="241300"/>
  <slicer name="Fournisseur" xr10:uid="{283EE57F-E3FA-4EF0-8019-BF5FBD6CF240}" cache="Segment_Fournisseur" caption="Fournisseur" rowHeight="241300"/>
  <slicer name="Description" xr10:uid="{AEBF8CF8-B574-4FFC-BDE3-4466B5CF06B3}" cache="Segment_Description" caption="Description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27BDB2-EC8B-4A44-9335-61B25875DC11}" name="TEnc" displayName="TEnc" ref="A4:F47" totalsRowShown="0" headerRowDxfId="1124" tableBorderDxfId="1123">
  <autoFilter ref="A4:F47" xr:uid="{D4A95B28-10FD-4EBA-9297-233B39BB8B9D}"/>
  <tableColumns count="6">
    <tableColumn id="1" xr3:uid="{3182FD92-538D-4644-B86A-08AFA5A750A7}" name="Date" dataDxfId="1122"/>
    <tableColumn id="2" xr3:uid="{1F773D7D-2F99-47B9-B51A-32BF6DCB0E14}" name="Catégorie" dataDxfId="1121"/>
    <tableColumn id="3" xr3:uid="{64A6C184-1FF6-40CD-9881-CF66FE2E1919}" name="Sous catégorie" dataDxfId="1120"/>
    <tableColumn id="4" xr3:uid="{5E6A478E-47DF-4053-955A-9549252F2A59}" name="Fournisseur" dataDxfId="1119"/>
    <tableColumn id="5" xr3:uid="{D4F4F120-1DC1-42A3-B229-56A7E375BB9D}" name="Description" dataDxfId="1118"/>
    <tableColumn id="6" xr3:uid="{AA07AA64-0842-4D34-8D57-5B036ED20898}" name="Montant" dataDxfId="11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2A7DD8-C877-48DE-92E0-56B073F65780}" name="TCS" displayName="TCS" ref="D4:G6" totalsRowShown="0" headerRowDxfId="1116" dataDxfId="1115" tableBorderDxfId="1114">
  <autoFilter ref="D4:G6" xr:uid="{6DCFFB5F-F4AA-4F90-A6A9-DC1CA978FD52}"/>
  <tableColumns count="4">
    <tableColumn id="1" xr3:uid="{C8FA5675-AB65-4FFA-8490-CC9512343BC9}" name="Date" dataDxfId="1113"/>
    <tableColumn id="4" xr3:uid="{FFA7C7A7-136C-476A-9859-B017A0A34770}" name="Type" dataDxfId="1112"/>
    <tableColumn id="2" xr3:uid="{C09408B2-8C78-4ABD-91AF-0BE4990261B1}" name="Charge" dataDxfId="1111"/>
    <tableColumn id="3" xr3:uid="{9BBEBD02-47B5-4894-B171-9325DE3CAF8F}" name="Montant" dataDxfId="11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69D893-7C29-4138-BB1D-319218A541D9}" name="TCM" displayName="TCM" ref="E4:H7" totalsRowShown="0" headerRowDxfId="1109" tableBorderDxfId="1108">
  <tableColumns count="4">
    <tableColumn id="1" xr3:uid="{94A4C0D8-3C29-4C3A-9CD6-79650E07C941}" name="Date"/>
    <tableColumn id="4" xr3:uid="{797E4FC3-84AD-44CE-9FCA-C26990234E85}" name="Type" dataDxfId="1107"/>
    <tableColumn id="2" xr3:uid="{D0B8BB03-B6AA-4F06-B401-D8BE43A04F01}" name="Charge"/>
    <tableColumn id="3" xr3:uid="{E5F209BF-B1EE-48D6-9FD8-F47C9CE92FCB}" name="Monta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60D909-52E2-467F-9AF0-975A6EC30681}" name="TCE" displayName="TCE" ref="E4:H8" totalsRowShown="0" headerRowDxfId="1106" tableBorderDxfId="1105">
  <autoFilter ref="E4:H8" xr:uid="{27CA3C78-3A3B-4C3D-A3AA-7F0CAB3E0A1F}"/>
  <tableColumns count="4">
    <tableColumn id="1" xr3:uid="{28FC4236-CAE4-4B55-95BF-1792D437228F}" name="Date"/>
    <tableColumn id="4" xr3:uid="{D5BF164C-B67D-4B6D-AC28-084192BBFC6C}" name="Type" dataDxfId="1104"/>
    <tableColumn id="2" xr3:uid="{9EB0DC66-72AD-4003-A174-54F1527FDABA}" name="Charge"/>
    <tableColumn id="3" xr3:uid="{FC9D17B4-90E0-49D4-870B-20FB4A143464}" name="Monta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B3B57CB-D4BD-4C09-86AF-FFA9609309A4}" name="TCC" displayName="TCC" ref="E4:H7" totalsRowShown="0" headerRowDxfId="1103" tableBorderDxfId="1102">
  <autoFilter ref="E4:H7" xr:uid="{723E3087-752D-4C58-BBDC-D804A856F8D9}"/>
  <tableColumns count="4">
    <tableColumn id="1" xr3:uid="{CCEB1F28-E330-4A16-846D-C979AE1F3512}" name="Date"/>
    <tableColumn id="4" xr3:uid="{84854286-DEB2-4301-A663-C28FB2231094}" name="Type" dataDxfId="1101"/>
    <tableColumn id="2" xr3:uid="{8C0E2D50-B59B-4B03-9310-03E7EBC3D340}" name="Charge"/>
    <tableColumn id="3" xr3:uid="{9334F2BA-2FCC-4C3A-AED8-09AB84FC3671}" name="Monta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C23606-4CA4-48B8-A02B-65C68EFF0733}" name="Tableau1" displayName="Tableau1" ref="A5:H7" totalsRowShown="0" headerRowDxfId="1100" tableBorderDxfId="1099">
  <autoFilter ref="A5:H7" xr:uid="{7A3F6CDB-C2B9-4329-AF87-BF13B88D3C2E}"/>
  <tableColumns count="8">
    <tableColumn id="1" xr3:uid="{A6566AF0-A690-46A7-A451-63BA401E9E38}" name="date de début"/>
    <tableColumn id="2" xr3:uid="{11B1CFFF-D88D-425C-9C3F-40B377410010}" name="Duree"/>
    <tableColumn id="3" xr3:uid="{B0940A7E-AAF6-4371-806B-EA7AE3DF09AB}" name="date de fin"/>
    <tableColumn id="4" xr3:uid="{40D1BE2F-1AF5-4B4F-B24E-15B71B28ED32}" name="type de prêt"/>
    <tableColumn id="5" xr3:uid="{8BEA19FC-779C-4F19-AEDA-858DEABC5A01}" name="libellé"/>
    <tableColumn id="6" xr3:uid="{BC1A65B5-2568-4EB4-92CC-ECF18857DE70}" name="montant emprunté"/>
    <tableColumn id="7" xr3:uid="{AE7FAC93-F400-4278-B4E4-E7C28D97E774}" name="mensualité"/>
    <tableColumn id="8" xr3:uid="{C228BB8A-6825-4912-A622-4E82DA855E58}" name="sol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7D8073-6700-44D0-A18A-048FDAC5A4E8}" name="Tableau9" displayName="Tableau9" ref="J13:Q61" totalsRowShown="0" headerRowDxfId="1098" tableBorderDxfId="1097">
  <autoFilter ref="J13:Q61" xr:uid="{16B3C518-F577-4B46-8737-F10742CFBF3E}"/>
  <tableColumns count="8">
    <tableColumn id="1" xr3:uid="{39FFDC18-FD8E-465C-ABA4-2F07F131136C}" name="Date" dataDxfId="1096"/>
    <tableColumn id="2" xr3:uid="{BB340F40-2C03-402F-AA1D-DDCC214AE063}" name="Mensualité" dataDxfId="1095"/>
    <tableColumn id="3" xr3:uid="{9D5D58E1-22BB-4373-8157-E8F47C8CAFB9}" name="Intérêts" dataDxfId="1094"/>
    <tableColumn id="4" xr3:uid="{F80DDCBD-2C4F-4691-9365-4B607CCEF7FC}" name="Capital" dataDxfId="1093"/>
    <tableColumn id="5" xr3:uid="{C66E8C2E-0DCE-4DBB-B0DF-EEC6B031B395}" name="Solde" dataDxfId="1092"/>
    <tableColumn id="6" xr3:uid="{FB7B85E3-0C2D-4490-95CE-54C01C91E96A}" name="Échéance"/>
    <tableColumn id="7" xr3:uid="{0DE9462E-917E-4EA4-BB95-D98B2F4C8069}" name="Type"/>
    <tableColumn id="8" xr3:uid="{BDBD60F7-3260-4243-9038-6D431D1B52F1}" name="Libellé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13A653-B543-4B56-A2B9-FDE14455FE36}" name="TSal" displayName="TSal" ref="E4:H5" totalsRowShown="0" headerRowDxfId="1091" dataDxfId="1090" tableBorderDxfId="1089">
  <autoFilter ref="E4:H5" xr:uid="{D9839C7E-683E-48A5-8E8A-276560D80C05}"/>
  <tableColumns count="4">
    <tableColumn id="1" xr3:uid="{44667775-2FA1-4119-8175-E036EE9FE3E3}" name="Date" dataDxfId="1088"/>
    <tableColumn id="2" xr3:uid="{15DF69C0-83EE-48F5-9E48-51BB8504A821}" name="Salarié" dataDxfId="1087"/>
    <tableColumn id="3" xr3:uid="{A2A1695B-6CFA-4B87-91BD-C9D7963BC11D}" name="Salaire" dataDxfId="1086"/>
    <tableColumn id="4" xr3:uid="{EB125EF7-52C5-4AF1-9D71-98F004A5FE23}" name="Colonne1" dataDxfId="108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C4F738E5-EFED-4180-8C3E-25C4310D7A13}" sourceName="Date">
  <pivotTables>
    <pivotTable tabId="49" name="Tableau croisé dynamique2"/>
  </pivotTables>
  <state minimalRefreshVersion="6" lastRefreshVersion="6" pivotCacheId="227294436" filterType="dateBetween">
    <selection startDate="2020-05-01T00:00:00" endDate="2020-05-31T00:00:00"/>
    <bounds startDate="2020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1" xr10:uid="{3237EEDC-F4C1-4C23-A009-399C88FA7DA1}" sourceName="Date">
  <pivotTables>
    <pivotTable tabId="48" name="Tableau croisé dynamique1"/>
  </pivotTables>
  <state minimalRefreshVersion="6" lastRefreshVersion="6" pivotCacheId="1221791366" filterType="dateBetween">
    <selection startDate="2020-05-01T00:00:00" endDate="2020-05-31T00:00:00"/>
    <bounds startDate="2019-01-01T00:00:00" endDate="2021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2" xr10:uid="{321478AE-12EC-4414-818D-D833966EFE0E}" sourceName="Date">
  <pivotTables>
    <pivotTable tabId="31" name="Tableau croisé dynamique8"/>
  </pivotTables>
  <state minimalRefreshVersion="6" lastRefreshVersion="6" pivotCacheId="405659346" filterType="unknown">
    <bounds startDate="2020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_Date_1" xr10:uid="{8AEDDFA4-E7C7-4C35-8CB6-2132F6A0F911}" cache="ChronologieNative_Date1" caption="Date" level="2" selectionLevel="2" scrollPosition="2019-12-17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A26F1773-8F27-4298-86B3-CFEEA542EFF0}" cache="ChronologieNative_Date2" caption="Date" level="2" selectionLevel="2" scrollPosition="2020-02-14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3" xr10:uid="{CD4931B3-D0EE-4B87-896A-3DC47E53413A}" cache="ChronologieNative_Date" caption="Date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5" Type="http://schemas.microsoft.com/office/2011/relationships/timeline" Target="../timelines/timeline3.xml"/><Relationship Id="rId4" Type="http://schemas.microsoft.com/office/2007/relationships/slicer" Target="../slicers/slicer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0531A-3639-4A6B-8DF0-D3BC3CE1741A}">
  <sheetPr codeName="Feuil18"/>
  <dimension ref="B1:W39"/>
  <sheetViews>
    <sheetView tabSelected="1" workbookViewId="0">
      <selection activeCell="B5" sqref="B5"/>
    </sheetView>
  </sheetViews>
  <sheetFormatPr baseColWidth="10" defaultRowHeight="15" x14ac:dyDescent="0.25"/>
  <cols>
    <col min="1" max="2" width="11.42578125" style="41"/>
    <col min="3" max="3" width="14.7109375" style="41" customWidth="1"/>
    <col min="4" max="4" width="2.7109375" style="41" customWidth="1"/>
    <col min="5" max="5" width="14.85546875" style="41" customWidth="1"/>
    <col min="6" max="6" width="2.7109375" style="41" customWidth="1"/>
    <col min="7" max="7" width="16.28515625" style="41" customWidth="1"/>
    <col min="8" max="8" width="2.7109375" style="41" customWidth="1"/>
    <col min="9" max="9" width="14.5703125" style="41" customWidth="1"/>
    <col min="10" max="10" width="2.7109375" style="41" customWidth="1"/>
    <col min="11" max="11" width="11.42578125" style="41"/>
    <col min="12" max="12" width="6.140625" style="41" customWidth="1"/>
    <col min="13" max="13" width="11.42578125" style="41"/>
    <col min="14" max="14" width="7.28515625" style="41" customWidth="1"/>
    <col min="15" max="15" width="13.5703125" style="41" customWidth="1"/>
    <col min="16" max="16" width="7.140625" style="41" customWidth="1"/>
    <col min="17" max="18" width="11.42578125" style="41"/>
    <col min="19" max="19" width="11.85546875" style="41" customWidth="1"/>
    <col min="20" max="16384" width="11.42578125" style="41"/>
  </cols>
  <sheetData>
    <row r="1" spans="2:19" ht="15.75" thickBot="1" x14ac:dyDescent="0.3"/>
    <row r="2" spans="2:19" ht="15" customHeight="1" x14ac:dyDescent="0.25">
      <c r="B2" s="115" t="s">
        <v>187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7"/>
    </row>
    <row r="3" spans="2:19" ht="15" customHeight="1" x14ac:dyDescent="0.25">
      <c r="B3" s="118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20"/>
    </row>
    <row r="4" spans="2:19" ht="15" customHeight="1" thickBot="1" x14ac:dyDescent="0.3">
      <c r="B4" s="121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3"/>
    </row>
    <row r="5" spans="2:19" ht="22.5" customHeight="1" x14ac:dyDescent="0.25"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2:19" ht="49.5" customHeight="1" x14ac:dyDescent="0.25">
      <c r="C6" s="42"/>
      <c r="D6" s="43"/>
      <c r="E6" s="44"/>
      <c r="F6" s="43"/>
      <c r="G6" s="44"/>
      <c r="H6" s="43"/>
      <c r="I6" s="44"/>
      <c r="J6" s="43"/>
      <c r="K6" s="45"/>
      <c r="L6" s="45"/>
      <c r="M6" s="45"/>
      <c r="O6" s="45"/>
    </row>
    <row r="7" spans="2:19" ht="5.25" customHeight="1" x14ac:dyDescent="0.25">
      <c r="E7" s="46"/>
    </row>
    <row r="8" spans="2:19" x14ac:dyDescent="0.25">
      <c r="S8" s="82"/>
    </row>
    <row r="12" spans="2:19" ht="14.25" customHeight="1" x14ac:dyDescent="0.25">
      <c r="Q12" s="29"/>
    </row>
    <row r="13" spans="2:19" ht="3.75" customHeight="1" x14ac:dyDescent="0.25"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</row>
    <row r="18" spans="2:23" ht="56.25" customHeight="1" x14ac:dyDescent="0.25">
      <c r="B18" s="114"/>
      <c r="C18" s="114"/>
      <c r="D18" s="114"/>
      <c r="F18" s="114"/>
      <c r="G18" s="114"/>
      <c r="H18" s="114"/>
      <c r="O18" s="105"/>
    </row>
    <row r="21" spans="2:23" x14ac:dyDescent="0.25">
      <c r="W21" s="41" t="s">
        <v>154</v>
      </c>
    </row>
    <row r="28" spans="2:23" ht="28.5" x14ac:dyDescent="0.25">
      <c r="M28" s="47"/>
      <c r="N28" s="47"/>
    </row>
    <row r="29" spans="2:23" ht="22.5" customHeight="1" x14ac:dyDescent="0.25"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O29" s="47"/>
    </row>
    <row r="33" spans="3:3" x14ac:dyDescent="0.25">
      <c r="C33" s="104"/>
    </row>
    <row r="34" spans="3:3" x14ac:dyDescent="0.25">
      <c r="C34" s="104"/>
    </row>
    <row r="35" spans="3:3" x14ac:dyDescent="0.25">
      <c r="C35" s="104"/>
    </row>
    <row r="36" spans="3:3" x14ac:dyDescent="0.25">
      <c r="C36" s="104"/>
    </row>
    <row r="37" spans="3:3" x14ac:dyDescent="0.25">
      <c r="C37" s="104"/>
    </row>
    <row r="38" spans="3:3" x14ac:dyDescent="0.25">
      <c r="C38" s="104"/>
    </row>
    <row r="39" spans="3:3" x14ac:dyDescent="0.25">
      <c r="C39" s="104"/>
    </row>
  </sheetData>
  <mergeCells count="3">
    <mergeCell ref="B18:D18"/>
    <mergeCell ref="B2:S4"/>
    <mergeCell ref="F18:H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cbSheet">
          <controlPr defaultSize="0" autoLine="0" r:id="rId5">
            <anchor moveWithCells="1">
              <from>
                <xdr:col>1</xdr:col>
                <xdr:colOff>285750</xdr:colOff>
                <xdr:row>19</xdr:row>
                <xdr:rowOff>28575</xdr:rowOff>
              </from>
              <to>
                <xdr:col>3</xdr:col>
                <xdr:colOff>38100</xdr:colOff>
                <xdr:row>20</xdr:row>
                <xdr:rowOff>171450</xdr:rowOff>
              </to>
            </anchor>
          </controlPr>
        </control>
      </mc:Choice>
      <mc:Fallback>
        <control shapeId="1040" r:id="rId4" name="cb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71E7D-ED82-47B6-B6EF-A11FB6742EE6}">
  <sheetPr codeName="Feuil25"/>
  <dimension ref="B1:T34"/>
  <sheetViews>
    <sheetView workbookViewId="0">
      <selection activeCell="F22" sqref="F22"/>
    </sheetView>
  </sheetViews>
  <sheetFormatPr baseColWidth="10" defaultRowHeight="15" x14ac:dyDescent="0.25"/>
  <cols>
    <col min="1" max="1" width="11.42578125" style="98"/>
    <col min="2" max="3" width="22.140625" style="98" bestFit="1" customWidth="1"/>
    <col min="4" max="4" width="23.85546875" style="98" bestFit="1" customWidth="1"/>
    <col min="5" max="5" width="11.85546875" style="98" bestFit="1" customWidth="1"/>
    <col min="6" max="6" width="9.42578125" style="98" bestFit="1" customWidth="1"/>
    <col min="7" max="7" width="11.85546875" style="98" bestFit="1" customWidth="1"/>
    <col min="8" max="8" width="12.5703125" style="98" bestFit="1" customWidth="1"/>
    <col min="9" max="9" width="9.140625" style="98" bestFit="1" customWidth="1"/>
    <col min="10" max="10" width="12.5703125" style="98" bestFit="1" customWidth="1"/>
    <col min="11" max="19" width="11.42578125" style="98"/>
    <col min="20" max="20" width="1.42578125" style="98" customWidth="1"/>
    <col min="21" max="16384" width="11.42578125" style="98"/>
  </cols>
  <sheetData>
    <row r="1" spans="2:20" ht="15.75" thickBot="1" x14ac:dyDescent="0.3"/>
    <row r="2" spans="2:20" ht="15" customHeight="1" x14ac:dyDescent="0.25">
      <c r="B2" s="115" t="s">
        <v>186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7"/>
    </row>
    <row r="3" spans="2:20" ht="15" customHeight="1" x14ac:dyDescent="0.25">
      <c r="B3" s="118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20"/>
    </row>
    <row r="4" spans="2:20" ht="15.75" customHeight="1" thickBot="1" x14ac:dyDescent="0.3">
      <c r="B4" s="121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3"/>
    </row>
    <row r="15" spans="2:20" x14ac:dyDescent="0.25">
      <c r="C15" s="98" t="s">
        <v>177</v>
      </c>
      <c r="D15" s="98" t="s">
        <v>158</v>
      </c>
      <c r="F15"/>
      <c r="G15"/>
    </row>
    <row r="16" spans="2:20" ht="18.75" x14ac:dyDescent="0.3">
      <c r="D16" s="99" t="s">
        <v>54</v>
      </c>
      <c r="E16" s="98" t="s">
        <v>188</v>
      </c>
      <c r="F16"/>
      <c r="G16"/>
    </row>
    <row r="17" spans="3:7" ht="18.75" x14ac:dyDescent="0.3">
      <c r="C17" s="98" t="s">
        <v>173</v>
      </c>
      <c r="D17" s="100" t="s">
        <v>184</v>
      </c>
      <c r="F17"/>
      <c r="G17"/>
    </row>
    <row r="18" spans="3:7" x14ac:dyDescent="0.25">
      <c r="C18" s="101" t="s">
        <v>122</v>
      </c>
      <c r="D18" s="102">
        <v>10216</v>
      </c>
      <c r="E18" s="102">
        <v>10216</v>
      </c>
      <c r="F18"/>
      <c r="G18"/>
    </row>
    <row r="19" spans="3:7" x14ac:dyDescent="0.25">
      <c r="C19" s="103" t="s">
        <v>96</v>
      </c>
      <c r="D19" s="102">
        <v>555</v>
      </c>
      <c r="E19" s="102">
        <v>555</v>
      </c>
      <c r="F19"/>
      <c r="G19"/>
    </row>
    <row r="20" spans="3:7" x14ac:dyDescent="0.25">
      <c r="C20" s="103" t="s">
        <v>44</v>
      </c>
      <c r="D20" s="102">
        <v>8541</v>
      </c>
      <c r="E20" s="102">
        <v>8541</v>
      </c>
      <c r="F20"/>
      <c r="G20"/>
    </row>
    <row r="21" spans="3:7" x14ac:dyDescent="0.25">
      <c r="C21" s="103" t="s">
        <v>34</v>
      </c>
      <c r="D21" s="102">
        <v>1120</v>
      </c>
      <c r="E21" s="102">
        <v>1120</v>
      </c>
      <c r="F21"/>
      <c r="G21"/>
    </row>
    <row r="22" spans="3:7" x14ac:dyDescent="0.25">
      <c r="C22" s="101" t="s">
        <v>121</v>
      </c>
      <c r="D22" s="102">
        <v>9314</v>
      </c>
      <c r="E22" s="102">
        <v>9314</v>
      </c>
      <c r="F22"/>
      <c r="G22"/>
    </row>
    <row r="23" spans="3:7" x14ac:dyDescent="0.25">
      <c r="C23" s="103" t="s">
        <v>32</v>
      </c>
      <c r="D23" s="102">
        <v>52</v>
      </c>
      <c r="E23" s="102">
        <v>52</v>
      </c>
      <c r="F23"/>
      <c r="G23"/>
    </row>
    <row r="24" spans="3:7" x14ac:dyDescent="0.25">
      <c r="C24" s="103" t="s">
        <v>34</v>
      </c>
      <c r="D24" s="102">
        <v>741</v>
      </c>
      <c r="E24" s="102">
        <v>741</v>
      </c>
      <c r="F24"/>
      <c r="G24"/>
    </row>
    <row r="25" spans="3:7" x14ac:dyDescent="0.25">
      <c r="C25" s="103" t="s">
        <v>11</v>
      </c>
      <c r="D25" s="102">
        <v>8521</v>
      </c>
      <c r="E25" s="102">
        <v>8521</v>
      </c>
      <c r="F25"/>
      <c r="G25"/>
    </row>
    <row r="26" spans="3:7" x14ac:dyDescent="0.25">
      <c r="C26" s="101" t="s">
        <v>120</v>
      </c>
      <c r="D26" s="102">
        <v>864</v>
      </c>
      <c r="E26" s="102">
        <v>864</v>
      </c>
      <c r="F26"/>
      <c r="G26"/>
    </row>
    <row r="27" spans="3:7" x14ac:dyDescent="0.25">
      <c r="C27" s="103" t="s">
        <v>17</v>
      </c>
      <c r="D27" s="102">
        <v>741</v>
      </c>
      <c r="E27" s="102">
        <v>741</v>
      </c>
      <c r="F27"/>
      <c r="G27"/>
    </row>
    <row r="28" spans="3:7" x14ac:dyDescent="0.25">
      <c r="C28" s="103" t="s">
        <v>16</v>
      </c>
      <c r="D28" s="102">
        <v>123</v>
      </c>
      <c r="E28" s="102">
        <v>123</v>
      </c>
      <c r="F28"/>
      <c r="G28"/>
    </row>
    <row r="29" spans="3:7" x14ac:dyDescent="0.25">
      <c r="C29" s="101" t="s">
        <v>183</v>
      </c>
      <c r="D29" s="102">
        <v>2205</v>
      </c>
      <c r="E29" s="102">
        <v>2205</v>
      </c>
      <c r="F29"/>
      <c r="G29"/>
    </row>
    <row r="30" spans="3:7" x14ac:dyDescent="0.25">
      <c r="C30" s="103" t="s">
        <v>87</v>
      </c>
      <c r="D30" s="102">
        <v>753</v>
      </c>
      <c r="E30" s="102">
        <v>753</v>
      </c>
      <c r="F30"/>
      <c r="G30"/>
    </row>
    <row r="31" spans="3:7" x14ac:dyDescent="0.25">
      <c r="C31" s="103" t="s">
        <v>88</v>
      </c>
      <c r="D31" s="102">
        <v>1452</v>
      </c>
      <c r="E31" s="102">
        <v>1452</v>
      </c>
      <c r="F31"/>
      <c r="G31"/>
    </row>
    <row r="32" spans="3:7" x14ac:dyDescent="0.25">
      <c r="C32" s="101" t="s">
        <v>188</v>
      </c>
      <c r="D32" s="102">
        <v>22599</v>
      </c>
      <c r="E32" s="102">
        <v>22599</v>
      </c>
      <c r="F32"/>
      <c r="G32"/>
    </row>
    <row r="33" spans="3:7" x14ac:dyDescent="0.25">
      <c r="C33"/>
      <c r="D33"/>
      <c r="E33"/>
      <c r="F33"/>
      <c r="G33"/>
    </row>
    <row r="34" spans="3:7" x14ac:dyDescent="0.25">
      <c r="C34"/>
      <c r="D34"/>
      <c r="E34"/>
      <c r="F34"/>
      <c r="G34"/>
    </row>
  </sheetData>
  <mergeCells count="1">
    <mergeCell ref="B2:T4"/>
  </mergeCells>
  <dataValidations count="1">
    <dataValidation type="list" allowBlank="1" showInputMessage="1" showErrorMessage="1" sqref="R6" xr:uid="{C72AE307-A380-45BD-8A24-AD147EF26310}">
      <formula1>"Liste_Datas"</formula1>
    </dataValidation>
  </dataValidation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A3DF-D43B-4002-AC00-A25AA9466805}">
  <sheetPr codeName="Feuil23"/>
  <dimension ref="B10:AS16"/>
  <sheetViews>
    <sheetView workbookViewId="0">
      <selection activeCell="C31" sqref="C31"/>
    </sheetView>
  </sheetViews>
  <sheetFormatPr baseColWidth="10" defaultRowHeight="15" x14ac:dyDescent="0.25"/>
  <cols>
    <col min="1" max="1" width="10.140625" customWidth="1"/>
    <col min="2" max="2" width="27" bestFit="1" customWidth="1"/>
    <col min="3" max="3" width="23.85546875" bestFit="1" customWidth="1"/>
    <col min="4" max="5" width="10.42578125" bestFit="1" customWidth="1"/>
    <col min="6" max="6" width="9.42578125" bestFit="1" customWidth="1"/>
    <col min="7" max="18" width="10.42578125" bestFit="1" customWidth="1"/>
    <col min="19" max="19" width="9.42578125" bestFit="1" customWidth="1"/>
    <col min="20" max="22" width="10.42578125" bestFit="1" customWidth="1"/>
    <col min="23" max="23" width="9.42578125" bestFit="1" customWidth="1"/>
    <col min="24" max="26" width="10.42578125" bestFit="1" customWidth="1"/>
    <col min="27" max="27" width="9.42578125" bestFit="1" customWidth="1"/>
    <col min="28" max="30" width="10.42578125" bestFit="1" customWidth="1"/>
    <col min="31" max="31" width="9.42578125" bestFit="1" customWidth="1"/>
    <col min="32" max="34" width="10.42578125" bestFit="1" customWidth="1"/>
    <col min="35" max="35" width="9.42578125" bestFit="1" customWidth="1"/>
    <col min="36" max="38" width="10.42578125" bestFit="1" customWidth="1"/>
    <col min="39" max="39" width="9.42578125" bestFit="1" customWidth="1"/>
    <col min="40" max="41" width="10.42578125" bestFit="1" customWidth="1"/>
    <col min="42" max="42" width="9.42578125" bestFit="1" customWidth="1"/>
    <col min="43" max="44" width="10.42578125" bestFit="1" customWidth="1"/>
    <col min="45" max="45" width="12.5703125" bestFit="1" customWidth="1"/>
    <col min="46" max="47" width="10.42578125" bestFit="1" customWidth="1"/>
    <col min="48" max="48" width="9.42578125" bestFit="1" customWidth="1"/>
    <col min="49" max="51" width="10.42578125" bestFit="1" customWidth="1"/>
    <col min="52" max="52" width="9.42578125" bestFit="1" customWidth="1"/>
    <col min="53" max="55" width="10.42578125" bestFit="1" customWidth="1"/>
    <col min="56" max="56" width="12.5703125" bestFit="1" customWidth="1"/>
  </cols>
  <sheetData>
    <row r="10" spans="2:45" x14ac:dyDescent="0.25">
      <c r="B10" s="58" t="s">
        <v>177</v>
      </c>
      <c r="C10" s="58" t="s">
        <v>158</v>
      </c>
    </row>
    <row r="11" spans="2:45" ht="18.75" x14ac:dyDescent="0.3">
      <c r="C11" s="113" t="s">
        <v>180</v>
      </c>
      <c r="D11" s="113"/>
      <c r="E11" s="113"/>
      <c r="F11" s="113" t="s">
        <v>194</v>
      </c>
      <c r="G11" s="113"/>
      <c r="H11" s="113"/>
      <c r="I11" s="113" t="s">
        <v>195</v>
      </c>
      <c r="J11" s="113"/>
      <c r="K11" s="113"/>
      <c r="L11" s="113" t="s">
        <v>196</v>
      </c>
      <c r="M11" s="113"/>
      <c r="N11" s="113"/>
      <c r="O11" s="113" t="s">
        <v>54</v>
      </c>
      <c r="P11" s="113"/>
      <c r="Q11" s="113"/>
      <c r="R11" s="113"/>
      <c r="S11" s="113" t="s">
        <v>55</v>
      </c>
      <c r="T11" s="113"/>
      <c r="U11" s="113"/>
      <c r="V11" s="113"/>
      <c r="W11" s="113" t="s">
        <v>197</v>
      </c>
      <c r="X11" s="113"/>
      <c r="Y11" s="113"/>
      <c r="Z11" s="113"/>
      <c r="AA11" s="113" t="s">
        <v>198</v>
      </c>
      <c r="AB11" s="113"/>
      <c r="AC11" s="113"/>
      <c r="AD11" s="113"/>
      <c r="AE11" s="113" t="s">
        <v>199</v>
      </c>
      <c r="AF11" s="113"/>
      <c r="AG11" s="113"/>
      <c r="AH11" s="113"/>
      <c r="AI11" s="113" t="s">
        <v>200</v>
      </c>
      <c r="AJ11" s="113"/>
      <c r="AK11" s="113"/>
      <c r="AL11" s="113"/>
      <c r="AM11" s="113" t="s">
        <v>201</v>
      </c>
      <c r="AN11" s="113"/>
      <c r="AO11" s="113"/>
      <c r="AP11" s="113" t="s">
        <v>202</v>
      </c>
      <c r="AQ11" s="113"/>
      <c r="AR11" s="113"/>
      <c r="AS11" t="s">
        <v>156</v>
      </c>
    </row>
    <row r="12" spans="2:45" ht="18.75" x14ac:dyDescent="0.3">
      <c r="B12" s="58" t="s">
        <v>173</v>
      </c>
      <c r="C12" s="113" t="s">
        <v>174</v>
      </c>
      <c r="D12" s="113" t="s">
        <v>175</v>
      </c>
      <c r="E12" s="113" t="s">
        <v>176</v>
      </c>
      <c r="F12" s="113" t="s">
        <v>174</v>
      </c>
      <c r="G12" s="113" t="s">
        <v>175</v>
      </c>
      <c r="H12" s="113" t="s">
        <v>176</v>
      </c>
      <c r="I12" s="113" t="s">
        <v>174</v>
      </c>
      <c r="J12" s="113" t="s">
        <v>175</v>
      </c>
      <c r="K12" s="113" t="s">
        <v>176</v>
      </c>
      <c r="L12" s="113" t="s">
        <v>174</v>
      </c>
      <c r="M12" s="113" t="s">
        <v>175</v>
      </c>
      <c r="N12" s="113" t="s">
        <v>176</v>
      </c>
      <c r="O12" t="s">
        <v>184</v>
      </c>
      <c r="P12" s="113" t="s">
        <v>174</v>
      </c>
      <c r="Q12" s="113" t="s">
        <v>175</v>
      </c>
      <c r="R12" s="113" t="s">
        <v>176</v>
      </c>
      <c r="S12" t="s">
        <v>184</v>
      </c>
      <c r="T12" s="113" t="s">
        <v>174</v>
      </c>
      <c r="U12" s="113" t="s">
        <v>175</v>
      </c>
      <c r="V12" s="113" t="s">
        <v>176</v>
      </c>
      <c r="W12" t="s">
        <v>184</v>
      </c>
      <c r="X12" s="113" t="s">
        <v>174</v>
      </c>
      <c r="Y12" s="113" t="s">
        <v>175</v>
      </c>
      <c r="Z12" s="113" t="s">
        <v>176</v>
      </c>
      <c r="AA12" t="s">
        <v>184</v>
      </c>
      <c r="AB12" s="113" t="s">
        <v>174</v>
      </c>
      <c r="AC12" s="113" t="s">
        <v>175</v>
      </c>
      <c r="AD12" s="113" t="s">
        <v>176</v>
      </c>
      <c r="AE12" t="s">
        <v>184</v>
      </c>
      <c r="AF12" s="113" t="s">
        <v>174</v>
      </c>
      <c r="AG12" s="113" t="s">
        <v>175</v>
      </c>
      <c r="AH12" s="113" t="s">
        <v>176</v>
      </c>
      <c r="AI12" t="s">
        <v>184</v>
      </c>
      <c r="AJ12" s="113" t="s">
        <v>174</v>
      </c>
      <c r="AK12" s="113" t="s">
        <v>175</v>
      </c>
      <c r="AL12" s="113" t="s">
        <v>176</v>
      </c>
      <c r="AM12" t="s">
        <v>184</v>
      </c>
      <c r="AN12" s="113" t="s">
        <v>174</v>
      </c>
      <c r="AO12" s="113" t="s">
        <v>175</v>
      </c>
      <c r="AP12" t="s">
        <v>184</v>
      </c>
      <c r="AQ12" s="113" t="s">
        <v>174</v>
      </c>
      <c r="AR12" s="113" t="s">
        <v>175</v>
      </c>
    </row>
    <row r="13" spans="2:45" x14ac:dyDescent="0.25">
      <c r="B13" s="90" t="s">
        <v>28</v>
      </c>
      <c r="C13" s="61">
        <v>9920</v>
      </c>
      <c r="D13" s="61"/>
      <c r="E13" s="61"/>
      <c r="F13" s="61">
        <v>9971</v>
      </c>
      <c r="G13" s="61"/>
      <c r="H13" s="61"/>
      <c r="I13" s="61">
        <v>10022</v>
      </c>
      <c r="J13" s="61"/>
      <c r="K13" s="61"/>
      <c r="L13" s="61">
        <v>10073</v>
      </c>
      <c r="M13" s="61"/>
      <c r="N13" s="61"/>
      <c r="O13" s="61">
        <v>9512</v>
      </c>
      <c r="P13" s="61">
        <v>10124</v>
      </c>
      <c r="Q13" s="61"/>
      <c r="R13" s="61"/>
      <c r="S13" s="61">
        <v>9563</v>
      </c>
      <c r="T13" s="61">
        <v>10175</v>
      </c>
      <c r="U13" s="61"/>
      <c r="V13" s="61"/>
      <c r="W13" s="61">
        <v>9614</v>
      </c>
      <c r="X13" s="61">
        <v>10226</v>
      </c>
      <c r="Y13" s="61"/>
      <c r="Z13" s="61"/>
      <c r="AA13" s="61">
        <v>9665</v>
      </c>
      <c r="AB13" s="61">
        <v>10277</v>
      </c>
      <c r="AC13" s="61"/>
      <c r="AD13" s="61"/>
      <c r="AE13" s="61">
        <v>9716</v>
      </c>
      <c r="AF13" s="61">
        <v>10328</v>
      </c>
      <c r="AG13" s="61"/>
      <c r="AH13" s="61"/>
      <c r="AI13" s="61">
        <v>9767</v>
      </c>
      <c r="AJ13" s="61">
        <v>10379</v>
      </c>
      <c r="AK13" s="61"/>
      <c r="AL13" s="61"/>
      <c r="AM13" s="61">
        <v>9818</v>
      </c>
      <c r="AN13" s="61"/>
      <c r="AO13" s="61"/>
      <c r="AP13" s="61">
        <v>9869</v>
      </c>
      <c r="AQ13" s="61"/>
      <c r="AR13" s="61"/>
      <c r="AS13" s="61">
        <v>179019</v>
      </c>
    </row>
    <row r="14" spans="2:45" x14ac:dyDescent="0.25">
      <c r="B14" s="90" t="s">
        <v>13</v>
      </c>
      <c r="C14" s="61"/>
      <c r="D14" s="61">
        <v>10532</v>
      </c>
      <c r="E14" s="61">
        <v>11144</v>
      </c>
      <c r="F14" s="61"/>
      <c r="G14" s="61">
        <v>10583</v>
      </c>
      <c r="H14" s="61">
        <v>11195</v>
      </c>
      <c r="I14" s="61"/>
      <c r="J14" s="61">
        <v>10634</v>
      </c>
      <c r="K14" s="61">
        <v>11246</v>
      </c>
      <c r="L14" s="61"/>
      <c r="M14" s="61">
        <v>10685</v>
      </c>
      <c r="N14" s="61">
        <v>11297</v>
      </c>
      <c r="O14" s="61"/>
      <c r="P14" s="61"/>
      <c r="Q14" s="61">
        <v>10736</v>
      </c>
      <c r="R14" s="61">
        <v>11348</v>
      </c>
      <c r="S14" s="61"/>
      <c r="T14" s="61"/>
      <c r="U14" s="61">
        <v>10787</v>
      </c>
      <c r="V14" s="61">
        <v>11399</v>
      </c>
      <c r="W14" s="61"/>
      <c r="X14" s="61"/>
      <c r="Y14" s="61">
        <v>10838</v>
      </c>
      <c r="Z14" s="61">
        <v>11450</v>
      </c>
      <c r="AA14" s="61"/>
      <c r="AB14" s="61"/>
      <c r="AC14" s="61">
        <v>10889</v>
      </c>
      <c r="AD14" s="61">
        <v>11501</v>
      </c>
      <c r="AE14" s="61"/>
      <c r="AF14" s="61"/>
      <c r="AG14" s="61">
        <v>10940</v>
      </c>
      <c r="AH14" s="61">
        <v>11552</v>
      </c>
      <c r="AI14" s="61"/>
      <c r="AJ14" s="61"/>
      <c r="AK14" s="61">
        <v>10991</v>
      </c>
      <c r="AL14" s="61">
        <v>11603</v>
      </c>
      <c r="AM14" s="61"/>
      <c r="AN14" s="61">
        <v>10430</v>
      </c>
      <c r="AO14" s="61">
        <v>11042</v>
      </c>
      <c r="AP14" s="61"/>
      <c r="AQ14" s="61">
        <v>10481</v>
      </c>
      <c r="AR14" s="61">
        <v>11093</v>
      </c>
      <c r="AS14" s="61">
        <v>264396</v>
      </c>
    </row>
    <row r="15" spans="2:45" x14ac:dyDescent="0.25">
      <c r="B15" s="90" t="s">
        <v>178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>
        <v>852</v>
      </c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>
        <v>852</v>
      </c>
    </row>
    <row r="16" spans="2:45" x14ac:dyDescent="0.25">
      <c r="B16" s="83" t="s">
        <v>156</v>
      </c>
      <c r="C16" s="61">
        <v>9920</v>
      </c>
      <c r="D16" s="61">
        <v>10532</v>
      </c>
      <c r="E16" s="61">
        <v>11144</v>
      </c>
      <c r="F16" s="61">
        <v>9971</v>
      </c>
      <c r="G16" s="61">
        <v>10583</v>
      </c>
      <c r="H16" s="61">
        <v>11195</v>
      </c>
      <c r="I16" s="61">
        <v>10022</v>
      </c>
      <c r="J16" s="61">
        <v>10634</v>
      </c>
      <c r="K16" s="61">
        <v>11246</v>
      </c>
      <c r="L16" s="61">
        <v>10073</v>
      </c>
      <c r="M16" s="61">
        <v>10685</v>
      </c>
      <c r="N16" s="61">
        <v>11297</v>
      </c>
      <c r="O16" s="61">
        <v>10364</v>
      </c>
      <c r="P16" s="61">
        <v>10124</v>
      </c>
      <c r="Q16" s="61">
        <v>10736</v>
      </c>
      <c r="R16" s="61">
        <v>11348</v>
      </c>
      <c r="S16" s="61">
        <v>9563</v>
      </c>
      <c r="T16" s="61">
        <v>10175</v>
      </c>
      <c r="U16" s="61">
        <v>10787</v>
      </c>
      <c r="V16" s="61">
        <v>11399</v>
      </c>
      <c r="W16" s="61">
        <v>9614</v>
      </c>
      <c r="X16" s="61">
        <v>10226</v>
      </c>
      <c r="Y16" s="61">
        <v>10838</v>
      </c>
      <c r="Z16" s="61">
        <v>11450</v>
      </c>
      <c r="AA16" s="61">
        <v>9665</v>
      </c>
      <c r="AB16" s="61">
        <v>10277</v>
      </c>
      <c r="AC16" s="61">
        <v>10889</v>
      </c>
      <c r="AD16" s="61">
        <v>11501</v>
      </c>
      <c r="AE16" s="61">
        <v>9716</v>
      </c>
      <c r="AF16" s="61">
        <v>10328</v>
      </c>
      <c r="AG16" s="61">
        <v>10940</v>
      </c>
      <c r="AH16" s="61">
        <v>11552</v>
      </c>
      <c r="AI16" s="61">
        <v>9767</v>
      </c>
      <c r="AJ16" s="61">
        <v>10379</v>
      </c>
      <c r="AK16" s="61">
        <v>10991</v>
      </c>
      <c r="AL16" s="61">
        <v>11603</v>
      </c>
      <c r="AM16" s="61">
        <v>9818</v>
      </c>
      <c r="AN16" s="61">
        <v>10430</v>
      </c>
      <c r="AO16" s="61">
        <v>11042</v>
      </c>
      <c r="AP16" s="61">
        <v>9869</v>
      </c>
      <c r="AQ16" s="61">
        <v>10481</v>
      </c>
      <c r="AR16" s="61">
        <v>11093</v>
      </c>
      <c r="AS16" s="61">
        <v>444267</v>
      </c>
    </row>
  </sheetData>
  <pageMargins left="0.7" right="0.7" top="0.75" bottom="0.75" header="0.3" footer="0.3"/>
  <pageSetup paperSize="9" orientation="portrait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2368B-9859-4A00-AE11-33E852D793F3}">
  <sheetPr codeName="Feuil19"/>
  <dimension ref="B1:EA12"/>
  <sheetViews>
    <sheetView workbookViewId="0">
      <selection activeCell="I9" sqref="I9"/>
    </sheetView>
  </sheetViews>
  <sheetFormatPr baseColWidth="10" defaultRowHeight="15" x14ac:dyDescent="0.25"/>
  <cols>
    <col min="1" max="1" width="8" style="108" customWidth="1"/>
    <col min="2" max="2" width="21" style="108" bestFit="1" customWidth="1"/>
    <col min="3" max="3" width="23.85546875" style="108" bestFit="1" customWidth="1"/>
    <col min="4" max="4" width="24.5703125" style="108" bestFit="1" customWidth="1"/>
    <col min="5" max="5" width="21.85546875" style="108" bestFit="1" customWidth="1"/>
    <col min="6" max="6" width="23.7109375" style="108" bestFit="1" customWidth="1"/>
    <col min="7" max="7" width="29.5703125" style="108" bestFit="1" customWidth="1"/>
    <col min="8" max="8" width="26.85546875" style="108" bestFit="1" customWidth="1"/>
    <col min="9" max="9" width="18.7109375" style="108" bestFit="1" customWidth="1"/>
    <col min="10" max="10" width="24.5703125" style="108" bestFit="1" customWidth="1"/>
    <col min="11" max="11" width="21.85546875" style="108" bestFit="1" customWidth="1"/>
    <col min="12" max="12" width="18.7109375" style="108" bestFit="1" customWidth="1"/>
    <col min="13" max="13" width="24.5703125" style="108" bestFit="1" customWidth="1"/>
    <col min="14" max="14" width="21.85546875" style="108" bestFit="1" customWidth="1"/>
    <col min="15" max="15" width="18.7109375" style="108" bestFit="1" customWidth="1"/>
    <col min="16" max="16" width="24.5703125" style="108" bestFit="1" customWidth="1"/>
    <col min="17" max="17" width="21.85546875" style="108" bestFit="1" customWidth="1"/>
    <col min="18" max="18" width="18.7109375" style="108" bestFit="1" customWidth="1"/>
    <col min="19" max="19" width="24.5703125" style="108" bestFit="1" customWidth="1"/>
    <col min="20" max="20" width="21.85546875" style="108" bestFit="1" customWidth="1"/>
    <col min="21" max="21" width="18.7109375" style="108" bestFit="1" customWidth="1"/>
    <col min="22" max="22" width="24.5703125" style="108" bestFit="1" customWidth="1"/>
    <col min="23" max="23" width="21.85546875" style="108" bestFit="1" customWidth="1"/>
    <col min="24" max="24" width="18.7109375" style="108" bestFit="1" customWidth="1"/>
    <col min="25" max="25" width="24.5703125" style="108" bestFit="1" customWidth="1"/>
    <col min="26" max="26" width="21.85546875" style="108" bestFit="1" customWidth="1"/>
    <col min="27" max="27" width="18.7109375" style="108" bestFit="1" customWidth="1"/>
    <col min="28" max="28" width="24.5703125" style="108" bestFit="1" customWidth="1"/>
    <col min="29" max="29" width="21.85546875" style="108" bestFit="1" customWidth="1"/>
    <col min="30" max="30" width="18.7109375" style="108" bestFit="1" customWidth="1"/>
    <col min="31" max="31" width="24.5703125" style="108" bestFit="1" customWidth="1"/>
    <col min="32" max="32" width="21.85546875" style="108" bestFit="1" customWidth="1"/>
    <col min="33" max="33" width="18.7109375" style="108" bestFit="1" customWidth="1"/>
    <col min="34" max="34" width="24.5703125" style="108" bestFit="1" customWidth="1"/>
    <col min="35" max="35" width="21.85546875" style="108" bestFit="1" customWidth="1"/>
    <col min="36" max="36" width="18.7109375" style="108" bestFit="1" customWidth="1"/>
    <col min="37" max="37" width="24.5703125" style="108" bestFit="1" customWidth="1"/>
    <col min="38" max="38" width="21.85546875" style="108" bestFit="1" customWidth="1"/>
    <col min="39" max="39" width="18.7109375" style="108" bestFit="1" customWidth="1"/>
    <col min="40" max="40" width="24.5703125" style="108" bestFit="1" customWidth="1"/>
    <col min="41" max="41" width="21.85546875" style="108" bestFit="1" customWidth="1"/>
    <col min="42" max="42" width="18.7109375" style="108" bestFit="1" customWidth="1"/>
    <col min="43" max="43" width="24.5703125" style="108" bestFit="1" customWidth="1"/>
    <col min="44" max="44" width="21.85546875" style="108" bestFit="1" customWidth="1"/>
    <col min="45" max="45" width="18.7109375" style="108" bestFit="1" customWidth="1"/>
    <col min="46" max="46" width="24.5703125" style="108" bestFit="1" customWidth="1"/>
    <col min="47" max="47" width="21.85546875" style="108" bestFit="1" customWidth="1"/>
    <col min="48" max="48" width="18.7109375" style="108" bestFit="1" customWidth="1"/>
    <col min="49" max="49" width="24.5703125" style="108" bestFit="1" customWidth="1"/>
    <col min="50" max="50" width="21.85546875" style="108" bestFit="1" customWidth="1"/>
    <col min="51" max="51" width="18.7109375" style="108" bestFit="1" customWidth="1"/>
    <col min="52" max="52" width="24.5703125" style="108" bestFit="1" customWidth="1"/>
    <col min="53" max="53" width="21.85546875" style="108" bestFit="1" customWidth="1"/>
    <col min="54" max="54" width="18.7109375" style="108" bestFit="1" customWidth="1"/>
    <col min="55" max="55" width="24.5703125" style="108" bestFit="1" customWidth="1"/>
    <col min="56" max="56" width="21.85546875" style="108" bestFit="1" customWidth="1"/>
    <col min="57" max="57" width="18.7109375" style="108" bestFit="1" customWidth="1"/>
    <col min="58" max="58" width="24.5703125" style="108" bestFit="1" customWidth="1"/>
    <col min="59" max="59" width="21.85546875" style="108" bestFit="1" customWidth="1"/>
    <col min="60" max="60" width="18.7109375" style="108" bestFit="1" customWidth="1"/>
    <col min="61" max="61" width="24.5703125" style="108" bestFit="1" customWidth="1"/>
    <col min="62" max="62" width="21.85546875" style="108" bestFit="1" customWidth="1"/>
    <col min="63" max="63" width="18.7109375" style="108" bestFit="1" customWidth="1"/>
    <col min="64" max="64" width="24.5703125" style="108" bestFit="1" customWidth="1"/>
    <col min="65" max="65" width="21.85546875" style="108" bestFit="1" customWidth="1"/>
    <col min="66" max="66" width="18.7109375" style="108" bestFit="1" customWidth="1"/>
    <col min="67" max="67" width="24.5703125" style="108" bestFit="1" customWidth="1"/>
    <col min="68" max="68" width="21.85546875" style="108" bestFit="1" customWidth="1"/>
    <col min="69" max="69" width="18.7109375" style="108" bestFit="1" customWidth="1"/>
    <col min="70" max="70" width="24.5703125" style="108" bestFit="1" customWidth="1"/>
    <col min="71" max="71" width="21.85546875" style="108" bestFit="1" customWidth="1"/>
    <col min="72" max="72" width="18.7109375" style="108" bestFit="1" customWidth="1"/>
    <col min="73" max="73" width="24.5703125" style="108" bestFit="1" customWidth="1"/>
    <col min="74" max="74" width="21.85546875" style="108" bestFit="1" customWidth="1"/>
    <col min="75" max="75" width="18.7109375" style="108" bestFit="1" customWidth="1"/>
    <col min="76" max="76" width="24.5703125" style="108" bestFit="1" customWidth="1"/>
    <col min="77" max="77" width="21.85546875" style="108" bestFit="1" customWidth="1"/>
    <col min="78" max="78" width="18.7109375" style="108" bestFit="1" customWidth="1"/>
    <col min="79" max="79" width="24.5703125" style="108" bestFit="1" customWidth="1"/>
    <col min="80" max="80" width="21.85546875" style="108" bestFit="1" customWidth="1"/>
    <col min="81" max="81" width="18.7109375" style="108" bestFit="1" customWidth="1"/>
    <col min="82" max="82" width="24.5703125" style="108" bestFit="1" customWidth="1"/>
    <col min="83" max="83" width="21.85546875" style="108" bestFit="1" customWidth="1"/>
    <col min="84" max="84" width="18.7109375" style="108" bestFit="1" customWidth="1"/>
    <col min="85" max="85" width="24.5703125" style="108" bestFit="1" customWidth="1"/>
    <col min="86" max="86" width="21.85546875" style="108" bestFit="1" customWidth="1"/>
    <col min="87" max="87" width="18.7109375" style="108" bestFit="1" customWidth="1"/>
    <col min="88" max="88" width="24.5703125" style="108" bestFit="1" customWidth="1"/>
    <col min="89" max="89" width="21.85546875" style="108" bestFit="1" customWidth="1"/>
    <col min="90" max="90" width="18.7109375" style="108" bestFit="1" customWidth="1"/>
    <col min="91" max="91" width="24.5703125" style="108" bestFit="1" customWidth="1"/>
    <col min="92" max="92" width="21.85546875" style="108" bestFit="1" customWidth="1"/>
    <col min="93" max="93" width="18.7109375" style="108" bestFit="1" customWidth="1"/>
    <col min="94" max="94" width="24.5703125" style="108" bestFit="1" customWidth="1"/>
    <col min="95" max="95" width="21.85546875" style="108" bestFit="1" customWidth="1"/>
    <col min="96" max="96" width="18.7109375" style="108" bestFit="1" customWidth="1"/>
    <col min="97" max="97" width="24.5703125" style="108" bestFit="1" customWidth="1"/>
    <col min="98" max="98" width="21.85546875" style="108" bestFit="1" customWidth="1"/>
    <col min="99" max="99" width="18.7109375" style="108" bestFit="1" customWidth="1"/>
    <col min="100" max="100" width="24.5703125" style="108" bestFit="1" customWidth="1"/>
    <col min="101" max="101" width="21.85546875" style="108" bestFit="1" customWidth="1"/>
    <col min="102" max="102" width="18.7109375" style="108" bestFit="1" customWidth="1"/>
    <col min="103" max="103" width="24.5703125" style="108" bestFit="1" customWidth="1"/>
    <col min="104" max="104" width="21.85546875" style="108" bestFit="1" customWidth="1"/>
    <col min="105" max="105" width="18.7109375" style="108" bestFit="1" customWidth="1"/>
    <col min="106" max="106" width="24.5703125" style="108" bestFit="1" customWidth="1"/>
    <col min="107" max="107" width="21.85546875" style="108" bestFit="1" customWidth="1"/>
    <col min="108" max="108" width="18.7109375" style="108" bestFit="1" customWidth="1"/>
    <col min="109" max="109" width="24.5703125" style="108" bestFit="1" customWidth="1"/>
    <col min="110" max="110" width="21.85546875" style="108" bestFit="1" customWidth="1"/>
    <col min="111" max="111" width="18.7109375" style="108" bestFit="1" customWidth="1"/>
    <col min="112" max="112" width="24.5703125" style="108" bestFit="1" customWidth="1"/>
    <col min="113" max="113" width="21.85546875" style="108" bestFit="1" customWidth="1"/>
    <col min="114" max="114" width="18.7109375" style="108" bestFit="1" customWidth="1"/>
    <col min="115" max="115" width="24.5703125" style="108" bestFit="1" customWidth="1"/>
    <col min="116" max="116" width="21.85546875" style="108" bestFit="1" customWidth="1"/>
    <col min="117" max="117" width="18.7109375" style="108" bestFit="1" customWidth="1"/>
    <col min="118" max="118" width="24.5703125" style="108" bestFit="1" customWidth="1"/>
    <col min="119" max="119" width="21.85546875" style="108" bestFit="1" customWidth="1"/>
    <col min="120" max="120" width="18.7109375" style="108" bestFit="1" customWidth="1"/>
    <col min="121" max="121" width="24.5703125" style="108" bestFit="1" customWidth="1"/>
    <col min="122" max="122" width="21.85546875" style="108" bestFit="1" customWidth="1"/>
    <col min="123" max="123" width="18.7109375" style="108" bestFit="1" customWidth="1"/>
    <col min="124" max="124" width="24.5703125" style="108" bestFit="1" customWidth="1"/>
    <col min="125" max="125" width="21.85546875" style="108" bestFit="1" customWidth="1"/>
    <col min="126" max="126" width="18.7109375" style="108" bestFit="1" customWidth="1"/>
    <col min="127" max="127" width="24.5703125" style="108" bestFit="1" customWidth="1"/>
    <col min="128" max="128" width="21.85546875" style="108" bestFit="1" customWidth="1"/>
    <col min="129" max="129" width="23.7109375" style="108" bestFit="1" customWidth="1"/>
    <col min="130" max="130" width="29.5703125" style="108" bestFit="1" customWidth="1"/>
    <col min="131" max="131" width="26.85546875" style="108" bestFit="1" customWidth="1"/>
    <col min="132" max="16384" width="11.42578125" style="108"/>
  </cols>
  <sheetData>
    <row r="1" spans="2:131" ht="15" customHeight="1" x14ac:dyDescent="0.25">
      <c r="B1" s="119" t="s">
        <v>186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06"/>
      <c r="N1" s="107"/>
      <c r="O1" s="107"/>
      <c r="P1" s="107"/>
      <c r="Q1" s="107"/>
      <c r="R1" s="107"/>
      <c r="S1" s="107"/>
      <c r="T1" s="107"/>
    </row>
    <row r="2" spans="2:131" ht="15" customHeight="1" x14ac:dyDescent="0.25"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06"/>
      <c r="N2" s="107"/>
      <c r="O2" s="107"/>
      <c r="P2" s="107"/>
      <c r="Q2" s="107"/>
      <c r="R2" s="107"/>
      <c r="S2" s="107"/>
      <c r="T2" s="107"/>
    </row>
    <row r="3" spans="2:131" ht="15.75" customHeight="1" x14ac:dyDescent="0.25"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06"/>
      <c r="N3" s="107"/>
      <c r="O3" s="107"/>
      <c r="P3" s="107"/>
      <c r="Q3" s="107"/>
      <c r="R3" s="107"/>
      <c r="S3" s="107"/>
      <c r="T3" s="107"/>
    </row>
    <row r="4" spans="2:131" x14ac:dyDescent="0.25">
      <c r="C4" s="108" t="s">
        <v>158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</row>
    <row r="5" spans="2:131" x14ac:dyDescent="0.25">
      <c r="C5" s="109" t="s">
        <v>54</v>
      </c>
      <c r="F5" s="109" t="s">
        <v>189</v>
      </c>
      <c r="G5" s="109" t="s">
        <v>190</v>
      </c>
      <c r="H5" s="109" t="s">
        <v>193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</row>
    <row r="6" spans="2:131" x14ac:dyDescent="0.25">
      <c r="C6" s="108" t="s">
        <v>184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</row>
    <row r="7" spans="2:131" x14ac:dyDescent="0.25">
      <c r="B7" s="108" t="s">
        <v>173</v>
      </c>
      <c r="C7" s="108" t="s">
        <v>177</v>
      </c>
      <c r="D7" s="108" t="s">
        <v>191</v>
      </c>
      <c r="E7" s="108" t="s">
        <v>192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</row>
    <row r="8" spans="2:131" x14ac:dyDescent="0.25">
      <c r="B8" s="110" t="s">
        <v>122</v>
      </c>
      <c r="C8" s="111">
        <v>852</v>
      </c>
      <c r="D8" s="111">
        <v>1</v>
      </c>
      <c r="E8" s="111">
        <v>1</v>
      </c>
      <c r="F8" s="111">
        <v>852</v>
      </c>
      <c r="G8" s="111">
        <v>1</v>
      </c>
      <c r="H8" s="111">
        <v>1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</row>
    <row r="9" spans="2:131" x14ac:dyDescent="0.25">
      <c r="B9" s="112" t="s">
        <v>4</v>
      </c>
      <c r="C9" s="111">
        <v>852</v>
      </c>
      <c r="D9" s="111">
        <v>1</v>
      </c>
      <c r="E9" s="111">
        <v>1</v>
      </c>
      <c r="F9" s="111">
        <v>852</v>
      </c>
      <c r="G9" s="111">
        <v>1</v>
      </c>
      <c r="H9" s="111">
        <v>1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</row>
    <row r="10" spans="2:131" x14ac:dyDescent="0.25">
      <c r="B10" s="110" t="s">
        <v>98</v>
      </c>
      <c r="C10" s="111">
        <v>9512</v>
      </c>
      <c r="D10" s="111">
        <v>1</v>
      </c>
      <c r="E10" s="111">
        <v>1</v>
      </c>
      <c r="F10" s="111">
        <v>9512</v>
      </c>
      <c r="G10" s="111">
        <v>1</v>
      </c>
      <c r="H10" s="111">
        <v>1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</row>
    <row r="11" spans="2:131" x14ac:dyDescent="0.25">
      <c r="B11" s="112" t="s">
        <v>185</v>
      </c>
      <c r="C11" s="111">
        <v>9512</v>
      </c>
      <c r="D11" s="111">
        <v>1</v>
      </c>
      <c r="E11" s="111">
        <v>1</v>
      </c>
      <c r="F11" s="111">
        <v>9512</v>
      </c>
      <c r="G11" s="111">
        <v>1</v>
      </c>
      <c r="H11" s="111">
        <v>1</v>
      </c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</row>
    <row r="12" spans="2:131" x14ac:dyDescent="0.25">
      <c r="B12" s="110" t="s">
        <v>156</v>
      </c>
      <c r="C12" s="111">
        <v>10364</v>
      </c>
      <c r="D12" s="111">
        <v>2</v>
      </c>
      <c r="E12" s="111">
        <v>2</v>
      </c>
      <c r="F12" s="111">
        <v>10364</v>
      </c>
      <c r="G12" s="111">
        <v>2</v>
      </c>
      <c r="H12" s="111">
        <v>2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</row>
  </sheetData>
  <mergeCells count="1">
    <mergeCell ref="B1:L3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6113-94E4-4353-BF41-9409575E78F0}">
  <sheetPr codeName="Feuil2"/>
  <dimension ref="A2:L47"/>
  <sheetViews>
    <sheetView topLeftCell="A9" zoomScale="80" zoomScaleNormal="80" workbookViewId="0">
      <selection activeCell="I40" sqref="I40"/>
    </sheetView>
  </sheetViews>
  <sheetFormatPr baseColWidth="10" defaultRowHeight="15" x14ac:dyDescent="0.25"/>
  <cols>
    <col min="1" max="1" width="19.5703125" style="31" bestFit="1" customWidth="1"/>
    <col min="2" max="2" width="18" bestFit="1" customWidth="1"/>
    <col min="3" max="3" width="31.5703125" bestFit="1" customWidth="1"/>
    <col min="4" max="4" width="31.5703125" customWidth="1"/>
    <col min="5" max="5" width="22.7109375" bestFit="1" customWidth="1"/>
    <col min="6" max="6" width="22.7109375" customWidth="1"/>
    <col min="7" max="7" width="5.140625" customWidth="1"/>
    <col min="8" max="8" width="16" bestFit="1" customWidth="1"/>
    <col min="9" max="9" width="28.5703125" customWidth="1"/>
    <col min="10" max="10" width="35.5703125" bestFit="1" customWidth="1"/>
    <col min="11" max="11" width="24.140625" bestFit="1" customWidth="1"/>
    <col min="12" max="12" width="22.140625" bestFit="1" customWidth="1"/>
  </cols>
  <sheetData>
    <row r="2" spans="1:12" ht="26.25" x14ac:dyDescent="0.4">
      <c r="A2" s="125" t="s">
        <v>130</v>
      </c>
      <c r="B2" s="125"/>
      <c r="C2" s="125"/>
      <c r="D2" s="125"/>
      <c r="E2" s="125"/>
      <c r="F2" s="125"/>
      <c r="H2" s="124" t="s">
        <v>129</v>
      </c>
      <c r="I2" s="124"/>
      <c r="J2" s="124"/>
      <c r="K2" s="124"/>
      <c r="L2" s="124"/>
    </row>
    <row r="4" spans="1:12" ht="15.75" x14ac:dyDescent="0.25">
      <c r="A4" s="55" t="s">
        <v>127</v>
      </c>
      <c r="B4" s="56" t="s">
        <v>113</v>
      </c>
      <c r="C4" s="56" t="s">
        <v>114</v>
      </c>
      <c r="D4" s="56" t="s">
        <v>124</v>
      </c>
      <c r="E4" s="56" t="s">
        <v>112</v>
      </c>
      <c r="F4" s="57" t="s">
        <v>128</v>
      </c>
      <c r="H4" s="36" t="s">
        <v>115</v>
      </c>
      <c r="I4" s="37" t="s">
        <v>119</v>
      </c>
      <c r="J4" s="37" t="s">
        <v>123</v>
      </c>
      <c r="K4" s="37" t="s">
        <v>112</v>
      </c>
      <c r="L4" s="37" t="s">
        <v>125</v>
      </c>
    </row>
    <row r="5" spans="1:12" x14ac:dyDescent="0.25">
      <c r="A5" s="56">
        <v>43958</v>
      </c>
      <c r="B5" s="88" t="s">
        <v>98</v>
      </c>
      <c r="C5" s="88" t="s">
        <v>28</v>
      </c>
      <c r="D5" s="88"/>
      <c r="E5" s="88" t="s">
        <v>0</v>
      </c>
      <c r="F5" s="89">
        <v>9512</v>
      </c>
    </row>
    <row r="6" spans="1:12" x14ac:dyDescent="0.25">
      <c r="A6" s="56">
        <v>43989</v>
      </c>
      <c r="B6" s="88" t="s">
        <v>98</v>
      </c>
      <c r="C6" s="88" t="s">
        <v>28</v>
      </c>
      <c r="D6" s="88"/>
      <c r="E6" s="88" t="s">
        <v>0</v>
      </c>
      <c r="F6" s="89">
        <v>9563</v>
      </c>
      <c r="H6" t="s">
        <v>4</v>
      </c>
      <c r="I6" t="s">
        <v>98</v>
      </c>
      <c r="J6" s="51" t="s">
        <v>101</v>
      </c>
      <c r="K6" t="s">
        <v>0</v>
      </c>
      <c r="L6" t="s">
        <v>126</v>
      </c>
    </row>
    <row r="7" spans="1:12" x14ac:dyDescent="0.25">
      <c r="A7" s="56">
        <v>44019</v>
      </c>
      <c r="B7" s="88" t="s">
        <v>98</v>
      </c>
      <c r="C7" s="88" t="s">
        <v>28</v>
      </c>
      <c r="D7" s="88"/>
      <c r="E7" s="88" t="s">
        <v>0</v>
      </c>
      <c r="F7" s="89">
        <v>9614</v>
      </c>
      <c r="H7" t="s">
        <v>116</v>
      </c>
      <c r="I7" t="s">
        <v>120</v>
      </c>
      <c r="J7" s="51" t="s">
        <v>13</v>
      </c>
      <c r="K7" t="s">
        <v>1</v>
      </c>
    </row>
    <row r="8" spans="1:12" x14ac:dyDescent="0.25">
      <c r="A8" s="56">
        <v>44050</v>
      </c>
      <c r="B8" s="88" t="s">
        <v>98</v>
      </c>
      <c r="C8" s="88" t="s">
        <v>28</v>
      </c>
      <c r="D8" s="88"/>
      <c r="E8" s="88" t="s">
        <v>0</v>
      </c>
      <c r="F8" s="89">
        <v>9665</v>
      </c>
      <c r="H8" t="s">
        <v>117</v>
      </c>
      <c r="I8" t="s">
        <v>121</v>
      </c>
      <c r="J8" s="51" t="s">
        <v>178</v>
      </c>
      <c r="K8" t="s">
        <v>2</v>
      </c>
    </row>
    <row r="9" spans="1:12" x14ac:dyDescent="0.25">
      <c r="A9" s="56">
        <v>44081</v>
      </c>
      <c r="B9" s="88" t="s">
        <v>98</v>
      </c>
      <c r="C9" s="88" t="s">
        <v>28</v>
      </c>
      <c r="D9" s="88"/>
      <c r="E9" s="88" t="s">
        <v>0</v>
      </c>
      <c r="F9" s="89">
        <v>9716</v>
      </c>
      <c r="H9" t="s">
        <v>118</v>
      </c>
      <c r="I9" t="s">
        <v>122</v>
      </c>
      <c r="J9" s="51" t="s">
        <v>179</v>
      </c>
      <c r="K9" t="s">
        <v>29</v>
      </c>
    </row>
    <row r="10" spans="1:12" x14ac:dyDescent="0.25">
      <c r="A10" s="56">
        <v>44111</v>
      </c>
      <c r="B10" s="88" t="s">
        <v>98</v>
      </c>
      <c r="C10" s="88" t="s">
        <v>28</v>
      </c>
      <c r="D10" s="88"/>
      <c r="E10" s="88" t="s">
        <v>0</v>
      </c>
      <c r="F10" s="89">
        <v>9767</v>
      </c>
      <c r="H10" t="s">
        <v>8</v>
      </c>
    </row>
    <row r="11" spans="1:12" x14ac:dyDescent="0.25">
      <c r="A11" s="56">
        <v>44142</v>
      </c>
      <c r="B11" s="88" t="s">
        <v>98</v>
      </c>
      <c r="C11" s="88" t="s">
        <v>28</v>
      </c>
      <c r="D11" s="88"/>
      <c r="E11" s="88" t="s">
        <v>0</v>
      </c>
      <c r="F11" s="89">
        <v>9818</v>
      </c>
    </row>
    <row r="12" spans="1:12" x14ac:dyDescent="0.25">
      <c r="A12" s="56">
        <v>44172</v>
      </c>
      <c r="B12" s="88" t="s">
        <v>98</v>
      </c>
      <c r="C12" s="88" t="s">
        <v>28</v>
      </c>
      <c r="D12" s="88"/>
      <c r="E12" s="88" t="s">
        <v>0</v>
      </c>
      <c r="F12" s="89">
        <v>9869</v>
      </c>
    </row>
    <row r="13" spans="1:12" x14ac:dyDescent="0.25">
      <c r="A13" s="56">
        <v>44203</v>
      </c>
      <c r="B13" s="88" t="s">
        <v>98</v>
      </c>
      <c r="C13" s="88" t="s">
        <v>28</v>
      </c>
      <c r="D13" s="88"/>
      <c r="E13" s="88" t="s">
        <v>0</v>
      </c>
      <c r="F13" s="89">
        <v>9920</v>
      </c>
    </row>
    <row r="14" spans="1:12" x14ac:dyDescent="0.25">
      <c r="A14" s="56">
        <v>44234</v>
      </c>
      <c r="B14" s="88" t="s">
        <v>98</v>
      </c>
      <c r="C14" s="88" t="s">
        <v>28</v>
      </c>
      <c r="D14" s="88"/>
      <c r="E14" s="88" t="s">
        <v>0</v>
      </c>
      <c r="F14" s="89">
        <v>9971</v>
      </c>
    </row>
    <row r="15" spans="1:12" x14ac:dyDescent="0.25">
      <c r="A15" s="56">
        <v>44262</v>
      </c>
      <c r="B15" s="88" t="s">
        <v>98</v>
      </c>
      <c r="C15" s="88" t="s">
        <v>28</v>
      </c>
      <c r="D15" s="88"/>
      <c r="E15" s="88" t="s">
        <v>0</v>
      </c>
      <c r="F15" s="89">
        <v>10022</v>
      </c>
    </row>
    <row r="16" spans="1:12" x14ac:dyDescent="0.25">
      <c r="A16" s="56">
        <v>44293</v>
      </c>
      <c r="B16" s="88" t="s">
        <v>98</v>
      </c>
      <c r="C16" s="88" t="s">
        <v>28</v>
      </c>
      <c r="D16" s="88"/>
      <c r="E16" s="88" t="s">
        <v>0</v>
      </c>
      <c r="F16" s="89">
        <v>10073</v>
      </c>
    </row>
    <row r="17" spans="1:6" x14ac:dyDescent="0.25">
      <c r="A17" s="56">
        <v>44323</v>
      </c>
      <c r="B17" s="88" t="s">
        <v>98</v>
      </c>
      <c r="C17" s="88" t="s">
        <v>28</v>
      </c>
      <c r="D17" s="88"/>
      <c r="E17" s="88" t="s">
        <v>0</v>
      </c>
      <c r="F17" s="89">
        <v>10124</v>
      </c>
    </row>
    <row r="18" spans="1:6" x14ac:dyDescent="0.25">
      <c r="A18" s="56">
        <v>44354</v>
      </c>
      <c r="B18" s="88" t="s">
        <v>98</v>
      </c>
      <c r="C18" s="88" t="s">
        <v>28</v>
      </c>
      <c r="D18" s="88"/>
      <c r="E18" s="88" t="s">
        <v>0</v>
      </c>
      <c r="F18" s="89">
        <v>10175</v>
      </c>
    </row>
    <row r="19" spans="1:6" x14ac:dyDescent="0.25">
      <c r="A19" s="56">
        <v>44384</v>
      </c>
      <c r="B19" s="88" t="s">
        <v>98</v>
      </c>
      <c r="C19" s="88" t="s">
        <v>28</v>
      </c>
      <c r="D19" s="88"/>
      <c r="E19" s="88" t="s">
        <v>0</v>
      </c>
      <c r="F19" s="89">
        <v>10226</v>
      </c>
    </row>
    <row r="20" spans="1:6" x14ac:dyDescent="0.25">
      <c r="A20" s="56">
        <v>44415</v>
      </c>
      <c r="B20" s="88" t="s">
        <v>98</v>
      </c>
      <c r="C20" s="88" t="s">
        <v>28</v>
      </c>
      <c r="D20" s="88"/>
      <c r="E20" s="88" t="s">
        <v>0</v>
      </c>
      <c r="F20" s="89">
        <v>10277</v>
      </c>
    </row>
    <row r="21" spans="1:6" x14ac:dyDescent="0.25">
      <c r="A21" s="56">
        <v>44446</v>
      </c>
      <c r="B21" s="88" t="s">
        <v>98</v>
      </c>
      <c r="C21" s="88" t="s">
        <v>28</v>
      </c>
      <c r="D21" s="88"/>
      <c r="E21" s="88" t="s">
        <v>0</v>
      </c>
      <c r="F21" s="89">
        <v>10328</v>
      </c>
    </row>
    <row r="22" spans="1:6" x14ac:dyDescent="0.25">
      <c r="A22" s="56">
        <v>44476</v>
      </c>
      <c r="B22" s="88" t="s">
        <v>98</v>
      </c>
      <c r="C22" s="88" t="s">
        <v>28</v>
      </c>
      <c r="D22" s="88"/>
      <c r="E22" s="88" t="s">
        <v>0</v>
      </c>
      <c r="F22" s="89">
        <v>10379</v>
      </c>
    </row>
    <row r="23" spans="1:6" x14ac:dyDescent="0.25">
      <c r="A23" s="56">
        <v>44507</v>
      </c>
      <c r="B23" s="88" t="s">
        <v>98</v>
      </c>
      <c r="C23" s="88" t="s">
        <v>13</v>
      </c>
      <c r="D23" s="88"/>
      <c r="E23" s="88" t="s">
        <v>0</v>
      </c>
      <c r="F23" s="89">
        <v>10430</v>
      </c>
    </row>
    <row r="24" spans="1:6" x14ac:dyDescent="0.25">
      <c r="A24" s="56">
        <v>44537</v>
      </c>
      <c r="B24" s="88" t="s">
        <v>98</v>
      </c>
      <c r="C24" s="88" t="s">
        <v>13</v>
      </c>
      <c r="D24" s="88"/>
      <c r="E24" s="88" t="s">
        <v>0</v>
      </c>
      <c r="F24" s="89">
        <v>10481</v>
      </c>
    </row>
    <row r="25" spans="1:6" x14ac:dyDescent="0.25">
      <c r="A25" s="56">
        <v>44568</v>
      </c>
      <c r="B25" s="88" t="s">
        <v>98</v>
      </c>
      <c r="C25" s="88" t="s">
        <v>13</v>
      </c>
      <c r="D25" s="88"/>
      <c r="E25" s="88" t="s">
        <v>0</v>
      </c>
      <c r="F25" s="89">
        <v>10532</v>
      </c>
    </row>
    <row r="26" spans="1:6" x14ac:dyDescent="0.25">
      <c r="A26" s="56">
        <v>44599</v>
      </c>
      <c r="B26" s="88" t="s">
        <v>98</v>
      </c>
      <c r="C26" s="88" t="s">
        <v>13</v>
      </c>
      <c r="D26" s="88"/>
      <c r="E26" s="88" t="s">
        <v>0</v>
      </c>
      <c r="F26" s="89">
        <v>10583</v>
      </c>
    </row>
    <row r="27" spans="1:6" x14ac:dyDescent="0.25">
      <c r="A27" s="56">
        <v>44627</v>
      </c>
      <c r="B27" s="88" t="s">
        <v>98</v>
      </c>
      <c r="C27" s="88" t="s">
        <v>13</v>
      </c>
      <c r="D27" s="88"/>
      <c r="E27" s="88" t="s">
        <v>0</v>
      </c>
      <c r="F27" s="89">
        <v>10634</v>
      </c>
    </row>
    <row r="28" spans="1:6" x14ac:dyDescent="0.25">
      <c r="A28" s="56">
        <v>44658</v>
      </c>
      <c r="B28" s="88" t="s">
        <v>98</v>
      </c>
      <c r="C28" s="88" t="s">
        <v>13</v>
      </c>
      <c r="D28" s="88"/>
      <c r="E28" s="88" t="s">
        <v>0</v>
      </c>
      <c r="F28" s="89">
        <v>10685</v>
      </c>
    </row>
    <row r="29" spans="1:6" x14ac:dyDescent="0.25">
      <c r="A29" s="56">
        <v>44688</v>
      </c>
      <c r="B29" s="88" t="s">
        <v>98</v>
      </c>
      <c r="C29" s="88" t="s">
        <v>13</v>
      </c>
      <c r="D29" s="88"/>
      <c r="E29" s="88" t="s">
        <v>0</v>
      </c>
      <c r="F29" s="89">
        <v>10736</v>
      </c>
    </row>
    <row r="30" spans="1:6" x14ac:dyDescent="0.25">
      <c r="A30" s="56">
        <v>44719</v>
      </c>
      <c r="B30" s="88" t="s">
        <v>98</v>
      </c>
      <c r="C30" s="88" t="s">
        <v>13</v>
      </c>
      <c r="D30" s="88"/>
      <c r="E30" s="88" t="s">
        <v>0</v>
      </c>
      <c r="F30" s="89">
        <v>10787</v>
      </c>
    </row>
    <row r="31" spans="1:6" x14ac:dyDescent="0.25">
      <c r="A31" s="56">
        <v>44749</v>
      </c>
      <c r="B31" s="88" t="s">
        <v>98</v>
      </c>
      <c r="C31" s="88" t="s">
        <v>13</v>
      </c>
      <c r="D31" s="88"/>
      <c r="E31" s="88" t="s">
        <v>0</v>
      </c>
      <c r="F31" s="89">
        <v>10838</v>
      </c>
    </row>
    <row r="32" spans="1:6" x14ac:dyDescent="0.25">
      <c r="A32" s="56">
        <v>44780</v>
      </c>
      <c r="B32" s="88" t="s">
        <v>98</v>
      </c>
      <c r="C32" s="88" t="s">
        <v>13</v>
      </c>
      <c r="D32" s="88"/>
      <c r="E32" s="88" t="s">
        <v>0</v>
      </c>
      <c r="F32" s="89">
        <v>10889</v>
      </c>
    </row>
    <row r="33" spans="1:6" x14ac:dyDescent="0.25">
      <c r="A33" s="56">
        <v>44811</v>
      </c>
      <c r="B33" s="88" t="s">
        <v>98</v>
      </c>
      <c r="C33" s="88" t="s">
        <v>13</v>
      </c>
      <c r="D33" s="88"/>
      <c r="E33" s="88" t="s">
        <v>0</v>
      </c>
      <c r="F33" s="89">
        <v>10940</v>
      </c>
    </row>
    <row r="34" spans="1:6" x14ac:dyDescent="0.25">
      <c r="A34" s="56">
        <v>44841</v>
      </c>
      <c r="B34" s="88" t="s">
        <v>98</v>
      </c>
      <c r="C34" s="88" t="s">
        <v>13</v>
      </c>
      <c r="D34" s="88"/>
      <c r="E34" s="88" t="s">
        <v>0</v>
      </c>
      <c r="F34" s="89">
        <v>10991</v>
      </c>
    </row>
    <row r="35" spans="1:6" x14ac:dyDescent="0.25">
      <c r="A35" s="56">
        <v>44872</v>
      </c>
      <c r="B35" s="88" t="s">
        <v>98</v>
      </c>
      <c r="C35" s="88" t="s">
        <v>13</v>
      </c>
      <c r="D35" s="88"/>
      <c r="E35" s="88" t="s">
        <v>0</v>
      </c>
      <c r="F35" s="89">
        <v>11042</v>
      </c>
    </row>
    <row r="36" spans="1:6" x14ac:dyDescent="0.25">
      <c r="A36" s="56">
        <v>44902</v>
      </c>
      <c r="B36" s="88" t="s">
        <v>98</v>
      </c>
      <c r="C36" s="88" t="s">
        <v>13</v>
      </c>
      <c r="D36" s="88"/>
      <c r="E36" s="88" t="s">
        <v>0</v>
      </c>
      <c r="F36" s="89">
        <v>11093</v>
      </c>
    </row>
    <row r="37" spans="1:6" x14ac:dyDescent="0.25">
      <c r="A37" s="56">
        <v>44933</v>
      </c>
      <c r="B37" s="88" t="s">
        <v>98</v>
      </c>
      <c r="C37" s="88" t="s">
        <v>13</v>
      </c>
      <c r="D37" s="88"/>
      <c r="E37" s="88" t="s">
        <v>0</v>
      </c>
      <c r="F37" s="89">
        <v>11144</v>
      </c>
    </row>
    <row r="38" spans="1:6" x14ac:dyDescent="0.25">
      <c r="A38" s="56">
        <v>44964</v>
      </c>
      <c r="B38" s="88" t="s">
        <v>98</v>
      </c>
      <c r="C38" s="88" t="s">
        <v>13</v>
      </c>
      <c r="D38" s="88"/>
      <c r="E38" s="88" t="s">
        <v>0</v>
      </c>
      <c r="F38" s="89">
        <v>11195</v>
      </c>
    </row>
    <row r="39" spans="1:6" x14ac:dyDescent="0.25">
      <c r="A39" s="56">
        <v>44992</v>
      </c>
      <c r="B39" s="88" t="s">
        <v>98</v>
      </c>
      <c r="C39" s="88" t="s">
        <v>13</v>
      </c>
      <c r="D39" s="88"/>
      <c r="E39" s="88" t="s">
        <v>0</v>
      </c>
      <c r="F39" s="89">
        <v>11246</v>
      </c>
    </row>
    <row r="40" spans="1:6" x14ac:dyDescent="0.25">
      <c r="A40" s="56">
        <v>45023</v>
      </c>
      <c r="B40" s="88" t="s">
        <v>98</v>
      </c>
      <c r="C40" s="88" t="s">
        <v>13</v>
      </c>
      <c r="D40" s="88"/>
      <c r="E40" s="88" t="s">
        <v>0</v>
      </c>
      <c r="F40" s="89">
        <v>11297</v>
      </c>
    </row>
    <row r="41" spans="1:6" x14ac:dyDescent="0.25">
      <c r="A41" s="56">
        <v>45053</v>
      </c>
      <c r="B41" s="88" t="s">
        <v>98</v>
      </c>
      <c r="C41" s="88" t="s">
        <v>13</v>
      </c>
      <c r="D41" s="88"/>
      <c r="E41" s="88" t="s">
        <v>0</v>
      </c>
      <c r="F41" s="89">
        <v>11348</v>
      </c>
    </row>
    <row r="42" spans="1:6" x14ac:dyDescent="0.25">
      <c r="A42" s="56">
        <v>45084</v>
      </c>
      <c r="B42" s="88" t="s">
        <v>98</v>
      </c>
      <c r="C42" s="88" t="s">
        <v>13</v>
      </c>
      <c r="D42" s="88"/>
      <c r="E42" s="88" t="s">
        <v>0</v>
      </c>
      <c r="F42" s="89">
        <v>11399</v>
      </c>
    </row>
    <row r="43" spans="1:6" x14ac:dyDescent="0.25">
      <c r="A43" s="56">
        <v>45114</v>
      </c>
      <c r="B43" s="88" t="s">
        <v>98</v>
      </c>
      <c r="C43" s="88" t="s">
        <v>13</v>
      </c>
      <c r="D43" s="88"/>
      <c r="E43" s="88" t="s">
        <v>0</v>
      </c>
      <c r="F43" s="89">
        <v>11450</v>
      </c>
    </row>
    <row r="44" spans="1:6" x14ac:dyDescent="0.25">
      <c r="A44" s="56">
        <v>45145</v>
      </c>
      <c r="B44" s="88" t="s">
        <v>98</v>
      </c>
      <c r="C44" s="88" t="s">
        <v>13</v>
      </c>
      <c r="D44" s="88"/>
      <c r="E44" s="88" t="s">
        <v>0</v>
      </c>
      <c r="F44" s="89">
        <v>11501</v>
      </c>
    </row>
    <row r="45" spans="1:6" x14ac:dyDescent="0.25">
      <c r="A45" s="56">
        <v>45176</v>
      </c>
      <c r="B45" s="88" t="s">
        <v>98</v>
      </c>
      <c r="C45" s="88" t="s">
        <v>13</v>
      </c>
      <c r="D45" s="88"/>
      <c r="E45" s="88" t="s">
        <v>0</v>
      </c>
      <c r="F45" s="89">
        <v>11552</v>
      </c>
    </row>
    <row r="46" spans="1:6" x14ac:dyDescent="0.25">
      <c r="A46" s="56">
        <v>45206</v>
      </c>
      <c r="B46" s="88" t="s">
        <v>98</v>
      </c>
      <c r="C46" s="88" t="s">
        <v>13</v>
      </c>
      <c r="D46" s="88"/>
      <c r="E46" s="88" t="s">
        <v>0</v>
      </c>
      <c r="F46" s="89">
        <v>11603</v>
      </c>
    </row>
    <row r="47" spans="1:6" x14ac:dyDescent="0.25">
      <c r="A47" s="56">
        <v>43959</v>
      </c>
      <c r="B47" s="88" t="s">
        <v>122</v>
      </c>
      <c r="C47" s="88" t="s">
        <v>178</v>
      </c>
      <c r="D47" s="88" t="s">
        <v>4</v>
      </c>
      <c r="E47" s="88" t="s">
        <v>0</v>
      </c>
      <c r="F47" s="89">
        <v>852</v>
      </c>
    </row>
  </sheetData>
  <autoFilter ref="J6:J10" xr:uid="{F9039AFA-C41E-4089-B868-1B6EA51A1603}"/>
  <mergeCells count="2">
    <mergeCell ref="H2:L2"/>
    <mergeCell ref="A2:F2"/>
  </mergeCells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CA02-4B3B-40F8-BAEF-7905413FCE14}">
  <sheetPr codeName="Feuil17"/>
  <dimension ref="A4:G11"/>
  <sheetViews>
    <sheetView workbookViewId="0">
      <selection activeCell="E5" sqref="E5:E6"/>
    </sheetView>
  </sheetViews>
  <sheetFormatPr baseColWidth="10" defaultRowHeight="15" x14ac:dyDescent="0.25"/>
  <cols>
    <col min="1" max="1" width="23.5703125" bestFit="1" customWidth="1"/>
  </cols>
  <sheetData>
    <row r="4" spans="1:7" x14ac:dyDescent="0.25">
      <c r="A4" s="40" t="s">
        <v>151</v>
      </c>
      <c r="D4" s="53" t="s">
        <v>127</v>
      </c>
      <c r="E4" s="53" t="s">
        <v>168</v>
      </c>
      <c r="F4" s="53" t="s">
        <v>132</v>
      </c>
      <c r="G4" s="53" t="s">
        <v>128</v>
      </c>
    </row>
    <row r="5" spans="1:7" x14ac:dyDescent="0.25">
      <c r="D5" s="94">
        <v>43959</v>
      </c>
      <c r="E5" s="94" t="s">
        <v>183</v>
      </c>
      <c r="F5" s="93" t="s">
        <v>87</v>
      </c>
      <c r="G5" s="97">
        <v>753</v>
      </c>
    </row>
    <row r="6" spans="1:7" x14ac:dyDescent="0.25">
      <c r="A6" s="33" t="s">
        <v>87</v>
      </c>
      <c r="D6" s="94">
        <v>43959</v>
      </c>
      <c r="E6" s="94" t="s">
        <v>183</v>
      </c>
      <c r="F6" s="93" t="s">
        <v>88</v>
      </c>
      <c r="G6" s="97">
        <v>1452</v>
      </c>
    </row>
    <row r="7" spans="1:7" x14ac:dyDescent="0.25">
      <c r="A7" s="33" t="s">
        <v>88</v>
      </c>
    </row>
    <row r="8" spans="1:7" x14ac:dyDescent="0.25">
      <c r="A8" s="33" t="s">
        <v>89</v>
      </c>
    </row>
    <row r="9" spans="1:7" x14ac:dyDescent="0.25">
      <c r="A9" s="39" t="s">
        <v>90</v>
      </c>
    </row>
    <row r="10" spans="1:7" x14ac:dyDescent="0.25">
      <c r="A10" s="33" t="s">
        <v>91</v>
      </c>
    </row>
    <row r="11" spans="1:7" x14ac:dyDescent="0.25">
      <c r="A11" s="33" t="s">
        <v>92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3C69-76C6-4BE5-90C6-7C19CE9E2A41}">
  <sheetPr codeName="Feuil13"/>
  <dimension ref="A2:H20"/>
  <sheetViews>
    <sheetView workbookViewId="0">
      <selection activeCell="E6" sqref="E6"/>
    </sheetView>
  </sheetViews>
  <sheetFormatPr baseColWidth="10" defaultRowHeight="15" x14ac:dyDescent="0.25"/>
  <cols>
    <col min="1" max="1" width="18.42578125" bestFit="1" customWidth="1"/>
    <col min="5" max="5" width="17.42578125" customWidth="1"/>
    <col min="6" max="6" width="17" customWidth="1"/>
    <col min="7" max="7" width="18.7109375" customWidth="1"/>
  </cols>
  <sheetData>
    <row r="2" spans="1:8" ht="18.75" x14ac:dyDescent="0.3">
      <c r="E2" s="126" t="s">
        <v>133</v>
      </c>
      <c r="F2" s="126"/>
      <c r="G2" s="126"/>
    </row>
    <row r="4" spans="1:8" ht="15.75" x14ac:dyDescent="0.25">
      <c r="A4" s="35" t="s">
        <v>131</v>
      </c>
      <c r="E4" s="52" t="s">
        <v>127</v>
      </c>
      <c r="F4" s="53" t="s">
        <v>168</v>
      </c>
      <c r="G4" s="53" t="s">
        <v>132</v>
      </c>
      <c r="H4" s="54" t="s">
        <v>128</v>
      </c>
    </row>
    <row r="5" spans="1:8" x14ac:dyDescent="0.25">
      <c r="A5" s="32"/>
      <c r="E5" s="91">
        <v>43593</v>
      </c>
      <c r="F5" s="91" t="s">
        <v>120</v>
      </c>
      <c r="G5" s="53" t="s">
        <v>87</v>
      </c>
      <c r="H5" s="92">
        <v>1750</v>
      </c>
    </row>
    <row r="6" spans="1:8" x14ac:dyDescent="0.25">
      <c r="A6" s="30" t="s">
        <v>14</v>
      </c>
      <c r="E6" s="91">
        <v>43959</v>
      </c>
      <c r="F6" s="91" t="s">
        <v>120</v>
      </c>
      <c r="G6" s="53" t="s">
        <v>16</v>
      </c>
      <c r="H6" s="92">
        <v>123</v>
      </c>
    </row>
    <row r="7" spans="1:8" x14ac:dyDescent="0.25">
      <c r="A7" s="30" t="s">
        <v>15</v>
      </c>
      <c r="E7" s="91">
        <v>43959</v>
      </c>
      <c r="F7" s="91" t="s">
        <v>120</v>
      </c>
      <c r="G7" s="53" t="s">
        <v>17</v>
      </c>
      <c r="H7" s="92">
        <v>741</v>
      </c>
    </row>
    <row r="8" spans="1:8" x14ac:dyDescent="0.25">
      <c r="A8" s="30" t="s">
        <v>11</v>
      </c>
    </row>
    <row r="9" spans="1:8" x14ac:dyDescent="0.25">
      <c r="A9" s="30" t="s">
        <v>16</v>
      </c>
    </row>
    <row r="10" spans="1:8" x14ac:dyDescent="0.25">
      <c r="A10" s="30" t="s">
        <v>17</v>
      </c>
    </row>
    <row r="11" spans="1:8" x14ac:dyDescent="0.25">
      <c r="A11" s="30" t="s">
        <v>31</v>
      </c>
    </row>
    <row r="12" spans="1:8" x14ac:dyDescent="0.25">
      <c r="A12" s="30" t="s">
        <v>18</v>
      </c>
    </row>
    <row r="13" spans="1:8" x14ac:dyDescent="0.25">
      <c r="A13" s="29" t="s">
        <v>19</v>
      </c>
    </row>
    <row r="14" spans="1:8" x14ac:dyDescent="0.25">
      <c r="A14" s="29" t="s">
        <v>32</v>
      </c>
    </row>
    <row r="15" spans="1:8" x14ac:dyDescent="0.25">
      <c r="A15" s="29" t="s">
        <v>20</v>
      </c>
    </row>
    <row r="16" spans="1:8" x14ac:dyDescent="0.25">
      <c r="A16" s="29" t="s">
        <v>21</v>
      </c>
    </row>
    <row r="17" spans="1:1" x14ac:dyDescent="0.25">
      <c r="A17" s="29" t="s">
        <v>39</v>
      </c>
    </row>
    <row r="18" spans="1:1" x14ac:dyDescent="0.25">
      <c r="A18" s="29" t="s">
        <v>40</v>
      </c>
    </row>
    <row r="19" spans="1:1" x14ac:dyDescent="0.25">
      <c r="A19" s="29" t="s">
        <v>41</v>
      </c>
    </row>
    <row r="20" spans="1:1" x14ac:dyDescent="0.25">
      <c r="A20" s="29" t="s">
        <v>42</v>
      </c>
    </row>
  </sheetData>
  <mergeCells count="1">
    <mergeCell ref="E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86AA1-CC63-4B42-9BA1-BDB4ACB939F4}">
  <sheetPr codeName="Feuil1"/>
  <dimension ref="A2:H23"/>
  <sheetViews>
    <sheetView workbookViewId="0">
      <selection activeCell="G5" sqref="G5"/>
    </sheetView>
  </sheetViews>
  <sheetFormatPr baseColWidth="10" defaultRowHeight="15" x14ac:dyDescent="0.25"/>
  <cols>
    <col min="1" max="1" width="18.42578125" bestFit="1" customWidth="1"/>
    <col min="5" max="5" width="17.140625" customWidth="1"/>
    <col min="6" max="6" width="19.85546875" customWidth="1"/>
    <col min="7" max="7" width="17.85546875" customWidth="1"/>
  </cols>
  <sheetData>
    <row r="2" spans="1:8" ht="18.75" x14ac:dyDescent="0.3">
      <c r="E2" s="126" t="s">
        <v>133</v>
      </c>
      <c r="F2" s="126"/>
      <c r="G2" s="126"/>
    </row>
    <row r="4" spans="1:8" ht="15.75" x14ac:dyDescent="0.25">
      <c r="A4" s="35" t="s">
        <v>131</v>
      </c>
      <c r="E4" s="52" t="s">
        <v>127</v>
      </c>
      <c r="F4" s="53" t="s">
        <v>168</v>
      </c>
      <c r="G4" s="53" t="s">
        <v>132</v>
      </c>
      <c r="H4" s="54" t="s">
        <v>128</v>
      </c>
    </row>
    <row r="5" spans="1:8" x14ac:dyDescent="0.25">
      <c r="A5" s="32"/>
      <c r="E5" s="91">
        <v>43959</v>
      </c>
      <c r="F5" s="91" t="s">
        <v>121</v>
      </c>
      <c r="G5" s="53" t="s">
        <v>34</v>
      </c>
      <c r="H5" s="92">
        <v>741</v>
      </c>
    </row>
    <row r="6" spans="1:8" x14ac:dyDescent="0.25">
      <c r="A6" s="33" t="s">
        <v>34</v>
      </c>
      <c r="E6" s="91">
        <v>43959</v>
      </c>
      <c r="F6" s="91" t="s">
        <v>121</v>
      </c>
      <c r="G6" s="53" t="s">
        <v>11</v>
      </c>
      <c r="H6" s="92">
        <v>8521</v>
      </c>
    </row>
    <row r="7" spans="1:8" x14ac:dyDescent="0.25">
      <c r="A7" s="33" t="s">
        <v>11</v>
      </c>
      <c r="E7" s="91">
        <v>43962</v>
      </c>
      <c r="F7" s="91" t="s">
        <v>121</v>
      </c>
      <c r="G7" s="53" t="s">
        <v>32</v>
      </c>
      <c r="H7" s="92">
        <v>52</v>
      </c>
    </row>
    <row r="8" spans="1:8" x14ac:dyDescent="0.25">
      <c r="A8" s="33" t="s">
        <v>35</v>
      </c>
      <c r="E8" s="91">
        <v>43991</v>
      </c>
      <c r="F8" s="91" t="s">
        <v>121</v>
      </c>
      <c r="G8" s="53" t="s">
        <v>44</v>
      </c>
      <c r="H8" s="92">
        <v>632</v>
      </c>
    </row>
    <row r="9" spans="1:8" x14ac:dyDescent="0.25">
      <c r="A9" s="33" t="s">
        <v>16</v>
      </c>
    </row>
    <row r="10" spans="1:8" x14ac:dyDescent="0.25">
      <c r="A10" s="33" t="s">
        <v>44</v>
      </c>
    </row>
    <row r="11" spans="1:8" x14ac:dyDescent="0.25">
      <c r="A11" s="33" t="s">
        <v>36</v>
      </c>
    </row>
    <row r="12" spans="1:8" x14ac:dyDescent="0.25">
      <c r="A12" s="33" t="s">
        <v>22</v>
      </c>
    </row>
    <row r="13" spans="1:8" x14ac:dyDescent="0.25">
      <c r="A13" s="34" t="s">
        <v>32</v>
      </c>
    </row>
    <row r="14" spans="1:8" x14ac:dyDescent="0.25">
      <c r="A14" s="34" t="s">
        <v>20</v>
      </c>
    </row>
    <row r="15" spans="1:8" x14ac:dyDescent="0.25">
      <c r="A15" s="34" t="s">
        <v>37</v>
      </c>
    </row>
    <row r="16" spans="1:8" x14ac:dyDescent="0.25">
      <c r="A16" s="34" t="s">
        <v>38</v>
      </c>
    </row>
    <row r="17" spans="1:1" x14ac:dyDescent="0.25">
      <c r="A17" s="29" t="s">
        <v>43</v>
      </c>
    </row>
    <row r="18" spans="1:1" x14ac:dyDescent="0.25">
      <c r="A18" s="34" t="s">
        <v>45</v>
      </c>
    </row>
    <row r="19" spans="1:1" x14ac:dyDescent="0.25">
      <c r="A19" s="29" t="s">
        <v>46</v>
      </c>
    </row>
    <row r="20" spans="1:1" x14ac:dyDescent="0.25">
      <c r="A20" s="29" t="s">
        <v>93</v>
      </c>
    </row>
    <row r="21" spans="1:1" x14ac:dyDescent="0.25">
      <c r="A21" s="29" t="s">
        <v>94</v>
      </c>
    </row>
    <row r="22" spans="1:1" x14ac:dyDescent="0.25">
      <c r="A22" s="29" t="s">
        <v>95</v>
      </c>
    </row>
    <row r="23" spans="1:1" x14ac:dyDescent="0.25">
      <c r="A23" s="29" t="s">
        <v>96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B1CA2-7480-4634-9F91-9AC4B7430C21}">
  <sheetPr codeName="Feuil14"/>
  <dimension ref="A2:H23"/>
  <sheetViews>
    <sheetView workbookViewId="0">
      <selection activeCell="F5" sqref="F5:F6"/>
    </sheetView>
  </sheetViews>
  <sheetFormatPr baseColWidth="10" defaultRowHeight="15" x14ac:dyDescent="0.25"/>
  <cols>
    <col min="1" max="1" width="18.28515625" bestFit="1" customWidth="1"/>
    <col min="6" max="6" width="16.5703125" bestFit="1" customWidth="1"/>
  </cols>
  <sheetData>
    <row r="2" spans="1:8" ht="18.75" x14ac:dyDescent="0.3">
      <c r="E2" s="126" t="s">
        <v>133</v>
      </c>
      <c r="F2" s="126"/>
      <c r="G2" s="126"/>
    </row>
    <row r="4" spans="1:8" ht="15.75" x14ac:dyDescent="0.25">
      <c r="A4" s="35" t="s">
        <v>131</v>
      </c>
      <c r="E4" s="52" t="s">
        <v>127</v>
      </c>
      <c r="F4" s="53" t="s">
        <v>168</v>
      </c>
      <c r="G4" s="53" t="s">
        <v>132</v>
      </c>
      <c r="H4" s="54" t="s">
        <v>128</v>
      </c>
    </row>
    <row r="5" spans="1:8" x14ac:dyDescent="0.25">
      <c r="A5" s="32"/>
      <c r="E5" s="91">
        <v>43959</v>
      </c>
      <c r="F5" s="91" t="s">
        <v>122</v>
      </c>
      <c r="G5" s="53" t="s">
        <v>34</v>
      </c>
      <c r="H5" s="92">
        <v>1120</v>
      </c>
    </row>
    <row r="6" spans="1:8" x14ac:dyDescent="0.25">
      <c r="A6" s="33" t="s">
        <v>34</v>
      </c>
      <c r="E6" s="91">
        <v>43959</v>
      </c>
      <c r="F6" s="91" t="s">
        <v>122</v>
      </c>
      <c r="G6" s="53" t="s">
        <v>44</v>
      </c>
      <c r="H6" s="92">
        <v>8541</v>
      </c>
    </row>
    <row r="7" spans="1:8" x14ac:dyDescent="0.25">
      <c r="A7" s="33" t="s">
        <v>11</v>
      </c>
      <c r="E7" s="91">
        <v>43959</v>
      </c>
      <c r="F7" s="91" t="s">
        <v>122</v>
      </c>
      <c r="G7" s="53" t="s">
        <v>96</v>
      </c>
      <c r="H7" s="92">
        <v>555</v>
      </c>
    </row>
    <row r="8" spans="1:8" x14ac:dyDescent="0.25">
      <c r="A8" s="33" t="s">
        <v>35</v>
      </c>
    </row>
    <row r="9" spans="1:8" x14ac:dyDescent="0.25">
      <c r="A9" s="33" t="s">
        <v>16</v>
      </c>
    </row>
    <row r="10" spans="1:8" x14ac:dyDescent="0.25">
      <c r="A10" s="33" t="s">
        <v>44</v>
      </c>
    </row>
    <row r="11" spans="1:8" x14ac:dyDescent="0.25">
      <c r="A11" s="33" t="s">
        <v>36</v>
      </c>
    </row>
    <row r="12" spans="1:8" x14ac:dyDescent="0.25">
      <c r="A12" s="33" t="s">
        <v>22</v>
      </c>
    </row>
    <row r="13" spans="1:8" x14ac:dyDescent="0.25">
      <c r="A13" s="34" t="s">
        <v>32</v>
      </c>
    </row>
    <row r="14" spans="1:8" x14ac:dyDescent="0.25">
      <c r="A14" s="34" t="s">
        <v>20</v>
      </c>
    </row>
    <row r="15" spans="1:8" x14ac:dyDescent="0.25">
      <c r="A15" s="34" t="s">
        <v>37</v>
      </c>
    </row>
    <row r="16" spans="1:8" x14ac:dyDescent="0.25">
      <c r="A16" s="34" t="s">
        <v>38</v>
      </c>
    </row>
    <row r="17" spans="1:1" x14ac:dyDescent="0.25">
      <c r="A17" s="29" t="s">
        <v>43</v>
      </c>
    </row>
    <row r="18" spans="1:1" x14ac:dyDescent="0.25">
      <c r="A18" s="34" t="s">
        <v>45</v>
      </c>
    </row>
    <row r="19" spans="1:1" x14ac:dyDescent="0.25">
      <c r="A19" s="29" t="s">
        <v>46</v>
      </c>
    </row>
    <row r="20" spans="1:1" x14ac:dyDescent="0.25">
      <c r="A20" s="29" t="s">
        <v>93</v>
      </c>
    </row>
    <row r="21" spans="1:1" x14ac:dyDescent="0.25">
      <c r="A21" s="29" t="s">
        <v>94</v>
      </c>
    </row>
    <row r="22" spans="1:1" x14ac:dyDescent="0.25">
      <c r="A22" s="29" t="s">
        <v>95</v>
      </c>
    </row>
    <row r="23" spans="1:1" x14ac:dyDescent="0.25">
      <c r="A23" s="29" t="s">
        <v>96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9B9CE-E7DB-4876-AA27-2BA024280CF1}">
  <sheetPr codeName="Feuil15"/>
  <dimension ref="A3:AA1097"/>
  <sheetViews>
    <sheetView workbookViewId="0">
      <selection activeCell="J14" sqref="J14:Q61"/>
    </sheetView>
  </sheetViews>
  <sheetFormatPr baseColWidth="10" defaultRowHeight="15" x14ac:dyDescent="0.25"/>
  <cols>
    <col min="1" max="1" width="20.7109375" bestFit="1" customWidth="1"/>
    <col min="2" max="2" width="20.7109375" customWidth="1"/>
    <col min="3" max="3" width="12.7109375" customWidth="1"/>
    <col min="4" max="4" width="14" customWidth="1"/>
    <col min="5" max="5" width="19.5703125" bestFit="1" customWidth="1"/>
    <col min="6" max="6" width="20" customWidth="1"/>
    <col min="7" max="7" width="13.140625" customWidth="1"/>
    <col min="11" max="11" width="13.28515625" customWidth="1"/>
    <col min="12" max="13" width="23.85546875" bestFit="1" customWidth="1"/>
    <col min="14" max="14" width="12.5703125" bestFit="1" customWidth="1"/>
    <col min="15" max="16" width="12.5703125" customWidth="1"/>
    <col min="17" max="17" width="15.28515625" bestFit="1" customWidth="1"/>
    <col min="18" max="18" width="12.5703125" customWidth="1"/>
    <col min="20" max="20" width="12.85546875" bestFit="1" customWidth="1"/>
    <col min="21" max="21" width="20.7109375" bestFit="1" customWidth="1"/>
    <col min="22" max="22" width="14.5703125" bestFit="1" customWidth="1"/>
    <col min="23" max="23" width="16.5703125" bestFit="1" customWidth="1"/>
    <col min="24" max="24" width="15.140625" bestFit="1" customWidth="1"/>
    <col min="25" max="25" width="14.5703125" bestFit="1" customWidth="1"/>
    <col min="26" max="26" width="16.140625" bestFit="1" customWidth="1"/>
    <col min="27" max="27" width="15.28515625" bestFit="1" customWidth="1"/>
  </cols>
  <sheetData>
    <row r="3" spans="1:27" ht="19.5" thickBot="1" x14ac:dyDescent="0.35">
      <c r="A3" s="127" t="s">
        <v>170</v>
      </c>
      <c r="B3" s="127"/>
      <c r="C3" s="127"/>
      <c r="D3" s="127"/>
      <c r="E3" s="127"/>
      <c r="F3" s="127"/>
      <c r="G3" s="127"/>
      <c r="H3" s="127"/>
      <c r="M3" s="128" t="s">
        <v>129</v>
      </c>
      <c r="N3" s="128"/>
      <c r="O3" s="65"/>
      <c r="P3" s="65"/>
      <c r="Q3" s="65"/>
      <c r="R3" s="65"/>
      <c r="T3" s="64" t="s">
        <v>159</v>
      </c>
      <c r="U3" s="64" t="s">
        <v>164</v>
      </c>
      <c r="V3" s="64" t="s">
        <v>165</v>
      </c>
      <c r="W3" s="64" t="s">
        <v>166</v>
      </c>
      <c r="X3" s="64" t="s">
        <v>167</v>
      </c>
      <c r="Y3" s="64" t="s">
        <v>168</v>
      </c>
      <c r="Z3" s="64" t="s">
        <v>155</v>
      </c>
    </row>
    <row r="4" spans="1:27" ht="15.75" thickBot="1" x14ac:dyDescent="0.3">
      <c r="M4" s="38"/>
      <c r="N4" s="38"/>
      <c r="O4" s="38"/>
      <c r="P4" s="38"/>
      <c r="Q4" s="38"/>
      <c r="R4" s="38"/>
      <c r="T4" s="86" t="str">
        <f>_xlfn.XLOOKUP($Z$4,Tableau1[libellé],Tableau1[date de début],"NA",0)</f>
        <v>05/05/2020</v>
      </c>
      <c r="U4" s="87">
        <f>_xlfn.XLOOKUP($Z$4,Tableau1[libellé],Tableau1[Duree],"NA",0)</f>
        <v>24</v>
      </c>
      <c r="V4" s="63">
        <f>RATE(U4,-X4,W4,0,0)*12</f>
        <v>3.5400613806760156E-2</v>
      </c>
      <c r="W4" s="18">
        <f>_xlfn.XLOOKUP($Z$4,Tableau1[libellé],Tableau1[montant emprunté],"NA",0)</f>
        <v>20000</v>
      </c>
      <c r="X4" s="18">
        <f>_xlfn.XLOOKUP($Z$4,Tableau1[libellé],Tableau1[mensualité],"NA",0)</f>
        <v>864.41</v>
      </c>
      <c r="Y4" s="1" t="str">
        <f>_xlfn.XLOOKUP($Z$4,Tableau1[libellé],Tableau1[type de prêt],"NA",0)</f>
        <v>Investissement</v>
      </c>
      <c r="Z4" s="67" t="str">
        <f>LOOKUP("z",Tableau1[libellé])</f>
        <v>travaux magasin</v>
      </c>
    </row>
    <row r="5" spans="1:27" x14ac:dyDescent="0.25">
      <c r="A5" s="52" t="s">
        <v>142</v>
      </c>
      <c r="B5" s="53" t="s">
        <v>152</v>
      </c>
      <c r="C5" s="53" t="s">
        <v>134</v>
      </c>
      <c r="D5" s="53" t="s">
        <v>135</v>
      </c>
      <c r="E5" s="53" t="s">
        <v>139</v>
      </c>
      <c r="F5" s="53" t="s">
        <v>140</v>
      </c>
      <c r="G5" s="53" t="s">
        <v>141</v>
      </c>
      <c r="H5" s="54" t="s">
        <v>143</v>
      </c>
      <c r="I5" s="32"/>
      <c r="J5" s="32"/>
      <c r="M5" s="37" t="s">
        <v>135</v>
      </c>
      <c r="N5" s="59"/>
      <c r="O5" s="59"/>
      <c r="P5" s="59"/>
      <c r="Q5" s="59"/>
      <c r="R5" s="59"/>
    </row>
    <row r="6" spans="1:27" x14ac:dyDescent="0.25">
      <c r="A6" t="s">
        <v>153</v>
      </c>
      <c r="B6">
        <v>24</v>
      </c>
      <c r="C6" s="62">
        <v>44686</v>
      </c>
      <c r="D6" t="s">
        <v>137</v>
      </c>
      <c r="E6" t="s">
        <v>157</v>
      </c>
      <c r="F6">
        <v>20000</v>
      </c>
      <c r="G6">
        <v>864.41</v>
      </c>
      <c r="N6" s="60"/>
      <c r="O6" s="60"/>
      <c r="P6" s="60"/>
      <c r="Q6" s="60"/>
      <c r="R6" s="60"/>
    </row>
    <row r="7" spans="1:27" x14ac:dyDescent="0.25">
      <c r="M7" t="s">
        <v>137</v>
      </c>
      <c r="N7" s="29"/>
      <c r="O7" s="29"/>
      <c r="P7" s="29"/>
      <c r="Q7" s="29"/>
      <c r="R7" s="29"/>
      <c r="T7" s="48" t="s">
        <v>127</v>
      </c>
      <c r="U7" s="49" t="s">
        <v>161</v>
      </c>
      <c r="V7" s="49" t="s">
        <v>162</v>
      </c>
      <c r="W7" s="49" t="s">
        <v>163</v>
      </c>
      <c r="X7" s="50" t="s">
        <v>160</v>
      </c>
      <c r="Y7" s="53" t="s">
        <v>169</v>
      </c>
      <c r="Z7" s="53" t="s">
        <v>168</v>
      </c>
      <c r="AA7" s="53" t="s">
        <v>155</v>
      </c>
    </row>
    <row r="8" spans="1:27" x14ac:dyDescent="0.25">
      <c r="M8" t="s">
        <v>136</v>
      </c>
      <c r="N8" s="29"/>
      <c r="O8" s="29"/>
      <c r="P8" s="29"/>
      <c r="Q8" s="29"/>
      <c r="R8" s="29"/>
      <c r="T8" s="68" t="str">
        <f>T4</f>
        <v>05/05/2020</v>
      </c>
      <c r="U8" s="77">
        <f>$X$4</f>
        <v>864.41</v>
      </c>
      <c r="V8" s="69">
        <f>ROUND(W4*V4/12,2)</f>
        <v>59</v>
      </c>
      <c r="W8" s="69">
        <f>D_Emprunts!$U8-D_Emprunts!$V8</f>
        <v>805.41</v>
      </c>
      <c r="X8" s="70">
        <f>$W$4-D_Emprunts!$W8</f>
        <v>19194.59</v>
      </c>
      <c r="Y8">
        <v>1</v>
      </c>
      <c r="Z8" t="str">
        <f>$Y$4</f>
        <v>Investissement</v>
      </c>
      <c r="AA8" t="str">
        <f>$Z$4</f>
        <v>travaux magasin</v>
      </c>
    </row>
    <row r="9" spans="1:27" x14ac:dyDescent="0.25">
      <c r="M9" t="s">
        <v>138</v>
      </c>
      <c r="N9" s="29"/>
      <c r="O9" s="29"/>
      <c r="P9" s="29"/>
      <c r="Q9" s="29"/>
      <c r="R9" s="29"/>
      <c r="T9" s="71">
        <f t="shared" ref="T9:T71" si="0">EDATE(T8,1)</f>
        <v>43987</v>
      </c>
      <c r="U9" s="77">
        <f t="shared" ref="U9:U72" si="1">$X$4</f>
        <v>864.41</v>
      </c>
      <c r="V9" s="72">
        <f>ROUND(X8*$V$4/12,2)</f>
        <v>56.63</v>
      </c>
      <c r="W9" s="72">
        <f>D_Emprunts!$U9-D_Emprunts!$V9</f>
        <v>807.78</v>
      </c>
      <c r="X9" s="73">
        <f>X8-D_Emprunts!$W9</f>
        <v>18386.810000000001</v>
      </c>
      <c r="Y9">
        <v>2</v>
      </c>
      <c r="Z9" t="str">
        <f t="shared" ref="Z9:Z72" si="2">$Y$4</f>
        <v>Investissement</v>
      </c>
      <c r="AA9" t="str">
        <f t="shared" ref="AA9:AA72" si="3">$Z$4</f>
        <v>travaux magasin</v>
      </c>
    </row>
    <row r="10" spans="1:27" x14ac:dyDescent="0.25">
      <c r="N10" s="29"/>
      <c r="O10" s="29"/>
      <c r="P10" s="29"/>
      <c r="Q10" s="29"/>
      <c r="R10" s="29"/>
      <c r="T10" s="68">
        <f t="shared" si="0"/>
        <v>44017</v>
      </c>
      <c r="U10" s="77">
        <f t="shared" si="1"/>
        <v>864.41</v>
      </c>
      <c r="V10" s="72">
        <f t="shared" ref="V10:V73" si="4">ROUND(X9*$V$4/12,2)</f>
        <v>54.24</v>
      </c>
      <c r="W10" s="69">
        <f>D_Emprunts!$U10-D_Emprunts!$V10</f>
        <v>810.17</v>
      </c>
      <c r="X10" s="70">
        <f>X9-D_Emprunts!$W10</f>
        <v>17576.640000000003</v>
      </c>
      <c r="Y10">
        <v>3</v>
      </c>
      <c r="Z10" t="str">
        <f t="shared" si="2"/>
        <v>Investissement</v>
      </c>
      <c r="AA10" t="str">
        <f t="shared" si="3"/>
        <v>travaux magasin</v>
      </c>
    </row>
    <row r="11" spans="1:27" x14ac:dyDescent="0.25">
      <c r="N11" s="29"/>
      <c r="O11" s="29"/>
      <c r="P11" s="29"/>
      <c r="Q11" s="29"/>
      <c r="R11" s="29"/>
      <c r="T11" s="71">
        <f t="shared" si="0"/>
        <v>44048</v>
      </c>
      <c r="U11" s="77">
        <f t="shared" si="1"/>
        <v>864.41</v>
      </c>
      <c r="V11" s="72">
        <f t="shared" si="4"/>
        <v>51.85</v>
      </c>
      <c r="W11" s="72">
        <f>D_Emprunts!$U11-D_Emprunts!$V11</f>
        <v>812.56</v>
      </c>
      <c r="X11" s="73">
        <f>X10-D_Emprunts!$W11</f>
        <v>16764.080000000002</v>
      </c>
      <c r="Y11">
        <v>4</v>
      </c>
      <c r="Z11" t="str">
        <f t="shared" si="2"/>
        <v>Investissement</v>
      </c>
      <c r="AA11" t="str">
        <f t="shared" si="3"/>
        <v>travaux magasin</v>
      </c>
    </row>
    <row r="12" spans="1:27" x14ac:dyDescent="0.25">
      <c r="J12" s="129" t="s">
        <v>171</v>
      </c>
      <c r="K12" s="129"/>
      <c r="L12" s="129"/>
      <c r="M12" s="129"/>
      <c r="N12" s="129"/>
      <c r="O12" s="129"/>
      <c r="P12" s="129"/>
      <c r="Q12" s="129"/>
      <c r="R12" s="29"/>
      <c r="T12" s="68">
        <f t="shared" si="0"/>
        <v>44079</v>
      </c>
      <c r="U12" s="77">
        <f t="shared" si="1"/>
        <v>864.41</v>
      </c>
      <c r="V12" s="72">
        <f t="shared" si="4"/>
        <v>49.45</v>
      </c>
      <c r="W12" s="69">
        <f>D_Emprunts!$U12-D_Emprunts!$V12</f>
        <v>814.95999999999992</v>
      </c>
      <c r="X12" s="70">
        <f>X11-D_Emprunts!$W12</f>
        <v>15949.120000000003</v>
      </c>
      <c r="Y12">
        <v>5</v>
      </c>
      <c r="Z12" t="str">
        <f t="shared" si="2"/>
        <v>Investissement</v>
      </c>
      <c r="AA12" t="str">
        <f t="shared" si="3"/>
        <v>travaux magasin</v>
      </c>
    </row>
    <row r="13" spans="1:27" x14ac:dyDescent="0.25">
      <c r="J13" s="49" t="s">
        <v>127</v>
      </c>
      <c r="K13" s="49" t="s">
        <v>161</v>
      </c>
      <c r="L13" s="49" t="s">
        <v>162</v>
      </c>
      <c r="M13" s="49" t="s">
        <v>163</v>
      </c>
      <c r="N13" s="50" t="s">
        <v>160</v>
      </c>
      <c r="O13" s="53" t="s">
        <v>169</v>
      </c>
      <c r="P13" s="53" t="s">
        <v>168</v>
      </c>
      <c r="Q13" s="53" t="s">
        <v>155</v>
      </c>
      <c r="T13" s="71">
        <f t="shared" si="0"/>
        <v>44109</v>
      </c>
      <c r="U13" s="77">
        <f t="shared" si="1"/>
        <v>864.41</v>
      </c>
      <c r="V13" s="72">
        <f t="shared" si="4"/>
        <v>47.05</v>
      </c>
      <c r="W13" s="72">
        <f>D_Emprunts!$U13-D_Emprunts!$V13</f>
        <v>817.36</v>
      </c>
      <c r="X13" s="73">
        <f>X12-D_Emprunts!$W13</f>
        <v>15131.760000000002</v>
      </c>
      <c r="Y13">
        <v>6</v>
      </c>
      <c r="Z13" t="str">
        <f t="shared" si="2"/>
        <v>Investissement</v>
      </c>
      <c r="AA13" t="str">
        <f t="shared" si="3"/>
        <v>travaux magasin</v>
      </c>
    </row>
    <row r="14" spans="1:27" x14ac:dyDescent="0.25">
      <c r="J14" s="84">
        <v>43956</v>
      </c>
      <c r="K14" s="77">
        <v>864.41</v>
      </c>
      <c r="L14" s="69">
        <v>59</v>
      </c>
      <c r="M14" s="69">
        <v>805.408976988733</v>
      </c>
      <c r="N14" s="70">
        <v>19194.591023011268</v>
      </c>
      <c r="O14">
        <v>1</v>
      </c>
      <c r="P14" t="s">
        <v>137</v>
      </c>
      <c r="Q14" t="s">
        <v>157</v>
      </c>
      <c r="R14" s="60"/>
      <c r="T14" s="68">
        <f t="shared" si="0"/>
        <v>44140</v>
      </c>
      <c r="U14" s="77">
        <f t="shared" si="1"/>
        <v>864.41</v>
      </c>
      <c r="V14" s="72">
        <f t="shared" si="4"/>
        <v>44.64</v>
      </c>
      <c r="W14" s="69">
        <f>D_Emprunts!$U14-D_Emprunts!$V14</f>
        <v>819.77</v>
      </c>
      <c r="X14" s="70">
        <f>X13-D_Emprunts!$W14</f>
        <v>14311.990000000002</v>
      </c>
      <c r="Y14">
        <v>7</v>
      </c>
      <c r="Z14" t="str">
        <f t="shared" si="2"/>
        <v>Investissement</v>
      </c>
      <c r="AA14" t="str">
        <f t="shared" si="3"/>
        <v>travaux magasin</v>
      </c>
    </row>
    <row r="15" spans="1:27" x14ac:dyDescent="0.25">
      <c r="J15" s="85">
        <v>43987</v>
      </c>
      <c r="K15" s="77">
        <v>864.41</v>
      </c>
      <c r="L15" s="72">
        <v>56.63</v>
      </c>
      <c r="M15" s="72">
        <v>807.78497466797273</v>
      </c>
      <c r="N15" s="73">
        <v>18386.806048343296</v>
      </c>
      <c r="O15">
        <v>2</v>
      </c>
      <c r="P15" t="s">
        <v>137</v>
      </c>
      <c r="Q15" t="s">
        <v>157</v>
      </c>
      <c r="R15" s="60"/>
      <c r="T15" s="71">
        <f t="shared" si="0"/>
        <v>44170</v>
      </c>
      <c r="U15" s="77">
        <f t="shared" si="1"/>
        <v>864.41</v>
      </c>
      <c r="V15" s="72">
        <f t="shared" si="4"/>
        <v>42.22</v>
      </c>
      <c r="W15" s="72">
        <f>D_Emprunts!$U15-D_Emprunts!$V15</f>
        <v>822.18999999999994</v>
      </c>
      <c r="X15" s="73">
        <f>X14-D_Emprunts!$W15</f>
        <v>13489.800000000001</v>
      </c>
      <c r="Y15">
        <v>8</v>
      </c>
      <c r="Z15" t="str">
        <f t="shared" si="2"/>
        <v>Investissement</v>
      </c>
      <c r="AA15" t="str">
        <f t="shared" si="3"/>
        <v>travaux magasin</v>
      </c>
    </row>
    <row r="16" spans="1:27" x14ac:dyDescent="0.25">
      <c r="J16" s="84">
        <v>44017</v>
      </c>
      <c r="K16" s="77">
        <v>864.41</v>
      </c>
      <c r="L16" s="72">
        <v>54.24201833810023</v>
      </c>
      <c r="M16" s="69">
        <v>810.16798166189972</v>
      </c>
      <c r="N16" s="70">
        <v>17576.638066681397</v>
      </c>
      <c r="O16">
        <v>3</v>
      </c>
      <c r="P16" t="s">
        <v>137</v>
      </c>
      <c r="Q16" t="s">
        <v>157</v>
      </c>
      <c r="R16" s="60"/>
      <c r="T16" s="68">
        <f t="shared" si="0"/>
        <v>44201</v>
      </c>
      <c r="U16" s="77">
        <f t="shared" si="1"/>
        <v>864.41</v>
      </c>
      <c r="V16" s="72">
        <f t="shared" si="4"/>
        <v>39.799999999999997</v>
      </c>
      <c r="W16" s="69">
        <f>D_Emprunts!$U16-D_Emprunts!$V16</f>
        <v>824.61</v>
      </c>
      <c r="X16" s="70">
        <f>X15-D_Emprunts!$W16</f>
        <v>12665.19</v>
      </c>
      <c r="Y16">
        <v>9</v>
      </c>
      <c r="Z16" t="str">
        <f t="shared" si="2"/>
        <v>Investissement</v>
      </c>
      <c r="AA16" t="str">
        <f t="shared" si="3"/>
        <v>travaux magasin</v>
      </c>
    </row>
    <row r="17" spans="10:27" x14ac:dyDescent="0.25">
      <c r="J17" s="85">
        <v>44048</v>
      </c>
      <c r="K17" s="77">
        <v>864.41</v>
      </c>
      <c r="L17" s="72">
        <v>51.851981351648966</v>
      </c>
      <c r="M17" s="72">
        <v>812.55801864835098</v>
      </c>
      <c r="N17" s="73">
        <v>16764.080048033047</v>
      </c>
      <c r="O17">
        <v>4</v>
      </c>
      <c r="P17" t="s">
        <v>137</v>
      </c>
      <c r="Q17" t="s">
        <v>157</v>
      </c>
      <c r="R17" s="60"/>
      <c r="T17" s="71">
        <f t="shared" si="0"/>
        <v>44232</v>
      </c>
      <c r="U17" s="77">
        <f t="shared" si="1"/>
        <v>864.41</v>
      </c>
      <c r="V17" s="72">
        <f t="shared" si="4"/>
        <v>37.36</v>
      </c>
      <c r="W17" s="72">
        <f>D_Emprunts!$U17-D_Emprunts!$V17</f>
        <v>827.05</v>
      </c>
      <c r="X17" s="73">
        <f>X16-D_Emprunts!$W17</f>
        <v>11838.140000000001</v>
      </c>
      <c r="Y17">
        <v>10</v>
      </c>
      <c r="Z17" t="str">
        <f t="shared" si="2"/>
        <v>Investissement</v>
      </c>
      <c r="AA17" t="str">
        <f t="shared" si="3"/>
        <v>travaux magasin</v>
      </c>
    </row>
    <row r="18" spans="10:27" x14ac:dyDescent="0.25">
      <c r="J18" s="84">
        <v>44079</v>
      </c>
      <c r="K18" s="77">
        <v>864.41</v>
      </c>
      <c r="L18" s="72">
        <v>49.45489363383593</v>
      </c>
      <c r="M18" s="69">
        <v>814.95510636616405</v>
      </c>
      <c r="N18" s="70">
        <v>15949.124941666883</v>
      </c>
      <c r="O18">
        <v>5</v>
      </c>
      <c r="P18" t="s">
        <v>137</v>
      </c>
      <c r="Q18" t="s">
        <v>157</v>
      </c>
      <c r="R18" s="60"/>
      <c r="T18" s="68">
        <f t="shared" si="0"/>
        <v>44260</v>
      </c>
      <c r="U18" s="77">
        <f t="shared" si="1"/>
        <v>864.41</v>
      </c>
      <c r="V18" s="72">
        <f t="shared" si="4"/>
        <v>34.92</v>
      </c>
      <c r="W18" s="69">
        <f>D_Emprunts!$U18-D_Emprunts!$V18</f>
        <v>829.49</v>
      </c>
      <c r="X18" s="70">
        <f>X17-D_Emprunts!$W18</f>
        <v>11008.650000000001</v>
      </c>
      <c r="Y18">
        <v>11</v>
      </c>
      <c r="Z18" t="str">
        <f t="shared" si="2"/>
        <v>Investissement</v>
      </c>
      <c r="AA18" t="str">
        <f t="shared" si="3"/>
        <v>travaux magasin</v>
      </c>
    </row>
    <row r="19" spans="10:27" x14ac:dyDescent="0.25">
      <c r="J19" s="85">
        <v>44109</v>
      </c>
      <c r="K19" s="77">
        <v>864.41</v>
      </c>
      <c r="L19" s="72">
        <v>47.050734384642958</v>
      </c>
      <c r="M19" s="72">
        <v>817.359265615357</v>
      </c>
      <c r="N19" s="73">
        <v>15131.765676051526</v>
      </c>
      <c r="O19">
        <v>6</v>
      </c>
      <c r="P19" t="s">
        <v>137</v>
      </c>
      <c r="Q19" t="s">
        <v>157</v>
      </c>
      <c r="R19" s="60"/>
      <c r="T19" s="71">
        <f t="shared" si="0"/>
        <v>44291</v>
      </c>
      <c r="U19" s="77">
        <f t="shared" si="1"/>
        <v>864.41</v>
      </c>
      <c r="V19" s="72">
        <f t="shared" si="4"/>
        <v>32.479999999999997</v>
      </c>
      <c r="W19" s="72">
        <f>D_Emprunts!$U19-D_Emprunts!$V19</f>
        <v>831.93</v>
      </c>
      <c r="X19" s="73">
        <f>X18-D_Emprunts!$W19</f>
        <v>10176.720000000001</v>
      </c>
      <c r="Y19">
        <v>12</v>
      </c>
      <c r="Z19" t="str">
        <f t="shared" si="2"/>
        <v>Investissement</v>
      </c>
      <c r="AA19" t="str">
        <f t="shared" si="3"/>
        <v>travaux magasin</v>
      </c>
    </row>
    <row r="20" spans="10:27" x14ac:dyDescent="0.25">
      <c r="J20" s="84">
        <v>44140</v>
      </c>
      <c r="K20" s="77">
        <v>864.41</v>
      </c>
      <c r="L20" s="72">
        <v>44.639482742690753</v>
      </c>
      <c r="M20" s="69">
        <v>819.77051725730917</v>
      </c>
      <c r="N20" s="70">
        <v>14311.995158794216</v>
      </c>
      <c r="O20">
        <v>7</v>
      </c>
      <c r="P20" t="s">
        <v>137</v>
      </c>
      <c r="Q20" t="s">
        <v>157</v>
      </c>
      <c r="R20" s="60"/>
      <c r="T20" s="68">
        <f t="shared" si="0"/>
        <v>44321</v>
      </c>
      <c r="U20" s="77">
        <f t="shared" si="1"/>
        <v>864.41</v>
      </c>
      <c r="V20" s="72">
        <f t="shared" si="4"/>
        <v>30.02</v>
      </c>
      <c r="W20" s="69">
        <f>D_Emprunts!$U20-D_Emprunts!$V20</f>
        <v>834.39</v>
      </c>
      <c r="X20" s="70">
        <f>X19-D_Emprunts!$W20</f>
        <v>9342.3300000000017</v>
      </c>
      <c r="Y20">
        <v>13</v>
      </c>
      <c r="Z20" t="str">
        <f t="shared" si="2"/>
        <v>Investissement</v>
      </c>
      <c r="AA20" t="str">
        <f t="shared" si="3"/>
        <v>travaux magasin</v>
      </c>
    </row>
    <row r="21" spans="10:27" x14ac:dyDescent="0.25">
      <c r="J21" s="85">
        <v>44170</v>
      </c>
      <c r="K21" s="77">
        <v>864.41</v>
      </c>
      <c r="L21" s="72">
        <v>42.22111778505792</v>
      </c>
      <c r="M21" s="72">
        <v>822.18888221494205</v>
      </c>
      <c r="N21" s="73">
        <v>13489.806276579275</v>
      </c>
      <c r="O21">
        <v>8</v>
      </c>
      <c r="P21" t="s">
        <v>137</v>
      </c>
      <c r="Q21" t="s">
        <v>157</v>
      </c>
      <c r="R21" s="60"/>
      <c r="T21" s="71">
        <f t="shared" si="0"/>
        <v>44352</v>
      </c>
      <c r="U21" s="77">
        <f t="shared" si="1"/>
        <v>864.41</v>
      </c>
      <c r="V21" s="72">
        <f t="shared" si="4"/>
        <v>27.56</v>
      </c>
      <c r="W21" s="72">
        <f>D_Emprunts!$U21-D_Emprunts!$V21</f>
        <v>836.85</v>
      </c>
      <c r="X21" s="73">
        <f>X20-D_Emprunts!$W21</f>
        <v>8505.4800000000014</v>
      </c>
      <c r="Y21">
        <v>14</v>
      </c>
      <c r="Z21" t="str">
        <f t="shared" si="2"/>
        <v>Investissement</v>
      </c>
      <c r="AA21" t="str">
        <f t="shared" si="3"/>
        <v>travaux magasin</v>
      </c>
    </row>
    <row r="22" spans="10:27" x14ac:dyDescent="0.25">
      <c r="J22" s="84">
        <v>44201</v>
      </c>
      <c r="K22" s="77">
        <v>864.41</v>
      </c>
      <c r="L22" s="72">
        <v>39.795618527099343</v>
      </c>
      <c r="M22" s="69">
        <v>824.61438147290062</v>
      </c>
      <c r="N22" s="70">
        <v>12665.191895106374</v>
      </c>
      <c r="O22">
        <v>9</v>
      </c>
      <c r="P22" t="s">
        <v>137</v>
      </c>
      <c r="Q22" t="s">
        <v>157</v>
      </c>
      <c r="R22" s="60"/>
      <c r="T22" s="68">
        <f t="shared" si="0"/>
        <v>44382</v>
      </c>
      <c r="U22" s="77">
        <f t="shared" si="1"/>
        <v>864.41</v>
      </c>
      <c r="V22" s="72">
        <f t="shared" si="4"/>
        <v>25.09</v>
      </c>
      <c r="W22" s="69">
        <f>D_Emprunts!$U22-D_Emprunts!$V22</f>
        <v>839.31999999999994</v>
      </c>
      <c r="X22" s="70">
        <f>X21-D_Emprunts!$W22</f>
        <v>7666.1600000000017</v>
      </c>
      <c r="Y22">
        <v>15</v>
      </c>
      <c r="Z22" t="str">
        <f t="shared" si="2"/>
        <v>Investissement</v>
      </c>
      <c r="AA22" t="str">
        <f t="shared" si="3"/>
        <v>travaux magasin</v>
      </c>
    </row>
    <row r="23" spans="10:27" x14ac:dyDescent="0.25">
      <c r="J23" s="85">
        <v>44232</v>
      </c>
      <c r="K23" s="77">
        <v>864.41</v>
      </c>
      <c r="L23" s="72">
        <v>37.362963922264129</v>
      </c>
      <c r="M23" s="72">
        <v>827.04703607773581</v>
      </c>
      <c r="N23" s="73">
        <v>11838.144859028638</v>
      </c>
      <c r="O23">
        <v>10</v>
      </c>
      <c r="P23" t="s">
        <v>137</v>
      </c>
      <c r="Q23" t="s">
        <v>157</v>
      </c>
      <c r="R23" s="60"/>
      <c r="T23" s="71">
        <f t="shared" si="0"/>
        <v>44413</v>
      </c>
      <c r="U23" s="77">
        <f t="shared" si="1"/>
        <v>864.41</v>
      </c>
      <c r="V23" s="72">
        <f t="shared" si="4"/>
        <v>22.62</v>
      </c>
      <c r="W23" s="72">
        <f>D_Emprunts!$U23-D_Emprunts!$V23</f>
        <v>841.79</v>
      </c>
      <c r="X23" s="73">
        <f>X22-D_Emprunts!$W23</f>
        <v>6824.3700000000017</v>
      </c>
      <c r="Y23">
        <v>16</v>
      </c>
      <c r="Z23" t="str">
        <f t="shared" si="2"/>
        <v>Investissement</v>
      </c>
      <c r="AA23" t="str">
        <f t="shared" si="3"/>
        <v>travaux magasin</v>
      </c>
    </row>
    <row r="24" spans="10:27" x14ac:dyDescent="0.25">
      <c r="J24" s="84">
        <v>44260</v>
      </c>
      <c r="K24" s="77">
        <v>864.41</v>
      </c>
      <c r="L24" s="72">
        <v>34.923132861912997</v>
      </c>
      <c r="M24" s="69">
        <v>829.48686713808695</v>
      </c>
      <c r="N24" s="70">
        <v>11008.657991890552</v>
      </c>
      <c r="O24">
        <v>11</v>
      </c>
      <c r="P24" t="s">
        <v>137</v>
      </c>
      <c r="Q24" t="s">
        <v>157</v>
      </c>
      <c r="R24" s="60"/>
      <c r="T24" s="68">
        <f t="shared" si="0"/>
        <v>44444</v>
      </c>
      <c r="U24" s="77">
        <f t="shared" si="1"/>
        <v>864.41</v>
      </c>
      <c r="V24" s="72">
        <f t="shared" si="4"/>
        <v>20.13</v>
      </c>
      <c r="W24" s="69">
        <f>D_Emprunts!$U24-D_Emprunts!$V24</f>
        <v>844.28</v>
      </c>
      <c r="X24" s="70">
        <f>X23-D_Emprunts!$W24</f>
        <v>5980.090000000002</v>
      </c>
      <c r="Y24">
        <v>17</v>
      </c>
      <c r="Z24" t="str">
        <f t="shared" si="2"/>
        <v>Investissement</v>
      </c>
      <c r="AA24" t="str">
        <f t="shared" si="3"/>
        <v>travaux magasin</v>
      </c>
    </row>
    <row r="25" spans="10:27" x14ac:dyDescent="0.25">
      <c r="J25" s="85">
        <v>44291</v>
      </c>
      <c r="K25" s="77">
        <v>864.41</v>
      </c>
      <c r="L25" s="72">
        <v>32.476104175135099</v>
      </c>
      <c r="M25" s="72">
        <v>831.93389582486486</v>
      </c>
      <c r="N25" s="73">
        <v>10176.724096065687</v>
      </c>
      <c r="O25">
        <v>12</v>
      </c>
      <c r="P25" t="s">
        <v>137</v>
      </c>
      <c r="Q25" t="s">
        <v>157</v>
      </c>
      <c r="R25" s="60"/>
      <c r="T25" s="71">
        <f t="shared" si="0"/>
        <v>44474</v>
      </c>
      <c r="U25" s="77">
        <f t="shared" si="1"/>
        <v>864.41</v>
      </c>
      <c r="V25" s="72">
        <f t="shared" si="4"/>
        <v>17.64</v>
      </c>
      <c r="W25" s="72">
        <f>D_Emprunts!$U25-D_Emprunts!$V25</f>
        <v>846.77</v>
      </c>
      <c r="X25" s="73">
        <f>X24-D_Emprunts!$W25</f>
        <v>5133.3200000000015</v>
      </c>
      <c r="Y25">
        <v>18</v>
      </c>
      <c r="Z25" t="str">
        <f t="shared" si="2"/>
        <v>Investissement</v>
      </c>
      <c r="AA25" t="str">
        <f t="shared" si="3"/>
        <v>travaux magasin</v>
      </c>
    </row>
    <row r="26" spans="10:27" x14ac:dyDescent="0.25">
      <c r="J26" s="84">
        <v>44321</v>
      </c>
      <c r="K26" s="77">
        <v>864.41</v>
      </c>
      <c r="L26" s="72">
        <v>30.021856628564311</v>
      </c>
      <c r="M26" s="69">
        <v>834.3881433714356</v>
      </c>
      <c r="N26" s="70">
        <v>9342.3359526942513</v>
      </c>
      <c r="O26">
        <v>13</v>
      </c>
      <c r="P26" t="s">
        <v>137</v>
      </c>
      <c r="Q26" t="s">
        <v>157</v>
      </c>
      <c r="R26" s="60"/>
      <c r="T26" s="68">
        <f t="shared" si="0"/>
        <v>44505</v>
      </c>
      <c r="U26" s="77">
        <f t="shared" si="1"/>
        <v>864.41</v>
      </c>
      <c r="V26" s="72">
        <f t="shared" si="4"/>
        <v>15.14</v>
      </c>
      <c r="W26" s="69">
        <f>D_Emprunts!$U26-D_Emprunts!$V26</f>
        <v>849.27</v>
      </c>
      <c r="X26" s="70">
        <f>X25-D_Emprunts!$W26</f>
        <v>4284.0500000000011</v>
      </c>
      <c r="Y26">
        <v>19</v>
      </c>
      <c r="Z26" t="str">
        <f t="shared" si="2"/>
        <v>Investissement</v>
      </c>
      <c r="AA26" t="str">
        <f t="shared" si="3"/>
        <v>travaux magasin</v>
      </c>
    </row>
    <row r="27" spans="10:27" x14ac:dyDescent="0.25">
      <c r="J27" s="85">
        <v>44352</v>
      </c>
      <c r="K27" s="77">
        <v>864.41</v>
      </c>
      <c r="L27" s="72">
        <v>27.560368926194993</v>
      </c>
      <c r="M27" s="72">
        <v>836.84963107380497</v>
      </c>
      <c r="N27" s="73">
        <v>8505.4863216204467</v>
      </c>
      <c r="O27">
        <v>14</v>
      </c>
      <c r="P27" t="s">
        <v>137</v>
      </c>
      <c r="Q27" t="s">
        <v>157</v>
      </c>
      <c r="R27" s="60"/>
      <c r="T27" s="71">
        <f t="shared" si="0"/>
        <v>44535</v>
      </c>
      <c r="U27" s="77">
        <f t="shared" si="1"/>
        <v>864.41</v>
      </c>
      <c r="V27" s="72">
        <f t="shared" si="4"/>
        <v>12.64</v>
      </c>
      <c r="W27" s="72">
        <f>D_Emprunts!$U27-D_Emprunts!$V27</f>
        <v>851.77</v>
      </c>
      <c r="X27" s="73">
        <f>X26-D_Emprunts!$W27</f>
        <v>3432.2800000000011</v>
      </c>
      <c r="Y27">
        <v>20</v>
      </c>
      <c r="Z27" t="str">
        <f t="shared" si="2"/>
        <v>Investissement</v>
      </c>
      <c r="AA27" t="str">
        <f t="shared" si="3"/>
        <v>travaux magasin</v>
      </c>
    </row>
    <row r="28" spans="10:27" x14ac:dyDescent="0.25">
      <c r="J28" s="84">
        <v>44382</v>
      </c>
      <c r="K28" s="77">
        <v>864.41</v>
      </c>
      <c r="L28" s="72">
        <v>25.091619709197204</v>
      </c>
      <c r="M28" s="69">
        <v>839.31838029080279</v>
      </c>
      <c r="N28" s="70">
        <v>7666.1679413296442</v>
      </c>
      <c r="O28">
        <v>15</v>
      </c>
      <c r="P28" t="s">
        <v>137</v>
      </c>
      <c r="Q28" t="s">
        <v>157</v>
      </c>
      <c r="R28" s="60"/>
      <c r="T28" s="68">
        <f t="shared" si="0"/>
        <v>44566</v>
      </c>
      <c r="U28" s="77">
        <f t="shared" si="1"/>
        <v>864.41</v>
      </c>
      <c r="V28" s="72">
        <f t="shared" si="4"/>
        <v>10.130000000000001</v>
      </c>
      <c r="W28" s="69">
        <f>D_Emprunts!$U28-D_Emprunts!$V28</f>
        <v>854.28</v>
      </c>
      <c r="X28" s="70">
        <f>X27-D_Emprunts!$W28</f>
        <v>2578.0000000000009</v>
      </c>
      <c r="Y28">
        <v>21</v>
      </c>
      <c r="Z28" t="str">
        <f t="shared" si="2"/>
        <v>Investissement</v>
      </c>
      <c r="AA28" t="str">
        <f t="shared" si="3"/>
        <v>travaux magasin</v>
      </c>
    </row>
    <row r="29" spans="10:27" x14ac:dyDescent="0.25">
      <c r="J29" s="85">
        <v>44413</v>
      </c>
      <c r="K29" s="77">
        <v>864.41</v>
      </c>
      <c r="L29" s="72">
        <v>22.615587555731356</v>
      </c>
      <c r="M29" s="72">
        <v>841.79441244426857</v>
      </c>
      <c r="N29" s="73">
        <v>6824.3735288853759</v>
      </c>
      <c r="O29">
        <v>16</v>
      </c>
      <c r="P29" t="s">
        <v>137</v>
      </c>
      <c r="Q29" t="s">
        <v>157</v>
      </c>
      <c r="R29" s="60"/>
      <c r="T29" s="71">
        <f t="shared" si="0"/>
        <v>44597</v>
      </c>
      <c r="U29" s="77">
        <f t="shared" si="1"/>
        <v>864.41</v>
      </c>
      <c r="V29" s="72">
        <f t="shared" si="4"/>
        <v>7.61</v>
      </c>
      <c r="W29" s="72">
        <f>D_Emprunts!$U29-D_Emprunts!$V29</f>
        <v>856.8</v>
      </c>
      <c r="X29" s="73">
        <f>X28-D_Emprunts!$W29</f>
        <v>1721.200000000001</v>
      </c>
      <c r="Y29">
        <v>22</v>
      </c>
      <c r="Z29" t="str">
        <f t="shared" si="2"/>
        <v>Investissement</v>
      </c>
      <c r="AA29" t="str">
        <f t="shared" si="3"/>
        <v>travaux magasin</v>
      </c>
    </row>
    <row r="30" spans="10:27" x14ac:dyDescent="0.25">
      <c r="J30" s="84">
        <v>44444</v>
      </c>
      <c r="K30" s="77">
        <v>864.41</v>
      </c>
      <c r="L30" s="72">
        <v>20.132250980762347</v>
      </c>
      <c r="M30" s="69">
        <v>844.2777490192376</v>
      </c>
      <c r="N30" s="70">
        <v>5980.0957798661384</v>
      </c>
      <c r="O30">
        <v>17</v>
      </c>
      <c r="P30" t="s">
        <v>137</v>
      </c>
      <c r="Q30" t="s">
        <v>157</v>
      </c>
      <c r="R30" s="60"/>
      <c r="T30" s="68">
        <f t="shared" si="0"/>
        <v>44625</v>
      </c>
      <c r="U30" s="77">
        <f t="shared" si="1"/>
        <v>864.41</v>
      </c>
      <c r="V30" s="72">
        <f t="shared" si="4"/>
        <v>5.08</v>
      </c>
      <c r="W30" s="69">
        <f>D_Emprunts!$U30-D_Emprunts!$V30</f>
        <v>859.32999999999993</v>
      </c>
      <c r="X30" s="70">
        <f>X29-D_Emprunts!$W30</f>
        <v>861.87000000000103</v>
      </c>
      <c r="Y30">
        <v>23</v>
      </c>
      <c r="Z30" t="str">
        <f t="shared" si="2"/>
        <v>Investissement</v>
      </c>
      <c r="AA30" t="str">
        <f t="shared" si="3"/>
        <v>travaux magasin</v>
      </c>
    </row>
    <row r="31" spans="10:27" x14ac:dyDescent="0.25">
      <c r="J31" s="85">
        <v>44474</v>
      </c>
      <c r="K31" s="77">
        <v>864.41</v>
      </c>
      <c r="L31" s="72">
        <v>17.641588435873114</v>
      </c>
      <c r="M31" s="72">
        <v>846.76841156412684</v>
      </c>
      <c r="N31" s="73">
        <v>5133.3273683020116</v>
      </c>
      <c r="O31">
        <v>18</v>
      </c>
      <c r="P31" t="s">
        <v>137</v>
      </c>
      <c r="Q31" t="s">
        <v>157</v>
      </c>
      <c r="R31" s="60"/>
      <c r="T31" s="71">
        <f t="shared" si="0"/>
        <v>44656</v>
      </c>
      <c r="U31" s="77">
        <f t="shared" si="1"/>
        <v>864.41</v>
      </c>
      <c r="V31" s="72">
        <f t="shared" si="4"/>
        <v>2.54</v>
      </c>
      <c r="W31" s="72">
        <f>D_Emprunts!$U31-D_Emprunts!$V31</f>
        <v>861.87</v>
      </c>
      <c r="X31" s="73">
        <f>X30-D_Emprunts!$W31</f>
        <v>1.0231815394945443E-12</v>
      </c>
      <c r="Y31">
        <v>24</v>
      </c>
      <c r="Z31" t="str">
        <f t="shared" si="2"/>
        <v>Investissement</v>
      </c>
      <c r="AA31" t="str">
        <f t="shared" si="3"/>
        <v>travaux magasin</v>
      </c>
    </row>
    <row r="32" spans="10:27" x14ac:dyDescent="0.25">
      <c r="J32" s="84">
        <v>44505</v>
      </c>
      <c r="K32" s="77">
        <v>864.41</v>
      </c>
      <c r="L32" s="72">
        <v>15.143578309077663</v>
      </c>
      <c r="M32" s="69">
        <v>849.26642169092236</v>
      </c>
      <c r="N32" s="70">
        <v>4284.0609466110891</v>
      </c>
      <c r="O32">
        <v>19</v>
      </c>
      <c r="P32" t="s">
        <v>137</v>
      </c>
      <c r="Q32" t="s">
        <v>157</v>
      </c>
      <c r="R32" s="60"/>
      <c r="T32" s="68">
        <f t="shared" si="0"/>
        <v>44686</v>
      </c>
      <c r="U32" s="77">
        <f t="shared" si="1"/>
        <v>864.41</v>
      </c>
      <c r="V32" s="72">
        <f t="shared" si="4"/>
        <v>0</v>
      </c>
      <c r="W32" s="69">
        <f>D_Emprunts!$U32-D_Emprunts!$V32</f>
        <v>864.41</v>
      </c>
      <c r="X32" s="70">
        <f>X31-D_Emprunts!$W32</f>
        <v>-864.40999999999894</v>
      </c>
      <c r="Y32">
        <v>25</v>
      </c>
      <c r="Z32" t="str">
        <f t="shared" si="2"/>
        <v>Investissement</v>
      </c>
      <c r="AA32" t="str">
        <f t="shared" si="3"/>
        <v>travaux magasin</v>
      </c>
    </row>
    <row r="33" spans="10:27" x14ac:dyDescent="0.25">
      <c r="J33" s="85">
        <v>44535</v>
      </c>
      <c r="K33" s="77">
        <v>864.41</v>
      </c>
      <c r="L33" s="72">
        <v>12.638198924633542</v>
      </c>
      <c r="M33" s="72">
        <v>851.7718010753664</v>
      </c>
      <c r="N33" s="73">
        <v>3432.2891455357226</v>
      </c>
      <c r="O33">
        <v>20</v>
      </c>
      <c r="P33" t="s">
        <v>137</v>
      </c>
      <c r="Q33" t="s">
        <v>157</v>
      </c>
      <c r="R33" s="60"/>
      <c r="T33" s="71">
        <f t="shared" si="0"/>
        <v>44717</v>
      </c>
      <c r="U33" s="77">
        <f t="shared" si="1"/>
        <v>864.41</v>
      </c>
      <c r="V33" s="72">
        <f t="shared" si="4"/>
        <v>-2.5499999999999998</v>
      </c>
      <c r="W33" s="72">
        <f>D_Emprunts!$U33-D_Emprunts!$V33</f>
        <v>866.95999999999992</v>
      </c>
      <c r="X33" s="73">
        <f>X32-D_Emprunts!$W33</f>
        <v>-1731.369999999999</v>
      </c>
      <c r="Y33">
        <v>26</v>
      </c>
      <c r="Z33" t="str">
        <f t="shared" si="2"/>
        <v>Investissement</v>
      </c>
      <c r="AA33" t="str">
        <f t="shared" si="3"/>
        <v>travaux magasin</v>
      </c>
    </row>
    <row r="34" spans="10:27" x14ac:dyDescent="0.25">
      <c r="J34" s="84">
        <v>44566</v>
      </c>
      <c r="K34" s="77">
        <v>864.41</v>
      </c>
      <c r="L34" s="72">
        <v>10.125428542853744</v>
      </c>
      <c r="M34" s="69">
        <v>854.28457145714617</v>
      </c>
      <c r="N34" s="70">
        <v>2578.0045740785763</v>
      </c>
      <c r="O34">
        <v>21</v>
      </c>
      <c r="P34" t="s">
        <v>137</v>
      </c>
      <c r="Q34" t="s">
        <v>157</v>
      </c>
      <c r="R34" s="60"/>
      <c r="T34" s="68">
        <f t="shared" si="0"/>
        <v>44747</v>
      </c>
      <c r="U34" s="77">
        <f t="shared" si="1"/>
        <v>864.41</v>
      </c>
      <c r="V34" s="72">
        <f t="shared" si="4"/>
        <v>-5.1100000000000003</v>
      </c>
      <c r="W34" s="69">
        <f>D_Emprunts!$U34-D_Emprunts!$V34</f>
        <v>869.52</v>
      </c>
      <c r="X34" s="70">
        <f>X33-D_Emprunts!$W34</f>
        <v>-2600.889999999999</v>
      </c>
      <c r="Y34">
        <v>27</v>
      </c>
      <c r="Z34" t="str">
        <f t="shared" si="2"/>
        <v>Investissement</v>
      </c>
      <c r="AA34" t="str">
        <f t="shared" si="3"/>
        <v>travaux magasin</v>
      </c>
    </row>
    <row r="35" spans="10:27" x14ac:dyDescent="0.25">
      <c r="J35" s="85">
        <v>44597</v>
      </c>
      <c r="K35" s="77">
        <v>864.41</v>
      </c>
      <c r="L35" s="72">
        <v>7.6052453599180732</v>
      </c>
      <c r="M35" s="72">
        <v>856.80475464008191</v>
      </c>
      <c r="N35" s="73">
        <v>1721.1998194384944</v>
      </c>
      <c r="O35">
        <v>22</v>
      </c>
      <c r="P35" t="s">
        <v>137</v>
      </c>
      <c r="Q35" t="s">
        <v>157</v>
      </c>
      <c r="R35" s="60"/>
      <c r="T35" s="71">
        <f t="shared" si="0"/>
        <v>44778</v>
      </c>
      <c r="U35" s="77">
        <f t="shared" si="1"/>
        <v>864.41</v>
      </c>
      <c r="V35" s="72">
        <f t="shared" si="4"/>
        <v>-7.67</v>
      </c>
      <c r="W35" s="72">
        <f>D_Emprunts!$U35-D_Emprunts!$V35</f>
        <v>872.07999999999993</v>
      </c>
      <c r="X35" s="73">
        <f>X34-D_Emprunts!$W35</f>
        <v>-3472.9699999999989</v>
      </c>
      <c r="Y35">
        <v>28</v>
      </c>
      <c r="Z35" t="str">
        <f t="shared" si="2"/>
        <v>Investissement</v>
      </c>
      <c r="AA35" t="str">
        <f t="shared" si="3"/>
        <v>travaux magasin</v>
      </c>
    </row>
    <row r="36" spans="10:27" x14ac:dyDescent="0.25">
      <c r="J36" s="84">
        <v>44625</v>
      </c>
      <c r="K36" s="77">
        <v>864.41</v>
      </c>
      <c r="L36" s="72">
        <v>5.0776275076839541</v>
      </c>
      <c r="M36" s="69">
        <v>859.33237249231604</v>
      </c>
      <c r="N36" s="70">
        <v>861.86744694617835</v>
      </c>
      <c r="O36">
        <v>23</v>
      </c>
      <c r="P36" t="s">
        <v>137</v>
      </c>
      <c r="Q36" t="s">
        <v>157</v>
      </c>
      <c r="R36" s="60"/>
      <c r="T36" s="68">
        <f t="shared" si="0"/>
        <v>44809</v>
      </c>
      <c r="U36" s="77">
        <f t="shared" si="1"/>
        <v>864.41</v>
      </c>
      <c r="V36" s="72">
        <f t="shared" si="4"/>
        <v>-10.25</v>
      </c>
      <c r="W36" s="69">
        <f>D_Emprunts!$U36-D_Emprunts!$V36</f>
        <v>874.66</v>
      </c>
      <c r="X36" s="70">
        <f>X35-D_Emprunts!$W36</f>
        <v>-4347.6299999999992</v>
      </c>
      <c r="Y36">
        <v>29</v>
      </c>
      <c r="Z36" t="str">
        <f t="shared" si="2"/>
        <v>Investissement</v>
      </c>
      <c r="AA36" t="str">
        <f t="shared" si="3"/>
        <v>travaux magasin</v>
      </c>
    </row>
    <row r="37" spans="10:27" x14ac:dyDescent="0.25">
      <c r="J37" s="85">
        <v>44656</v>
      </c>
      <c r="K37" s="77">
        <v>864.41</v>
      </c>
      <c r="L37" s="72">
        <v>2.5425530534966674</v>
      </c>
      <c r="M37" s="72">
        <v>861.86744694650326</v>
      </c>
      <c r="N37" s="73">
        <v>-3.2491698220837861E-10</v>
      </c>
      <c r="O37">
        <v>24</v>
      </c>
      <c r="P37" t="s">
        <v>137</v>
      </c>
      <c r="Q37" t="s">
        <v>157</v>
      </c>
      <c r="R37" s="60"/>
      <c r="T37" s="71">
        <f t="shared" si="0"/>
        <v>44839</v>
      </c>
      <c r="U37" s="77">
        <f t="shared" si="1"/>
        <v>864.41</v>
      </c>
      <c r="V37" s="72">
        <f t="shared" si="4"/>
        <v>-12.83</v>
      </c>
      <c r="W37" s="72">
        <f>D_Emprunts!$U37-D_Emprunts!$V37</f>
        <v>877.24</v>
      </c>
      <c r="X37" s="73">
        <f>X36-D_Emprunts!$W37</f>
        <v>-5224.869999999999</v>
      </c>
      <c r="Y37">
        <v>30</v>
      </c>
      <c r="Z37" t="str">
        <f t="shared" si="2"/>
        <v>Investissement</v>
      </c>
      <c r="AA37" t="str">
        <f t="shared" si="3"/>
        <v>travaux magasin</v>
      </c>
    </row>
    <row r="38" spans="10:27" x14ac:dyDescent="0.25">
      <c r="J38" s="84">
        <v>43956</v>
      </c>
      <c r="K38" s="77">
        <v>864.41</v>
      </c>
      <c r="L38" s="69">
        <v>59.00102301126693</v>
      </c>
      <c r="M38" s="69">
        <v>805.408976988733</v>
      </c>
      <c r="N38" s="70">
        <v>19194.591023011268</v>
      </c>
      <c r="O38">
        <v>1</v>
      </c>
      <c r="P38" t="s">
        <v>137</v>
      </c>
      <c r="Q38" t="s">
        <v>172</v>
      </c>
      <c r="R38" s="60"/>
      <c r="T38" s="68">
        <f t="shared" si="0"/>
        <v>44870</v>
      </c>
      <c r="U38" s="77">
        <f t="shared" si="1"/>
        <v>864.41</v>
      </c>
      <c r="V38" s="72">
        <f t="shared" si="4"/>
        <v>-15.41</v>
      </c>
      <c r="W38" s="69">
        <f>D_Emprunts!$U38-D_Emprunts!$V38</f>
        <v>879.81999999999994</v>
      </c>
      <c r="X38" s="70">
        <f>X37-D_Emprunts!$W38</f>
        <v>-6104.6899999999987</v>
      </c>
      <c r="Y38">
        <v>31</v>
      </c>
      <c r="Z38" t="str">
        <f t="shared" si="2"/>
        <v>Investissement</v>
      </c>
      <c r="AA38" t="str">
        <f t="shared" si="3"/>
        <v>travaux magasin</v>
      </c>
    </row>
    <row r="39" spans="10:27" x14ac:dyDescent="0.25">
      <c r="J39" s="85">
        <v>43987</v>
      </c>
      <c r="K39" s="77">
        <v>864.41</v>
      </c>
      <c r="L39" s="72">
        <v>56.625025332027271</v>
      </c>
      <c r="M39" s="72">
        <v>807.78497466797273</v>
      </c>
      <c r="N39" s="73">
        <v>18386.806048343296</v>
      </c>
      <c r="O39">
        <v>2</v>
      </c>
      <c r="P39" t="s">
        <v>137</v>
      </c>
      <c r="Q39" t="s">
        <v>172</v>
      </c>
      <c r="R39" s="60"/>
      <c r="T39" s="71">
        <f t="shared" si="0"/>
        <v>44900</v>
      </c>
      <c r="U39" s="77">
        <f t="shared" si="1"/>
        <v>864.41</v>
      </c>
      <c r="V39" s="72">
        <f t="shared" si="4"/>
        <v>-18.010000000000002</v>
      </c>
      <c r="W39" s="72">
        <f>D_Emprunts!$U39-D_Emprunts!$V39</f>
        <v>882.42</v>
      </c>
      <c r="X39" s="73">
        <f>X38-D_Emprunts!$W39</f>
        <v>-6987.1099999999988</v>
      </c>
      <c r="Y39">
        <v>32</v>
      </c>
      <c r="Z39" t="str">
        <f t="shared" si="2"/>
        <v>Investissement</v>
      </c>
      <c r="AA39" t="str">
        <f t="shared" si="3"/>
        <v>travaux magasin</v>
      </c>
    </row>
    <row r="40" spans="10:27" x14ac:dyDescent="0.25">
      <c r="J40" s="84">
        <v>44017</v>
      </c>
      <c r="K40" s="77">
        <v>864.41</v>
      </c>
      <c r="L40" s="72">
        <v>54.24201833810023</v>
      </c>
      <c r="M40" s="69">
        <v>810.16798166189972</v>
      </c>
      <c r="N40" s="70">
        <v>17576.638066681397</v>
      </c>
      <c r="O40">
        <v>3</v>
      </c>
      <c r="P40" t="s">
        <v>137</v>
      </c>
      <c r="Q40" t="s">
        <v>172</v>
      </c>
      <c r="R40" s="60"/>
      <c r="T40" s="68">
        <f t="shared" si="0"/>
        <v>44931</v>
      </c>
      <c r="U40" s="77">
        <f t="shared" si="1"/>
        <v>864.41</v>
      </c>
      <c r="V40" s="72">
        <f t="shared" si="4"/>
        <v>-20.61</v>
      </c>
      <c r="W40" s="69">
        <f>D_Emprunts!$U40-D_Emprunts!$V40</f>
        <v>885.02</v>
      </c>
      <c r="X40" s="70">
        <f>X39-D_Emprunts!$W40</f>
        <v>-7872.1299999999992</v>
      </c>
      <c r="Y40">
        <v>33</v>
      </c>
      <c r="Z40" t="str">
        <f t="shared" si="2"/>
        <v>Investissement</v>
      </c>
      <c r="AA40" t="str">
        <f t="shared" si="3"/>
        <v>travaux magasin</v>
      </c>
    </row>
    <row r="41" spans="10:27" x14ac:dyDescent="0.25">
      <c r="J41" s="85">
        <v>44048</v>
      </c>
      <c r="K41" s="77">
        <v>864.41</v>
      </c>
      <c r="L41" s="72">
        <v>51.851981351648966</v>
      </c>
      <c r="M41" s="72">
        <v>812.55801864835098</v>
      </c>
      <c r="N41" s="73">
        <v>16764.080048033047</v>
      </c>
      <c r="O41">
        <v>4</v>
      </c>
      <c r="P41" t="s">
        <v>137</v>
      </c>
      <c r="Q41" t="s">
        <v>172</v>
      </c>
      <c r="R41" s="60"/>
      <c r="T41" s="71">
        <f t="shared" si="0"/>
        <v>44962</v>
      </c>
      <c r="U41" s="77">
        <f t="shared" si="1"/>
        <v>864.41</v>
      </c>
      <c r="V41" s="72">
        <f t="shared" si="4"/>
        <v>-23.22</v>
      </c>
      <c r="W41" s="72">
        <f>D_Emprunts!$U41-D_Emprunts!$V41</f>
        <v>887.63</v>
      </c>
      <c r="X41" s="73">
        <f>X40-D_Emprunts!$W41</f>
        <v>-8759.7599999999984</v>
      </c>
      <c r="Y41">
        <v>34</v>
      </c>
      <c r="Z41" t="str">
        <f t="shared" si="2"/>
        <v>Investissement</v>
      </c>
      <c r="AA41" t="str">
        <f t="shared" si="3"/>
        <v>travaux magasin</v>
      </c>
    </row>
    <row r="42" spans="10:27" x14ac:dyDescent="0.25">
      <c r="J42" s="84">
        <v>44079</v>
      </c>
      <c r="K42" s="77">
        <v>864.41</v>
      </c>
      <c r="L42" s="72">
        <v>49.45489363383593</v>
      </c>
      <c r="M42" s="69">
        <v>814.95510636616405</v>
      </c>
      <c r="N42" s="70">
        <v>15949.124941666883</v>
      </c>
      <c r="O42">
        <v>5</v>
      </c>
      <c r="P42" t="s">
        <v>137</v>
      </c>
      <c r="Q42" t="s">
        <v>172</v>
      </c>
      <c r="R42" s="60"/>
      <c r="T42" s="68">
        <f t="shared" si="0"/>
        <v>44990</v>
      </c>
      <c r="U42" s="77">
        <f t="shared" si="1"/>
        <v>864.41</v>
      </c>
      <c r="V42" s="72">
        <f t="shared" si="4"/>
        <v>-25.84</v>
      </c>
      <c r="W42" s="69">
        <f>D_Emprunts!$U42-D_Emprunts!$V42</f>
        <v>890.25</v>
      </c>
      <c r="X42" s="70">
        <f>X41-D_Emprunts!$W42</f>
        <v>-9650.0099999999984</v>
      </c>
      <c r="Y42">
        <v>35</v>
      </c>
      <c r="Z42" t="str">
        <f t="shared" si="2"/>
        <v>Investissement</v>
      </c>
      <c r="AA42" t="str">
        <f t="shared" si="3"/>
        <v>travaux magasin</v>
      </c>
    </row>
    <row r="43" spans="10:27" x14ac:dyDescent="0.25">
      <c r="J43" s="85">
        <v>44109</v>
      </c>
      <c r="K43" s="77">
        <v>864.41</v>
      </c>
      <c r="L43" s="72">
        <v>47.050734384642958</v>
      </c>
      <c r="M43" s="72">
        <v>817.359265615357</v>
      </c>
      <c r="N43" s="73">
        <v>15131.765676051526</v>
      </c>
      <c r="O43">
        <v>6</v>
      </c>
      <c r="P43" t="s">
        <v>137</v>
      </c>
      <c r="Q43" t="s">
        <v>172</v>
      </c>
      <c r="R43" s="60"/>
      <c r="T43" s="71">
        <f t="shared" si="0"/>
        <v>45021</v>
      </c>
      <c r="U43" s="77">
        <f t="shared" si="1"/>
        <v>864.41</v>
      </c>
      <c r="V43" s="72">
        <f t="shared" si="4"/>
        <v>-28.47</v>
      </c>
      <c r="W43" s="72">
        <f>D_Emprunts!$U43-D_Emprunts!$V43</f>
        <v>892.88</v>
      </c>
      <c r="X43" s="73">
        <f>X42-D_Emprunts!$W43</f>
        <v>-10542.889999999998</v>
      </c>
      <c r="Y43">
        <v>36</v>
      </c>
      <c r="Z43" t="str">
        <f t="shared" si="2"/>
        <v>Investissement</v>
      </c>
      <c r="AA43" t="str">
        <f t="shared" si="3"/>
        <v>travaux magasin</v>
      </c>
    </row>
    <row r="44" spans="10:27" x14ac:dyDescent="0.25">
      <c r="J44" s="84">
        <v>44140</v>
      </c>
      <c r="K44" s="77">
        <v>864.41</v>
      </c>
      <c r="L44" s="72">
        <v>44.639482742690753</v>
      </c>
      <c r="M44" s="69">
        <v>819.77051725730917</v>
      </c>
      <c r="N44" s="70">
        <v>14311.995158794216</v>
      </c>
      <c r="O44">
        <v>7</v>
      </c>
      <c r="P44" t="s">
        <v>137</v>
      </c>
      <c r="Q44" t="s">
        <v>172</v>
      </c>
      <c r="R44" s="60"/>
      <c r="T44" s="68">
        <f t="shared" si="0"/>
        <v>45051</v>
      </c>
      <c r="U44" s="77">
        <f t="shared" si="1"/>
        <v>864.41</v>
      </c>
      <c r="V44" s="72">
        <f t="shared" si="4"/>
        <v>-31.1</v>
      </c>
      <c r="W44" s="69">
        <f>D_Emprunts!$U44-D_Emprunts!$V44</f>
        <v>895.51</v>
      </c>
      <c r="X44" s="70">
        <f>X43-D_Emprunts!$W44</f>
        <v>-11438.399999999998</v>
      </c>
      <c r="Y44">
        <v>37</v>
      </c>
      <c r="Z44" t="str">
        <f t="shared" si="2"/>
        <v>Investissement</v>
      </c>
      <c r="AA44" t="str">
        <f t="shared" si="3"/>
        <v>travaux magasin</v>
      </c>
    </row>
    <row r="45" spans="10:27" x14ac:dyDescent="0.25">
      <c r="J45" s="85">
        <v>44170</v>
      </c>
      <c r="K45" s="77">
        <v>864.41</v>
      </c>
      <c r="L45" s="72">
        <v>42.22111778505792</v>
      </c>
      <c r="M45" s="72">
        <v>822.18888221494205</v>
      </c>
      <c r="N45" s="73">
        <v>13489.806276579275</v>
      </c>
      <c r="O45">
        <v>8</v>
      </c>
      <c r="P45" t="s">
        <v>137</v>
      </c>
      <c r="Q45" t="s">
        <v>172</v>
      </c>
      <c r="R45" s="60"/>
      <c r="T45" s="71">
        <f t="shared" si="0"/>
        <v>45082</v>
      </c>
      <c r="U45" s="77">
        <f t="shared" si="1"/>
        <v>864.41</v>
      </c>
      <c r="V45" s="72">
        <f t="shared" si="4"/>
        <v>-33.74</v>
      </c>
      <c r="W45" s="72">
        <f>D_Emprunts!$U45-D_Emprunts!$V45</f>
        <v>898.15</v>
      </c>
      <c r="X45" s="73">
        <f>X44-D_Emprunts!$W45</f>
        <v>-12336.549999999997</v>
      </c>
      <c r="Y45">
        <v>38</v>
      </c>
      <c r="Z45" t="str">
        <f t="shared" si="2"/>
        <v>Investissement</v>
      </c>
      <c r="AA45" t="str">
        <f t="shared" si="3"/>
        <v>travaux magasin</v>
      </c>
    </row>
    <row r="46" spans="10:27" x14ac:dyDescent="0.25">
      <c r="J46" s="84">
        <v>44201</v>
      </c>
      <c r="K46" s="77">
        <v>864.41</v>
      </c>
      <c r="L46" s="72">
        <v>39.795618527099343</v>
      </c>
      <c r="M46" s="69">
        <v>824.61438147290062</v>
      </c>
      <c r="N46" s="70">
        <v>12665.191895106374</v>
      </c>
      <c r="O46">
        <v>9</v>
      </c>
      <c r="P46" t="s">
        <v>137</v>
      </c>
      <c r="Q46" t="s">
        <v>172</v>
      </c>
      <c r="R46" s="60"/>
      <c r="T46" s="68">
        <f t="shared" si="0"/>
        <v>45112</v>
      </c>
      <c r="U46" s="77">
        <f t="shared" si="1"/>
        <v>864.41</v>
      </c>
      <c r="V46" s="72">
        <f t="shared" si="4"/>
        <v>-36.39</v>
      </c>
      <c r="W46" s="69">
        <f>D_Emprunts!$U46-D_Emprunts!$V46</f>
        <v>900.8</v>
      </c>
      <c r="X46" s="70">
        <f>X45-D_Emprunts!$W46</f>
        <v>-13237.349999999997</v>
      </c>
      <c r="Y46">
        <v>39</v>
      </c>
      <c r="Z46" t="str">
        <f t="shared" si="2"/>
        <v>Investissement</v>
      </c>
      <c r="AA46" t="str">
        <f t="shared" si="3"/>
        <v>travaux magasin</v>
      </c>
    </row>
    <row r="47" spans="10:27" x14ac:dyDescent="0.25">
      <c r="J47" s="85">
        <v>44232</v>
      </c>
      <c r="K47" s="77">
        <v>864.41</v>
      </c>
      <c r="L47" s="72">
        <v>37.362963922264129</v>
      </c>
      <c r="M47" s="72">
        <v>827.04703607773581</v>
      </c>
      <c r="N47" s="73">
        <v>11838.144859028638</v>
      </c>
      <c r="O47">
        <v>10</v>
      </c>
      <c r="P47" t="s">
        <v>137</v>
      </c>
      <c r="Q47" t="s">
        <v>172</v>
      </c>
      <c r="R47" s="60"/>
      <c r="T47" s="71">
        <f t="shared" si="0"/>
        <v>45143</v>
      </c>
      <c r="U47" s="77">
        <f t="shared" si="1"/>
        <v>864.41</v>
      </c>
      <c r="V47" s="72">
        <f t="shared" si="4"/>
        <v>-39.049999999999997</v>
      </c>
      <c r="W47" s="72">
        <f>D_Emprunts!$U47-D_Emprunts!$V47</f>
        <v>903.45999999999992</v>
      </c>
      <c r="X47" s="73">
        <f>X46-D_Emprunts!$W47</f>
        <v>-14140.809999999996</v>
      </c>
      <c r="Y47">
        <v>40</v>
      </c>
      <c r="Z47" t="str">
        <f t="shared" si="2"/>
        <v>Investissement</v>
      </c>
      <c r="AA47" t="str">
        <f t="shared" si="3"/>
        <v>travaux magasin</v>
      </c>
    </row>
    <row r="48" spans="10:27" x14ac:dyDescent="0.25">
      <c r="J48" s="84">
        <v>44260</v>
      </c>
      <c r="K48" s="77">
        <v>864.41</v>
      </c>
      <c r="L48" s="72">
        <v>34.923132861912997</v>
      </c>
      <c r="M48" s="69">
        <v>829.48686713808695</v>
      </c>
      <c r="N48" s="70">
        <v>11008.657991890552</v>
      </c>
      <c r="O48">
        <v>11</v>
      </c>
      <c r="P48" t="s">
        <v>137</v>
      </c>
      <c r="Q48" t="s">
        <v>172</v>
      </c>
      <c r="R48" s="60"/>
      <c r="T48" s="68">
        <f t="shared" si="0"/>
        <v>45174</v>
      </c>
      <c r="U48" s="77">
        <f t="shared" si="1"/>
        <v>864.41</v>
      </c>
      <c r="V48" s="72">
        <f t="shared" si="4"/>
        <v>-41.72</v>
      </c>
      <c r="W48" s="69">
        <f>D_Emprunts!$U48-D_Emprunts!$V48</f>
        <v>906.13</v>
      </c>
      <c r="X48" s="70">
        <f>X47-D_Emprunts!$W48</f>
        <v>-15046.939999999995</v>
      </c>
      <c r="Y48">
        <v>41</v>
      </c>
      <c r="Z48" t="str">
        <f t="shared" si="2"/>
        <v>Investissement</v>
      </c>
      <c r="AA48" t="str">
        <f t="shared" si="3"/>
        <v>travaux magasin</v>
      </c>
    </row>
    <row r="49" spans="10:27" x14ac:dyDescent="0.25">
      <c r="J49" s="85">
        <v>44291</v>
      </c>
      <c r="K49" s="77">
        <v>864.41</v>
      </c>
      <c r="L49" s="72">
        <v>32.476104175135099</v>
      </c>
      <c r="M49" s="72">
        <v>831.93389582486486</v>
      </c>
      <c r="N49" s="73">
        <v>10176.724096065687</v>
      </c>
      <c r="O49">
        <v>12</v>
      </c>
      <c r="P49" t="s">
        <v>137</v>
      </c>
      <c r="Q49" t="s">
        <v>172</v>
      </c>
      <c r="R49" s="60"/>
      <c r="T49" s="71">
        <f t="shared" si="0"/>
        <v>45204</v>
      </c>
      <c r="U49" s="77">
        <f t="shared" si="1"/>
        <v>864.41</v>
      </c>
      <c r="V49" s="72">
        <f t="shared" si="4"/>
        <v>-44.39</v>
      </c>
      <c r="W49" s="72">
        <f>D_Emprunts!$U49-D_Emprunts!$V49</f>
        <v>908.8</v>
      </c>
      <c r="X49" s="73">
        <f>X48-D_Emprunts!$W49</f>
        <v>-15955.739999999994</v>
      </c>
      <c r="Y49">
        <v>42</v>
      </c>
      <c r="Z49" t="str">
        <f t="shared" si="2"/>
        <v>Investissement</v>
      </c>
      <c r="AA49" t="str">
        <f t="shared" si="3"/>
        <v>travaux magasin</v>
      </c>
    </row>
    <row r="50" spans="10:27" x14ac:dyDescent="0.25">
      <c r="J50" s="84">
        <v>44321</v>
      </c>
      <c r="K50" s="77">
        <v>864.41</v>
      </c>
      <c r="L50" s="72">
        <v>30.021856628564311</v>
      </c>
      <c r="M50" s="69">
        <v>834.3881433714356</v>
      </c>
      <c r="N50" s="70">
        <v>9342.3359526942513</v>
      </c>
      <c r="O50">
        <v>13</v>
      </c>
      <c r="P50" t="s">
        <v>137</v>
      </c>
      <c r="Q50" t="s">
        <v>172</v>
      </c>
      <c r="R50" s="60"/>
      <c r="T50" s="68">
        <f t="shared" si="0"/>
        <v>45235</v>
      </c>
      <c r="U50" s="77">
        <f t="shared" si="1"/>
        <v>864.41</v>
      </c>
      <c r="V50" s="72">
        <f t="shared" si="4"/>
        <v>-47.07</v>
      </c>
      <c r="W50" s="69">
        <f>D_Emprunts!$U50-D_Emprunts!$V50</f>
        <v>911.48</v>
      </c>
      <c r="X50" s="70">
        <f>X49-D_Emprunts!$W50</f>
        <v>-16867.219999999994</v>
      </c>
      <c r="Y50">
        <v>43</v>
      </c>
      <c r="Z50" t="str">
        <f t="shared" si="2"/>
        <v>Investissement</v>
      </c>
      <c r="AA50" t="str">
        <f t="shared" si="3"/>
        <v>travaux magasin</v>
      </c>
    </row>
    <row r="51" spans="10:27" x14ac:dyDescent="0.25">
      <c r="J51" s="85">
        <v>44352</v>
      </c>
      <c r="K51" s="77">
        <v>864.41</v>
      </c>
      <c r="L51" s="72">
        <v>27.560368926194993</v>
      </c>
      <c r="M51" s="72">
        <v>836.84963107380497</v>
      </c>
      <c r="N51" s="73">
        <v>8505.4863216204467</v>
      </c>
      <c r="O51">
        <v>14</v>
      </c>
      <c r="P51" t="s">
        <v>137</v>
      </c>
      <c r="Q51" t="s">
        <v>172</v>
      </c>
      <c r="R51" s="60"/>
      <c r="T51" s="71">
        <f t="shared" si="0"/>
        <v>45265</v>
      </c>
      <c r="U51" s="77">
        <f t="shared" si="1"/>
        <v>864.41</v>
      </c>
      <c r="V51" s="72">
        <f t="shared" si="4"/>
        <v>-49.76</v>
      </c>
      <c r="W51" s="72">
        <f>D_Emprunts!$U51-D_Emprunts!$V51</f>
        <v>914.17</v>
      </c>
      <c r="X51" s="73">
        <f>X50-D_Emprunts!$W51</f>
        <v>-17781.389999999992</v>
      </c>
      <c r="Y51">
        <v>44</v>
      </c>
      <c r="Z51" t="str">
        <f t="shared" si="2"/>
        <v>Investissement</v>
      </c>
      <c r="AA51" t="str">
        <f t="shared" si="3"/>
        <v>travaux magasin</v>
      </c>
    </row>
    <row r="52" spans="10:27" x14ac:dyDescent="0.25">
      <c r="J52" s="84">
        <v>44382</v>
      </c>
      <c r="K52" s="77">
        <v>864.41</v>
      </c>
      <c r="L52" s="72">
        <v>25.091619709197204</v>
      </c>
      <c r="M52" s="69">
        <v>839.31838029080279</v>
      </c>
      <c r="N52" s="70">
        <v>7666.1679413296442</v>
      </c>
      <c r="O52">
        <v>15</v>
      </c>
      <c r="P52" t="s">
        <v>137</v>
      </c>
      <c r="Q52" t="s">
        <v>172</v>
      </c>
      <c r="R52" s="60"/>
      <c r="T52" s="68">
        <f t="shared" si="0"/>
        <v>45296</v>
      </c>
      <c r="U52" s="77">
        <f t="shared" si="1"/>
        <v>864.41</v>
      </c>
      <c r="V52" s="72">
        <f t="shared" si="4"/>
        <v>-52.46</v>
      </c>
      <c r="W52" s="69">
        <f>D_Emprunts!$U52-D_Emprunts!$V52</f>
        <v>916.87</v>
      </c>
      <c r="X52" s="70">
        <f>X51-D_Emprunts!$W52</f>
        <v>-18698.259999999991</v>
      </c>
      <c r="Y52">
        <v>45</v>
      </c>
      <c r="Z52" t="str">
        <f t="shared" si="2"/>
        <v>Investissement</v>
      </c>
      <c r="AA52" t="str">
        <f t="shared" si="3"/>
        <v>travaux magasin</v>
      </c>
    </row>
    <row r="53" spans="10:27" x14ac:dyDescent="0.25">
      <c r="J53" s="85">
        <v>44413</v>
      </c>
      <c r="K53" s="77">
        <v>864.41</v>
      </c>
      <c r="L53" s="72">
        <v>22.615587555731356</v>
      </c>
      <c r="M53" s="72">
        <v>841.79441244426857</v>
      </c>
      <c r="N53" s="73">
        <v>6824.3735288853759</v>
      </c>
      <c r="O53">
        <v>16</v>
      </c>
      <c r="P53" t="s">
        <v>137</v>
      </c>
      <c r="Q53" t="s">
        <v>172</v>
      </c>
      <c r="R53" s="60"/>
      <c r="T53" s="71">
        <f t="shared" si="0"/>
        <v>45327</v>
      </c>
      <c r="U53" s="77">
        <f t="shared" si="1"/>
        <v>864.41</v>
      </c>
      <c r="V53" s="72">
        <f t="shared" si="4"/>
        <v>-55.16</v>
      </c>
      <c r="W53" s="72">
        <f>D_Emprunts!$U53-D_Emprunts!$V53</f>
        <v>919.56999999999994</v>
      </c>
      <c r="X53" s="73">
        <f>X52-D_Emprunts!$W53</f>
        <v>-19617.829999999991</v>
      </c>
      <c r="Y53">
        <v>46</v>
      </c>
      <c r="Z53" t="str">
        <f t="shared" si="2"/>
        <v>Investissement</v>
      </c>
      <c r="AA53" t="str">
        <f t="shared" si="3"/>
        <v>travaux magasin</v>
      </c>
    </row>
    <row r="54" spans="10:27" x14ac:dyDescent="0.25">
      <c r="J54" s="84">
        <v>44444</v>
      </c>
      <c r="K54" s="77">
        <v>864.41</v>
      </c>
      <c r="L54" s="72">
        <v>20.132250980762347</v>
      </c>
      <c r="M54" s="69">
        <v>844.2777490192376</v>
      </c>
      <c r="N54" s="70">
        <v>5980.0957798661384</v>
      </c>
      <c r="O54">
        <v>17</v>
      </c>
      <c r="P54" t="s">
        <v>137</v>
      </c>
      <c r="Q54" t="s">
        <v>172</v>
      </c>
      <c r="R54" s="60"/>
      <c r="T54" s="68">
        <f t="shared" si="0"/>
        <v>45356</v>
      </c>
      <c r="U54" s="77">
        <f t="shared" si="1"/>
        <v>864.41</v>
      </c>
      <c r="V54" s="72">
        <f t="shared" si="4"/>
        <v>-57.87</v>
      </c>
      <c r="W54" s="69">
        <f>D_Emprunts!$U54-D_Emprunts!$V54</f>
        <v>922.28</v>
      </c>
      <c r="X54" s="70">
        <f>X53-D_Emprunts!$W54</f>
        <v>-20540.10999999999</v>
      </c>
      <c r="Y54">
        <v>47</v>
      </c>
      <c r="Z54" t="str">
        <f t="shared" si="2"/>
        <v>Investissement</v>
      </c>
      <c r="AA54" t="str">
        <f t="shared" si="3"/>
        <v>travaux magasin</v>
      </c>
    </row>
    <row r="55" spans="10:27" x14ac:dyDescent="0.25">
      <c r="J55" s="85">
        <v>44474</v>
      </c>
      <c r="K55" s="77">
        <v>864.41</v>
      </c>
      <c r="L55" s="72">
        <v>17.641588435873114</v>
      </c>
      <c r="M55" s="72">
        <v>846.76841156412684</v>
      </c>
      <c r="N55" s="73">
        <v>5133.3273683020116</v>
      </c>
      <c r="O55">
        <v>18</v>
      </c>
      <c r="P55" t="s">
        <v>137</v>
      </c>
      <c r="Q55" t="s">
        <v>172</v>
      </c>
      <c r="R55" s="60"/>
      <c r="T55" s="71">
        <f t="shared" si="0"/>
        <v>45387</v>
      </c>
      <c r="U55" s="77">
        <f t="shared" si="1"/>
        <v>864.41</v>
      </c>
      <c r="V55" s="72">
        <f t="shared" si="4"/>
        <v>-60.59</v>
      </c>
      <c r="W55" s="72">
        <f>D_Emprunts!$U55-D_Emprunts!$V55</f>
        <v>925</v>
      </c>
      <c r="X55" s="73">
        <f>X54-D_Emprunts!$W55</f>
        <v>-21465.10999999999</v>
      </c>
      <c r="Y55">
        <v>48</v>
      </c>
      <c r="Z55" t="str">
        <f t="shared" si="2"/>
        <v>Investissement</v>
      </c>
      <c r="AA55" t="str">
        <f t="shared" si="3"/>
        <v>travaux magasin</v>
      </c>
    </row>
    <row r="56" spans="10:27" x14ac:dyDescent="0.25">
      <c r="J56" s="84">
        <v>44505</v>
      </c>
      <c r="K56" s="77">
        <v>864.41</v>
      </c>
      <c r="L56" s="72">
        <v>15.143578309077663</v>
      </c>
      <c r="M56" s="69">
        <v>849.26642169092236</v>
      </c>
      <c r="N56" s="70">
        <v>4284.0609466110891</v>
      </c>
      <c r="O56">
        <v>19</v>
      </c>
      <c r="P56" t="s">
        <v>137</v>
      </c>
      <c r="Q56" t="s">
        <v>172</v>
      </c>
      <c r="R56" s="60"/>
      <c r="T56" s="68">
        <f t="shared" si="0"/>
        <v>45417</v>
      </c>
      <c r="U56" s="77">
        <f t="shared" si="1"/>
        <v>864.41</v>
      </c>
      <c r="V56" s="72">
        <f t="shared" si="4"/>
        <v>-63.32</v>
      </c>
      <c r="W56" s="69">
        <f>D_Emprunts!$U56-D_Emprunts!$V56</f>
        <v>927.73</v>
      </c>
      <c r="X56" s="70">
        <f>X55-D_Emprunts!$W56</f>
        <v>-22392.839999999989</v>
      </c>
      <c r="Y56">
        <v>49</v>
      </c>
      <c r="Z56" t="str">
        <f t="shared" si="2"/>
        <v>Investissement</v>
      </c>
      <c r="AA56" t="str">
        <f t="shared" si="3"/>
        <v>travaux magasin</v>
      </c>
    </row>
    <row r="57" spans="10:27" x14ac:dyDescent="0.25">
      <c r="J57" s="85">
        <v>44535</v>
      </c>
      <c r="K57" s="77">
        <v>864.41</v>
      </c>
      <c r="L57" s="72">
        <v>12.638198924633542</v>
      </c>
      <c r="M57" s="72">
        <v>851.7718010753664</v>
      </c>
      <c r="N57" s="73">
        <v>3432.2891455357226</v>
      </c>
      <c r="O57">
        <v>20</v>
      </c>
      <c r="P57" t="s">
        <v>137</v>
      </c>
      <c r="Q57" t="s">
        <v>172</v>
      </c>
      <c r="R57" s="60"/>
      <c r="T57" s="71">
        <f t="shared" si="0"/>
        <v>45448</v>
      </c>
      <c r="U57" s="77">
        <f t="shared" si="1"/>
        <v>864.41</v>
      </c>
      <c r="V57" s="72">
        <f t="shared" si="4"/>
        <v>-66.06</v>
      </c>
      <c r="W57" s="72">
        <f>D_Emprunts!$U57-D_Emprunts!$V57</f>
        <v>930.47</v>
      </c>
      <c r="X57" s="73">
        <f>X56-D_Emprunts!$W57</f>
        <v>-23323.30999999999</v>
      </c>
      <c r="Y57">
        <v>50</v>
      </c>
      <c r="Z57" t="str">
        <f t="shared" si="2"/>
        <v>Investissement</v>
      </c>
      <c r="AA57" t="str">
        <f t="shared" si="3"/>
        <v>travaux magasin</v>
      </c>
    </row>
    <row r="58" spans="10:27" x14ac:dyDescent="0.25">
      <c r="J58" s="84">
        <v>44566</v>
      </c>
      <c r="K58" s="77">
        <v>864.41</v>
      </c>
      <c r="L58" s="72">
        <v>10.125428542853744</v>
      </c>
      <c r="M58" s="69">
        <v>854.28457145714617</v>
      </c>
      <c r="N58" s="70">
        <v>2578.0045740785763</v>
      </c>
      <c r="O58">
        <v>21</v>
      </c>
      <c r="P58" t="s">
        <v>137</v>
      </c>
      <c r="Q58" t="s">
        <v>172</v>
      </c>
      <c r="R58" s="60"/>
      <c r="T58" s="68">
        <f t="shared" si="0"/>
        <v>45478</v>
      </c>
      <c r="U58" s="77">
        <f t="shared" si="1"/>
        <v>864.41</v>
      </c>
      <c r="V58" s="72">
        <f t="shared" si="4"/>
        <v>-68.8</v>
      </c>
      <c r="W58" s="69">
        <f>D_Emprunts!$U58-D_Emprunts!$V58</f>
        <v>933.20999999999992</v>
      </c>
      <c r="X58" s="70">
        <f>X57-D_Emprunts!$W58</f>
        <v>-24256.51999999999</v>
      </c>
      <c r="Y58">
        <v>51</v>
      </c>
      <c r="Z58" t="str">
        <f t="shared" si="2"/>
        <v>Investissement</v>
      </c>
      <c r="AA58" t="str">
        <f t="shared" si="3"/>
        <v>travaux magasin</v>
      </c>
    </row>
    <row r="59" spans="10:27" x14ac:dyDescent="0.25">
      <c r="J59" s="85">
        <v>44597</v>
      </c>
      <c r="K59" s="77">
        <v>864.41</v>
      </c>
      <c r="L59" s="72">
        <v>7.6052453599180732</v>
      </c>
      <c r="M59" s="72">
        <v>856.80475464008191</v>
      </c>
      <c r="N59" s="73">
        <v>1721.1998194384944</v>
      </c>
      <c r="O59">
        <v>22</v>
      </c>
      <c r="P59" t="s">
        <v>137</v>
      </c>
      <c r="Q59" t="s">
        <v>172</v>
      </c>
      <c r="R59" s="60"/>
      <c r="T59" s="71">
        <f t="shared" si="0"/>
        <v>45509</v>
      </c>
      <c r="U59" s="77">
        <f t="shared" si="1"/>
        <v>864.41</v>
      </c>
      <c r="V59" s="72">
        <f t="shared" si="4"/>
        <v>-71.56</v>
      </c>
      <c r="W59" s="72">
        <f>D_Emprunts!$U59-D_Emprunts!$V59</f>
        <v>935.97</v>
      </c>
      <c r="X59" s="73">
        <f>X58-D_Emprunts!$W59</f>
        <v>-25192.489999999991</v>
      </c>
      <c r="Y59">
        <v>52</v>
      </c>
      <c r="Z59" t="str">
        <f t="shared" si="2"/>
        <v>Investissement</v>
      </c>
      <c r="AA59" t="str">
        <f t="shared" si="3"/>
        <v>travaux magasin</v>
      </c>
    </row>
    <row r="60" spans="10:27" x14ac:dyDescent="0.25">
      <c r="J60" s="84">
        <v>44625</v>
      </c>
      <c r="K60" s="77">
        <v>864.41</v>
      </c>
      <c r="L60" s="72">
        <v>5.0776275076839541</v>
      </c>
      <c r="M60" s="69">
        <v>859.33237249231604</v>
      </c>
      <c r="N60" s="70">
        <v>861.86744694617835</v>
      </c>
      <c r="O60">
        <v>23</v>
      </c>
      <c r="P60" t="s">
        <v>137</v>
      </c>
      <c r="Q60" t="s">
        <v>172</v>
      </c>
      <c r="R60" s="60"/>
      <c r="T60" s="68">
        <f t="shared" si="0"/>
        <v>45540</v>
      </c>
      <c r="U60" s="77">
        <f t="shared" si="1"/>
        <v>864.41</v>
      </c>
      <c r="V60" s="72">
        <f t="shared" si="4"/>
        <v>-74.319999999999993</v>
      </c>
      <c r="W60" s="69">
        <f>D_Emprunts!$U60-D_Emprunts!$V60</f>
        <v>938.73</v>
      </c>
      <c r="X60" s="70">
        <f>X59-D_Emprunts!$W60</f>
        <v>-26131.21999999999</v>
      </c>
      <c r="Y60">
        <v>53</v>
      </c>
      <c r="Z60" t="str">
        <f t="shared" si="2"/>
        <v>Investissement</v>
      </c>
      <c r="AA60" t="str">
        <f t="shared" si="3"/>
        <v>travaux magasin</v>
      </c>
    </row>
    <row r="61" spans="10:27" x14ac:dyDescent="0.25">
      <c r="J61" s="85">
        <v>44656</v>
      </c>
      <c r="K61" s="77">
        <v>864.41</v>
      </c>
      <c r="L61" s="72">
        <v>2.5425530534966674</v>
      </c>
      <c r="M61" s="72">
        <v>861.86744694650326</v>
      </c>
      <c r="N61" s="73">
        <v>-3.2491698220837861E-10</v>
      </c>
      <c r="O61">
        <v>24</v>
      </c>
      <c r="P61" t="s">
        <v>137</v>
      </c>
      <c r="Q61" t="s">
        <v>172</v>
      </c>
      <c r="R61" s="60"/>
      <c r="T61" s="71">
        <f t="shared" si="0"/>
        <v>45570</v>
      </c>
      <c r="U61" s="77">
        <f t="shared" si="1"/>
        <v>864.41</v>
      </c>
      <c r="V61" s="72">
        <f t="shared" si="4"/>
        <v>-77.09</v>
      </c>
      <c r="W61" s="72">
        <f>D_Emprunts!$U61-D_Emprunts!$V61</f>
        <v>941.5</v>
      </c>
      <c r="X61" s="73">
        <f>X60-D_Emprunts!$W61</f>
        <v>-27072.71999999999</v>
      </c>
      <c r="Y61">
        <v>54</v>
      </c>
      <c r="Z61" t="str">
        <f t="shared" si="2"/>
        <v>Investissement</v>
      </c>
      <c r="AA61" t="str">
        <f t="shared" si="3"/>
        <v>travaux magasin</v>
      </c>
    </row>
    <row r="62" spans="10:27" x14ac:dyDescent="0.25">
      <c r="J62" s="78"/>
      <c r="K62" s="79"/>
      <c r="L62" s="80"/>
      <c r="M62" s="80"/>
      <c r="N62" s="81"/>
      <c r="O62" s="60"/>
      <c r="P62" s="60"/>
      <c r="Q62" s="60"/>
      <c r="R62" s="60"/>
      <c r="T62" s="68">
        <f t="shared" si="0"/>
        <v>45601</v>
      </c>
      <c r="U62" s="77">
        <f t="shared" si="1"/>
        <v>864.41</v>
      </c>
      <c r="V62" s="72">
        <f t="shared" si="4"/>
        <v>-79.87</v>
      </c>
      <c r="W62" s="69">
        <f>D_Emprunts!$U62-D_Emprunts!$V62</f>
        <v>944.28</v>
      </c>
      <c r="X62" s="70">
        <f>X61-D_Emprunts!$W62</f>
        <v>-28016.999999999989</v>
      </c>
      <c r="Y62">
        <v>55</v>
      </c>
      <c r="Z62" t="str">
        <f t="shared" si="2"/>
        <v>Investissement</v>
      </c>
      <c r="AA62" t="str">
        <f t="shared" si="3"/>
        <v>travaux magasin</v>
      </c>
    </row>
    <row r="63" spans="10:27" x14ac:dyDescent="0.25">
      <c r="J63" s="60"/>
      <c r="K63" s="60"/>
      <c r="L63" s="60"/>
      <c r="M63" s="60"/>
      <c r="N63" s="60"/>
      <c r="O63" s="60"/>
      <c r="P63" s="60"/>
      <c r="Q63" s="60"/>
      <c r="R63" s="60"/>
      <c r="T63" s="71">
        <f t="shared" si="0"/>
        <v>45631</v>
      </c>
      <c r="U63" s="77">
        <f t="shared" si="1"/>
        <v>864.41</v>
      </c>
      <c r="V63" s="72">
        <f t="shared" si="4"/>
        <v>-82.65</v>
      </c>
      <c r="W63" s="72">
        <f>D_Emprunts!$U63-D_Emprunts!$V63</f>
        <v>947.06</v>
      </c>
      <c r="X63" s="73">
        <f>X62-D_Emprunts!$W63</f>
        <v>-28964.05999999999</v>
      </c>
      <c r="Y63">
        <v>56</v>
      </c>
      <c r="Z63" t="str">
        <f t="shared" si="2"/>
        <v>Investissement</v>
      </c>
      <c r="AA63" t="str">
        <f t="shared" si="3"/>
        <v>travaux magasin</v>
      </c>
    </row>
    <row r="64" spans="10:27" x14ac:dyDescent="0.25">
      <c r="T64" s="68">
        <f t="shared" si="0"/>
        <v>45662</v>
      </c>
      <c r="U64" s="77">
        <f t="shared" si="1"/>
        <v>864.41</v>
      </c>
      <c r="V64" s="72">
        <f t="shared" si="4"/>
        <v>-85.45</v>
      </c>
      <c r="W64" s="69">
        <f>D_Emprunts!$U64-D_Emprunts!$V64</f>
        <v>949.86</v>
      </c>
      <c r="X64" s="70">
        <f>X63-D_Emprunts!$W64</f>
        <v>-29913.919999999991</v>
      </c>
      <c r="Y64">
        <v>57</v>
      </c>
      <c r="Z64" t="str">
        <f t="shared" si="2"/>
        <v>Investissement</v>
      </c>
      <c r="AA64" t="str">
        <f t="shared" si="3"/>
        <v>travaux magasin</v>
      </c>
    </row>
    <row r="65" spans="20:27" x14ac:dyDescent="0.25">
      <c r="T65" s="71">
        <f t="shared" si="0"/>
        <v>45693</v>
      </c>
      <c r="U65" s="77">
        <f t="shared" si="1"/>
        <v>864.41</v>
      </c>
      <c r="V65" s="72">
        <f t="shared" si="4"/>
        <v>-88.25</v>
      </c>
      <c r="W65" s="72">
        <f>D_Emprunts!$U65-D_Emprunts!$V65</f>
        <v>952.66</v>
      </c>
      <c r="X65" s="73">
        <f>X64-D_Emprunts!$W65</f>
        <v>-30866.579999999991</v>
      </c>
      <c r="Y65">
        <v>58</v>
      </c>
      <c r="Z65" t="str">
        <f t="shared" si="2"/>
        <v>Investissement</v>
      </c>
      <c r="AA65" t="str">
        <f t="shared" si="3"/>
        <v>travaux magasin</v>
      </c>
    </row>
    <row r="66" spans="20:27" x14ac:dyDescent="0.25">
      <c r="T66" s="68">
        <f t="shared" si="0"/>
        <v>45721</v>
      </c>
      <c r="U66" s="77">
        <f t="shared" si="1"/>
        <v>864.41</v>
      </c>
      <c r="V66" s="72">
        <f t="shared" si="4"/>
        <v>-91.06</v>
      </c>
      <c r="W66" s="69">
        <f>D_Emprunts!$U66-D_Emprunts!$V66</f>
        <v>955.47</v>
      </c>
      <c r="X66" s="70">
        <f>X65-D_Emprunts!$W66</f>
        <v>-31822.049999999992</v>
      </c>
      <c r="Y66">
        <v>59</v>
      </c>
      <c r="Z66" t="str">
        <f t="shared" si="2"/>
        <v>Investissement</v>
      </c>
      <c r="AA66" t="str">
        <f t="shared" si="3"/>
        <v>travaux magasin</v>
      </c>
    </row>
    <row r="67" spans="20:27" x14ac:dyDescent="0.25">
      <c r="T67" s="71">
        <f t="shared" si="0"/>
        <v>45752</v>
      </c>
      <c r="U67" s="77">
        <f t="shared" si="1"/>
        <v>864.41</v>
      </c>
      <c r="V67" s="72">
        <f t="shared" si="4"/>
        <v>-93.88</v>
      </c>
      <c r="W67" s="72">
        <f>D_Emprunts!$U67-D_Emprunts!$V67</f>
        <v>958.29</v>
      </c>
      <c r="X67" s="73">
        <f>X66-D_Emprunts!$W67</f>
        <v>-32780.339999999989</v>
      </c>
      <c r="Y67">
        <v>60</v>
      </c>
      <c r="Z67" t="str">
        <f t="shared" si="2"/>
        <v>Investissement</v>
      </c>
      <c r="AA67" t="str">
        <f t="shared" si="3"/>
        <v>travaux magasin</v>
      </c>
    </row>
    <row r="68" spans="20:27" x14ac:dyDescent="0.25">
      <c r="T68" s="68">
        <f t="shared" si="0"/>
        <v>45782</v>
      </c>
      <c r="U68" s="77">
        <f t="shared" si="1"/>
        <v>864.41</v>
      </c>
      <c r="V68" s="72">
        <f t="shared" si="4"/>
        <v>-96.7</v>
      </c>
      <c r="W68" s="69">
        <f>D_Emprunts!$U68-D_Emprunts!$V68</f>
        <v>961.11</v>
      </c>
      <c r="X68" s="70">
        <f>X67-D_Emprunts!$W68</f>
        <v>-33741.44999999999</v>
      </c>
      <c r="Y68">
        <v>61</v>
      </c>
      <c r="Z68" t="str">
        <f t="shared" si="2"/>
        <v>Investissement</v>
      </c>
      <c r="AA68" t="str">
        <f t="shared" si="3"/>
        <v>travaux magasin</v>
      </c>
    </row>
    <row r="69" spans="20:27" x14ac:dyDescent="0.25">
      <c r="T69" s="71">
        <f t="shared" si="0"/>
        <v>45813</v>
      </c>
      <c r="U69" s="77">
        <f t="shared" si="1"/>
        <v>864.41</v>
      </c>
      <c r="V69" s="72">
        <f t="shared" si="4"/>
        <v>-99.54</v>
      </c>
      <c r="W69" s="72">
        <f>D_Emprunts!$U69-D_Emprunts!$V69</f>
        <v>963.94999999999993</v>
      </c>
      <c r="X69" s="73">
        <f>X68-D_Emprunts!$W69</f>
        <v>-34705.399999999987</v>
      </c>
      <c r="Y69">
        <v>62</v>
      </c>
      <c r="Z69" t="str">
        <f t="shared" si="2"/>
        <v>Investissement</v>
      </c>
      <c r="AA69" t="str">
        <f t="shared" si="3"/>
        <v>travaux magasin</v>
      </c>
    </row>
    <row r="70" spans="20:27" x14ac:dyDescent="0.25">
      <c r="T70" s="68">
        <f t="shared" si="0"/>
        <v>45843</v>
      </c>
      <c r="U70" s="77">
        <f t="shared" si="1"/>
        <v>864.41</v>
      </c>
      <c r="V70" s="72">
        <f t="shared" si="4"/>
        <v>-102.38</v>
      </c>
      <c r="W70" s="69">
        <f>D_Emprunts!$U70-D_Emprunts!$V70</f>
        <v>966.79</v>
      </c>
      <c r="X70" s="70">
        <f>X69-D_Emprunts!$W70</f>
        <v>-35672.189999999988</v>
      </c>
      <c r="Y70">
        <v>63</v>
      </c>
      <c r="Z70" t="str">
        <f t="shared" si="2"/>
        <v>Investissement</v>
      </c>
      <c r="AA70" t="str">
        <f t="shared" si="3"/>
        <v>travaux magasin</v>
      </c>
    </row>
    <row r="71" spans="20:27" x14ac:dyDescent="0.25">
      <c r="T71" s="71">
        <f t="shared" si="0"/>
        <v>45874</v>
      </c>
      <c r="U71" s="77">
        <f t="shared" si="1"/>
        <v>864.41</v>
      </c>
      <c r="V71" s="72">
        <f t="shared" si="4"/>
        <v>-105.23</v>
      </c>
      <c r="W71" s="72">
        <f>D_Emprunts!$U71-D_Emprunts!$V71</f>
        <v>969.64</v>
      </c>
      <c r="X71" s="73">
        <f>X70-D_Emprunts!$W71</f>
        <v>-36641.829999999987</v>
      </c>
      <c r="Y71">
        <v>64</v>
      </c>
      <c r="Z71" t="str">
        <f t="shared" si="2"/>
        <v>Investissement</v>
      </c>
      <c r="AA71" t="str">
        <f t="shared" si="3"/>
        <v>travaux magasin</v>
      </c>
    </row>
    <row r="72" spans="20:27" x14ac:dyDescent="0.25">
      <c r="T72" s="68">
        <f t="shared" ref="T72:T135" si="5">EDATE(T71,1)</f>
        <v>45905</v>
      </c>
      <c r="U72" s="77">
        <f t="shared" si="1"/>
        <v>864.41</v>
      </c>
      <c r="V72" s="72">
        <f t="shared" si="4"/>
        <v>-108.1</v>
      </c>
      <c r="W72" s="69">
        <f>D_Emprunts!$U72-D_Emprunts!$V72</f>
        <v>972.51</v>
      </c>
      <c r="X72" s="70">
        <f>X71-D_Emprunts!$W72</f>
        <v>-37614.339999999989</v>
      </c>
      <c r="Y72">
        <v>65</v>
      </c>
      <c r="Z72" t="str">
        <f t="shared" si="2"/>
        <v>Investissement</v>
      </c>
      <c r="AA72" t="str">
        <f t="shared" si="3"/>
        <v>travaux magasin</v>
      </c>
    </row>
    <row r="73" spans="20:27" x14ac:dyDescent="0.25">
      <c r="T73" s="71">
        <f t="shared" si="5"/>
        <v>45935</v>
      </c>
      <c r="U73" s="77">
        <f t="shared" ref="U73:U136" si="6">$X$4</f>
        <v>864.41</v>
      </c>
      <c r="V73" s="72">
        <f t="shared" si="4"/>
        <v>-110.96</v>
      </c>
      <c r="W73" s="72">
        <f>D_Emprunts!$U73-D_Emprunts!$V73</f>
        <v>975.37</v>
      </c>
      <c r="X73" s="73">
        <f>X72-D_Emprunts!$W73</f>
        <v>-38589.709999999992</v>
      </c>
      <c r="Y73">
        <v>66</v>
      </c>
      <c r="Z73" t="str">
        <f t="shared" ref="Z73:Z136" si="7">$Y$4</f>
        <v>Investissement</v>
      </c>
      <c r="AA73" t="str">
        <f t="shared" ref="AA73:AA136" si="8">$Z$4</f>
        <v>travaux magasin</v>
      </c>
    </row>
    <row r="74" spans="20:27" x14ac:dyDescent="0.25">
      <c r="T74" s="68">
        <f t="shared" si="5"/>
        <v>45966</v>
      </c>
      <c r="U74" s="77">
        <f t="shared" si="6"/>
        <v>864.41</v>
      </c>
      <c r="V74" s="72">
        <f t="shared" ref="V74:V137" si="9">ROUND(X73*$V$4/12,2)</f>
        <v>-113.84</v>
      </c>
      <c r="W74" s="69">
        <f>D_Emprunts!$U74-D_Emprunts!$V74</f>
        <v>978.25</v>
      </c>
      <c r="X74" s="70">
        <f>X73-D_Emprunts!$W74</f>
        <v>-39567.959999999992</v>
      </c>
      <c r="Y74">
        <v>67</v>
      </c>
      <c r="Z74" t="str">
        <f t="shared" si="7"/>
        <v>Investissement</v>
      </c>
      <c r="AA74" t="str">
        <f t="shared" si="8"/>
        <v>travaux magasin</v>
      </c>
    </row>
    <row r="75" spans="20:27" x14ac:dyDescent="0.25">
      <c r="T75" s="71">
        <f t="shared" si="5"/>
        <v>45996</v>
      </c>
      <c r="U75" s="77">
        <f t="shared" si="6"/>
        <v>864.41</v>
      </c>
      <c r="V75" s="72">
        <f t="shared" si="9"/>
        <v>-116.73</v>
      </c>
      <c r="W75" s="72">
        <f>D_Emprunts!$U75-D_Emprunts!$V75</f>
        <v>981.14</v>
      </c>
      <c r="X75" s="73">
        <f>X74-D_Emprunts!$W75</f>
        <v>-40549.099999999991</v>
      </c>
      <c r="Y75">
        <v>68</v>
      </c>
      <c r="Z75" t="str">
        <f t="shared" si="7"/>
        <v>Investissement</v>
      </c>
      <c r="AA75" t="str">
        <f t="shared" si="8"/>
        <v>travaux magasin</v>
      </c>
    </row>
    <row r="76" spans="20:27" x14ac:dyDescent="0.25">
      <c r="T76" s="68">
        <f t="shared" si="5"/>
        <v>46027</v>
      </c>
      <c r="U76" s="77">
        <f t="shared" si="6"/>
        <v>864.41</v>
      </c>
      <c r="V76" s="72">
        <f t="shared" si="9"/>
        <v>-119.62</v>
      </c>
      <c r="W76" s="69">
        <f>D_Emprunts!$U76-D_Emprunts!$V76</f>
        <v>984.03</v>
      </c>
      <c r="X76" s="70">
        <f>X75-D_Emprunts!$W76</f>
        <v>-41533.12999999999</v>
      </c>
      <c r="Y76">
        <v>69</v>
      </c>
      <c r="Z76" t="str">
        <f t="shared" si="7"/>
        <v>Investissement</v>
      </c>
      <c r="AA76" t="str">
        <f t="shared" si="8"/>
        <v>travaux magasin</v>
      </c>
    </row>
    <row r="77" spans="20:27" x14ac:dyDescent="0.25">
      <c r="T77" s="71">
        <f t="shared" si="5"/>
        <v>46058</v>
      </c>
      <c r="U77" s="77">
        <f t="shared" si="6"/>
        <v>864.41</v>
      </c>
      <c r="V77" s="72">
        <f t="shared" si="9"/>
        <v>-122.52</v>
      </c>
      <c r="W77" s="72">
        <f>D_Emprunts!$U77-D_Emprunts!$V77</f>
        <v>986.93</v>
      </c>
      <c r="X77" s="73">
        <f>X76-D_Emprunts!$W77</f>
        <v>-42520.05999999999</v>
      </c>
      <c r="Y77">
        <v>70</v>
      </c>
      <c r="Z77" t="str">
        <f t="shared" si="7"/>
        <v>Investissement</v>
      </c>
      <c r="AA77" t="str">
        <f t="shared" si="8"/>
        <v>travaux magasin</v>
      </c>
    </row>
    <row r="78" spans="20:27" x14ac:dyDescent="0.25">
      <c r="T78" s="68">
        <f t="shared" si="5"/>
        <v>46086</v>
      </c>
      <c r="U78" s="77">
        <f t="shared" si="6"/>
        <v>864.41</v>
      </c>
      <c r="V78" s="72">
        <f t="shared" si="9"/>
        <v>-125.44</v>
      </c>
      <c r="W78" s="69">
        <f>D_Emprunts!$U78-D_Emprunts!$V78</f>
        <v>989.84999999999991</v>
      </c>
      <c r="X78" s="70">
        <f>X77-D_Emprunts!$W78</f>
        <v>-43509.909999999989</v>
      </c>
      <c r="Y78">
        <v>71</v>
      </c>
      <c r="Z78" t="str">
        <f t="shared" si="7"/>
        <v>Investissement</v>
      </c>
      <c r="AA78" t="str">
        <f t="shared" si="8"/>
        <v>travaux magasin</v>
      </c>
    </row>
    <row r="79" spans="20:27" x14ac:dyDescent="0.25">
      <c r="T79" s="71">
        <f t="shared" si="5"/>
        <v>46117</v>
      </c>
      <c r="U79" s="77">
        <f t="shared" si="6"/>
        <v>864.41</v>
      </c>
      <c r="V79" s="72">
        <f t="shared" si="9"/>
        <v>-128.36000000000001</v>
      </c>
      <c r="W79" s="72">
        <f>D_Emprunts!$U79-D_Emprunts!$V79</f>
        <v>992.77</v>
      </c>
      <c r="X79" s="73">
        <f>X78-D_Emprunts!$W79</f>
        <v>-44502.679999999986</v>
      </c>
      <c r="Y79">
        <v>72</v>
      </c>
      <c r="Z79" t="str">
        <f t="shared" si="7"/>
        <v>Investissement</v>
      </c>
      <c r="AA79" t="str">
        <f t="shared" si="8"/>
        <v>travaux magasin</v>
      </c>
    </row>
    <row r="80" spans="20:27" x14ac:dyDescent="0.25">
      <c r="T80" s="68">
        <f t="shared" si="5"/>
        <v>46147</v>
      </c>
      <c r="U80" s="77">
        <f t="shared" si="6"/>
        <v>864.41</v>
      </c>
      <c r="V80" s="72">
        <f t="shared" si="9"/>
        <v>-131.29</v>
      </c>
      <c r="W80" s="69">
        <f>D_Emprunts!$U80-D_Emprunts!$V80</f>
        <v>995.69999999999993</v>
      </c>
      <c r="X80" s="70">
        <f>X79-D_Emprunts!$W80</f>
        <v>-45498.379999999983</v>
      </c>
      <c r="Y80">
        <v>73</v>
      </c>
      <c r="Z80" t="str">
        <f t="shared" si="7"/>
        <v>Investissement</v>
      </c>
      <c r="AA80" t="str">
        <f t="shared" si="8"/>
        <v>travaux magasin</v>
      </c>
    </row>
    <row r="81" spans="20:27" x14ac:dyDescent="0.25">
      <c r="T81" s="71">
        <f t="shared" si="5"/>
        <v>46178</v>
      </c>
      <c r="U81" s="77">
        <f t="shared" si="6"/>
        <v>864.41</v>
      </c>
      <c r="V81" s="72">
        <f t="shared" si="9"/>
        <v>-134.22</v>
      </c>
      <c r="W81" s="72">
        <f>D_Emprunts!$U81-D_Emprunts!$V81</f>
        <v>998.63</v>
      </c>
      <c r="X81" s="73">
        <f>X80-D_Emprunts!$W81</f>
        <v>-46497.00999999998</v>
      </c>
      <c r="Y81">
        <v>74</v>
      </c>
      <c r="Z81" t="str">
        <f t="shared" si="7"/>
        <v>Investissement</v>
      </c>
      <c r="AA81" t="str">
        <f t="shared" si="8"/>
        <v>travaux magasin</v>
      </c>
    </row>
    <row r="82" spans="20:27" x14ac:dyDescent="0.25">
      <c r="T82" s="68">
        <f t="shared" si="5"/>
        <v>46208</v>
      </c>
      <c r="U82" s="77">
        <f t="shared" si="6"/>
        <v>864.41</v>
      </c>
      <c r="V82" s="72">
        <f t="shared" si="9"/>
        <v>-137.16999999999999</v>
      </c>
      <c r="W82" s="69">
        <f>D_Emprunts!$U82-D_Emprunts!$V82</f>
        <v>1001.5799999999999</v>
      </c>
      <c r="X82" s="70">
        <f>X81-D_Emprunts!$W82</f>
        <v>-47498.589999999982</v>
      </c>
      <c r="Y82">
        <v>75</v>
      </c>
      <c r="Z82" t="str">
        <f t="shared" si="7"/>
        <v>Investissement</v>
      </c>
      <c r="AA82" t="str">
        <f t="shared" si="8"/>
        <v>travaux magasin</v>
      </c>
    </row>
    <row r="83" spans="20:27" x14ac:dyDescent="0.25">
      <c r="T83" s="71">
        <f t="shared" si="5"/>
        <v>46239</v>
      </c>
      <c r="U83" s="77">
        <f t="shared" si="6"/>
        <v>864.41</v>
      </c>
      <c r="V83" s="72">
        <f t="shared" si="9"/>
        <v>-140.12</v>
      </c>
      <c r="W83" s="72">
        <f>D_Emprunts!$U83-D_Emprunts!$V83</f>
        <v>1004.53</v>
      </c>
      <c r="X83" s="73">
        <f>X82-D_Emprunts!$W83</f>
        <v>-48503.119999999981</v>
      </c>
      <c r="Y83">
        <v>76</v>
      </c>
      <c r="Z83" t="str">
        <f t="shared" si="7"/>
        <v>Investissement</v>
      </c>
      <c r="AA83" t="str">
        <f t="shared" si="8"/>
        <v>travaux magasin</v>
      </c>
    </row>
    <row r="84" spans="20:27" x14ac:dyDescent="0.25">
      <c r="T84" s="68">
        <f t="shared" si="5"/>
        <v>46270</v>
      </c>
      <c r="U84" s="77">
        <f t="shared" si="6"/>
        <v>864.41</v>
      </c>
      <c r="V84" s="72">
        <f t="shared" si="9"/>
        <v>-143.09</v>
      </c>
      <c r="W84" s="69">
        <f>D_Emprunts!$U84-D_Emprunts!$V84</f>
        <v>1007.5</v>
      </c>
      <c r="X84" s="70">
        <f>X83-D_Emprunts!$W84</f>
        <v>-49510.619999999981</v>
      </c>
      <c r="Y84">
        <v>77</v>
      </c>
      <c r="Z84" t="str">
        <f t="shared" si="7"/>
        <v>Investissement</v>
      </c>
      <c r="AA84" t="str">
        <f t="shared" si="8"/>
        <v>travaux magasin</v>
      </c>
    </row>
    <row r="85" spans="20:27" x14ac:dyDescent="0.25">
      <c r="T85" s="71">
        <f t="shared" si="5"/>
        <v>46300</v>
      </c>
      <c r="U85" s="77">
        <f t="shared" si="6"/>
        <v>864.41</v>
      </c>
      <c r="V85" s="72">
        <f t="shared" si="9"/>
        <v>-146.06</v>
      </c>
      <c r="W85" s="72">
        <f>D_Emprunts!$U85-D_Emprunts!$V85</f>
        <v>1010.47</v>
      </c>
      <c r="X85" s="73">
        <f>X84-D_Emprunts!$W85</f>
        <v>-50521.089999999982</v>
      </c>
      <c r="Y85">
        <v>78</v>
      </c>
      <c r="Z85" t="str">
        <f t="shared" si="7"/>
        <v>Investissement</v>
      </c>
      <c r="AA85" t="str">
        <f t="shared" si="8"/>
        <v>travaux magasin</v>
      </c>
    </row>
    <row r="86" spans="20:27" x14ac:dyDescent="0.25">
      <c r="T86" s="68">
        <f t="shared" si="5"/>
        <v>46331</v>
      </c>
      <c r="U86" s="77">
        <f t="shared" si="6"/>
        <v>864.41</v>
      </c>
      <c r="V86" s="72">
        <f t="shared" si="9"/>
        <v>-149.04</v>
      </c>
      <c r="W86" s="69">
        <f>D_Emprunts!$U86-D_Emprunts!$V86</f>
        <v>1013.4499999999999</v>
      </c>
      <c r="X86" s="70">
        <f>X85-D_Emprunts!$W86</f>
        <v>-51534.539999999979</v>
      </c>
      <c r="Y86">
        <v>79</v>
      </c>
      <c r="Z86" t="str">
        <f t="shared" si="7"/>
        <v>Investissement</v>
      </c>
      <c r="AA86" t="str">
        <f t="shared" si="8"/>
        <v>travaux magasin</v>
      </c>
    </row>
    <row r="87" spans="20:27" x14ac:dyDescent="0.25">
      <c r="T87" s="71">
        <f t="shared" si="5"/>
        <v>46361</v>
      </c>
      <c r="U87" s="77">
        <f t="shared" si="6"/>
        <v>864.41</v>
      </c>
      <c r="V87" s="72">
        <f t="shared" si="9"/>
        <v>-152.03</v>
      </c>
      <c r="W87" s="72">
        <f>D_Emprunts!$U87-D_Emprunts!$V87</f>
        <v>1016.4399999999999</v>
      </c>
      <c r="X87" s="73">
        <f>X86-D_Emprunts!$W87</f>
        <v>-52550.979999999981</v>
      </c>
      <c r="Y87">
        <v>80</v>
      </c>
      <c r="Z87" t="str">
        <f t="shared" si="7"/>
        <v>Investissement</v>
      </c>
      <c r="AA87" t="str">
        <f t="shared" si="8"/>
        <v>travaux magasin</v>
      </c>
    </row>
    <row r="88" spans="20:27" x14ac:dyDescent="0.25">
      <c r="T88" s="68">
        <f t="shared" si="5"/>
        <v>46392</v>
      </c>
      <c r="U88" s="77">
        <f t="shared" si="6"/>
        <v>864.41</v>
      </c>
      <c r="V88" s="72">
        <f t="shared" si="9"/>
        <v>-155.03</v>
      </c>
      <c r="W88" s="69">
        <f>D_Emprunts!$U88-D_Emprunts!$V88</f>
        <v>1019.4399999999999</v>
      </c>
      <c r="X88" s="70">
        <f>X87-D_Emprunts!$W88</f>
        <v>-53570.419999999984</v>
      </c>
      <c r="Y88">
        <v>81</v>
      </c>
      <c r="Z88" t="str">
        <f t="shared" si="7"/>
        <v>Investissement</v>
      </c>
      <c r="AA88" t="str">
        <f t="shared" si="8"/>
        <v>travaux magasin</v>
      </c>
    </row>
    <row r="89" spans="20:27" x14ac:dyDescent="0.25">
      <c r="T89" s="71">
        <f t="shared" si="5"/>
        <v>46423</v>
      </c>
      <c r="U89" s="77">
        <f t="shared" si="6"/>
        <v>864.41</v>
      </c>
      <c r="V89" s="72">
        <f t="shared" si="9"/>
        <v>-158.04</v>
      </c>
      <c r="W89" s="72">
        <f>D_Emprunts!$U89-D_Emprunts!$V89</f>
        <v>1022.4499999999999</v>
      </c>
      <c r="X89" s="73">
        <f>X88-D_Emprunts!$W89</f>
        <v>-54592.869999999981</v>
      </c>
      <c r="Y89">
        <v>82</v>
      </c>
      <c r="Z89" t="str">
        <f t="shared" si="7"/>
        <v>Investissement</v>
      </c>
      <c r="AA89" t="str">
        <f t="shared" si="8"/>
        <v>travaux magasin</v>
      </c>
    </row>
    <row r="90" spans="20:27" x14ac:dyDescent="0.25">
      <c r="T90" s="68">
        <f t="shared" si="5"/>
        <v>46451</v>
      </c>
      <c r="U90" s="77">
        <f t="shared" si="6"/>
        <v>864.41</v>
      </c>
      <c r="V90" s="72">
        <f t="shared" si="9"/>
        <v>-161.05000000000001</v>
      </c>
      <c r="W90" s="69">
        <f>D_Emprunts!$U90-D_Emprunts!$V90</f>
        <v>1025.46</v>
      </c>
      <c r="X90" s="70">
        <f>X89-D_Emprunts!$W90</f>
        <v>-55618.32999999998</v>
      </c>
      <c r="Y90">
        <v>83</v>
      </c>
      <c r="Z90" t="str">
        <f t="shared" si="7"/>
        <v>Investissement</v>
      </c>
      <c r="AA90" t="str">
        <f t="shared" si="8"/>
        <v>travaux magasin</v>
      </c>
    </row>
    <row r="91" spans="20:27" x14ac:dyDescent="0.25">
      <c r="T91" s="71">
        <f t="shared" si="5"/>
        <v>46482</v>
      </c>
      <c r="U91" s="77">
        <f t="shared" si="6"/>
        <v>864.41</v>
      </c>
      <c r="V91" s="72">
        <f t="shared" si="9"/>
        <v>-164.08</v>
      </c>
      <c r="W91" s="72">
        <f>D_Emprunts!$U91-D_Emprunts!$V91</f>
        <v>1028.49</v>
      </c>
      <c r="X91" s="73">
        <f>X90-D_Emprunts!$W91</f>
        <v>-56646.819999999978</v>
      </c>
      <c r="Y91">
        <v>84</v>
      </c>
      <c r="Z91" t="str">
        <f t="shared" si="7"/>
        <v>Investissement</v>
      </c>
      <c r="AA91" t="str">
        <f t="shared" si="8"/>
        <v>travaux magasin</v>
      </c>
    </row>
    <row r="92" spans="20:27" x14ac:dyDescent="0.25">
      <c r="T92" s="68">
        <f t="shared" si="5"/>
        <v>46512</v>
      </c>
      <c r="U92" s="77">
        <f t="shared" si="6"/>
        <v>864.41</v>
      </c>
      <c r="V92" s="72">
        <f t="shared" si="9"/>
        <v>-167.11</v>
      </c>
      <c r="W92" s="69">
        <f>D_Emprunts!$U92-D_Emprunts!$V92</f>
        <v>1031.52</v>
      </c>
      <c r="X92" s="70">
        <f>X91-D_Emprunts!$W92</f>
        <v>-57678.339999999975</v>
      </c>
      <c r="Y92">
        <v>85</v>
      </c>
      <c r="Z92" t="str">
        <f t="shared" si="7"/>
        <v>Investissement</v>
      </c>
      <c r="AA92" t="str">
        <f t="shared" si="8"/>
        <v>travaux magasin</v>
      </c>
    </row>
    <row r="93" spans="20:27" x14ac:dyDescent="0.25">
      <c r="T93" s="71">
        <f t="shared" si="5"/>
        <v>46543</v>
      </c>
      <c r="U93" s="77">
        <f t="shared" si="6"/>
        <v>864.41</v>
      </c>
      <c r="V93" s="72">
        <f t="shared" si="9"/>
        <v>-170.15</v>
      </c>
      <c r="W93" s="72">
        <f>D_Emprunts!$U93-D_Emprunts!$V93</f>
        <v>1034.56</v>
      </c>
      <c r="X93" s="73">
        <f>X92-D_Emprunts!$W93</f>
        <v>-58712.899999999972</v>
      </c>
      <c r="Y93">
        <v>86</v>
      </c>
      <c r="Z93" t="str">
        <f t="shared" si="7"/>
        <v>Investissement</v>
      </c>
      <c r="AA93" t="str">
        <f t="shared" si="8"/>
        <v>travaux magasin</v>
      </c>
    </row>
    <row r="94" spans="20:27" x14ac:dyDescent="0.25">
      <c r="T94" s="68">
        <f t="shared" si="5"/>
        <v>46573</v>
      </c>
      <c r="U94" s="77">
        <f t="shared" si="6"/>
        <v>864.41</v>
      </c>
      <c r="V94" s="72">
        <f t="shared" si="9"/>
        <v>-173.21</v>
      </c>
      <c r="W94" s="69">
        <f>D_Emprunts!$U94-D_Emprunts!$V94</f>
        <v>1037.6199999999999</v>
      </c>
      <c r="X94" s="70">
        <f>X93-D_Emprunts!$W94</f>
        <v>-59750.519999999975</v>
      </c>
      <c r="Y94">
        <v>87</v>
      </c>
      <c r="Z94" t="str">
        <f t="shared" si="7"/>
        <v>Investissement</v>
      </c>
      <c r="AA94" t="str">
        <f t="shared" si="8"/>
        <v>travaux magasin</v>
      </c>
    </row>
    <row r="95" spans="20:27" x14ac:dyDescent="0.25">
      <c r="T95" s="71">
        <f t="shared" si="5"/>
        <v>46604</v>
      </c>
      <c r="U95" s="77">
        <f t="shared" si="6"/>
        <v>864.41</v>
      </c>
      <c r="V95" s="72">
        <f t="shared" si="9"/>
        <v>-176.27</v>
      </c>
      <c r="W95" s="72">
        <f>D_Emprunts!$U95-D_Emprunts!$V95</f>
        <v>1040.68</v>
      </c>
      <c r="X95" s="73">
        <f>X94-D_Emprunts!$W95</f>
        <v>-60791.199999999975</v>
      </c>
      <c r="Y95">
        <v>88</v>
      </c>
      <c r="Z95" t="str">
        <f t="shared" si="7"/>
        <v>Investissement</v>
      </c>
      <c r="AA95" t="str">
        <f t="shared" si="8"/>
        <v>travaux magasin</v>
      </c>
    </row>
    <row r="96" spans="20:27" x14ac:dyDescent="0.25">
      <c r="T96" s="68">
        <f t="shared" si="5"/>
        <v>46635</v>
      </c>
      <c r="U96" s="77">
        <f t="shared" si="6"/>
        <v>864.41</v>
      </c>
      <c r="V96" s="72">
        <f t="shared" si="9"/>
        <v>-179.34</v>
      </c>
      <c r="W96" s="69">
        <f>D_Emprunts!$U96-D_Emprunts!$V96</f>
        <v>1043.75</v>
      </c>
      <c r="X96" s="70">
        <f>X95-D_Emprunts!$W96</f>
        <v>-61834.949999999975</v>
      </c>
      <c r="Y96">
        <v>89</v>
      </c>
      <c r="Z96" t="str">
        <f t="shared" si="7"/>
        <v>Investissement</v>
      </c>
      <c r="AA96" t="str">
        <f t="shared" si="8"/>
        <v>travaux magasin</v>
      </c>
    </row>
    <row r="97" spans="20:27" x14ac:dyDescent="0.25">
      <c r="T97" s="71">
        <f t="shared" si="5"/>
        <v>46665</v>
      </c>
      <c r="U97" s="77">
        <f t="shared" si="6"/>
        <v>864.41</v>
      </c>
      <c r="V97" s="72">
        <f t="shared" si="9"/>
        <v>-182.42</v>
      </c>
      <c r="W97" s="72">
        <f>D_Emprunts!$U97-D_Emprunts!$V97</f>
        <v>1046.83</v>
      </c>
      <c r="X97" s="73">
        <f>X96-D_Emprunts!$W97</f>
        <v>-62881.779999999977</v>
      </c>
      <c r="Y97">
        <v>90</v>
      </c>
      <c r="Z97" t="str">
        <f t="shared" si="7"/>
        <v>Investissement</v>
      </c>
      <c r="AA97" t="str">
        <f t="shared" si="8"/>
        <v>travaux magasin</v>
      </c>
    </row>
    <row r="98" spans="20:27" x14ac:dyDescent="0.25">
      <c r="T98" s="68">
        <f t="shared" si="5"/>
        <v>46696</v>
      </c>
      <c r="U98" s="77">
        <f t="shared" si="6"/>
        <v>864.41</v>
      </c>
      <c r="V98" s="72">
        <f t="shared" si="9"/>
        <v>-185.5</v>
      </c>
      <c r="W98" s="69">
        <f>D_Emprunts!$U98-D_Emprunts!$V98</f>
        <v>1049.9099999999999</v>
      </c>
      <c r="X98" s="70">
        <f>X97-D_Emprunts!$W98</f>
        <v>-63931.689999999973</v>
      </c>
      <c r="Y98">
        <v>91</v>
      </c>
      <c r="Z98" t="str">
        <f t="shared" si="7"/>
        <v>Investissement</v>
      </c>
      <c r="AA98" t="str">
        <f t="shared" si="8"/>
        <v>travaux magasin</v>
      </c>
    </row>
    <row r="99" spans="20:27" x14ac:dyDescent="0.25">
      <c r="T99" s="71">
        <f t="shared" si="5"/>
        <v>46726</v>
      </c>
      <c r="U99" s="77">
        <f t="shared" si="6"/>
        <v>864.41</v>
      </c>
      <c r="V99" s="72">
        <f t="shared" si="9"/>
        <v>-188.6</v>
      </c>
      <c r="W99" s="72">
        <f>D_Emprunts!$U99-D_Emprunts!$V99</f>
        <v>1053.01</v>
      </c>
      <c r="X99" s="73">
        <f>X98-D_Emprunts!$W99</f>
        <v>-64984.699999999975</v>
      </c>
      <c r="Y99">
        <v>92</v>
      </c>
      <c r="Z99" t="str">
        <f t="shared" si="7"/>
        <v>Investissement</v>
      </c>
      <c r="AA99" t="str">
        <f t="shared" si="8"/>
        <v>travaux magasin</v>
      </c>
    </row>
    <row r="100" spans="20:27" x14ac:dyDescent="0.25">
      <c r="T100" s="68">
        <f t="shared" si="5"/>
        <v>46757</v>
      </c>
      <c r="U100" s="77">
        <f t="shared" si="6"/>
        <v>864.41</v>
      </c>
      <c r="V100" s="72">
        <f t="shared" si="9"/>
        <v>-191.71</v>
      </c>
      <c r="W100" s="69">
        <f>D_Emprunts!$U100-D_Emprunts!$V100</f>
        <v>1056.1199999999999</v>
      </c>
      <c r="X100" s="70">
        <f>X99-D_Emprunts!$W100</f>
        <v>-66040.819999999978</v>
      </c>
      <c r="Y100">
        <v>93</v>
      </c>
      <c r="Z100" t="str">
        <f t="shared" si="7"/>
        <v>Investissement</v>
      </c>
      <c r="AA100" t="str">
        <f t="shared" si="8"/>
        <v>travaux magasin</v>
      </c>
    </row>
    <row r="101" spans="20:27" x14ac:dyDescent="0.25">
      <c r="T101" s="71">
        <f t="shared" si="5"/>
        <v>46788</v>
      </c>
      <c r="U101" s="77">
        <f t="shared" si="6"/>
        <v>864.41</v>
      </c>
      <c r="V101" s="72">
        <f t="shared" si="9"/>
        <v>-194.82</v>
      </c>
      <c r="W101" s="72">
        <f>D_Emprunts!$U101-D_Emprunts!$V101</f>
        <v>1059.23</v>
      </c>
      <c r="X101" s="73">
        <f>X100-D_Emprunts!$W101</f>
        <v>-67100.049999999974</v>
      </c>
      <c r="Y101">
        <v>94</v>
      </c>
      <c r="Z101" t="str">
        <f t="shared" si="7"/>
        <v>Investissement</v>
      </c>
      <c r="AA101" t="str">
        <f t="shared" si="8"/>
        <v>travaux magasin</v>
      </c>
    </row>
    <row r="102" spans="20:27" x14ac:dyDescent="0.25">
      <c r="T102" s="68">
        <f t="shared" si="5"/>
        <v>46817</v>
      </c>
      <c r="U102" s="77">
        <f t="shared" si="6"/>
        <v>864.41</v>
      </c>
      <c r="V102" s="72">
        <f t="shared" si="9"/>
        <v>-197.95</v>
      </c>
      <c r="W102" s="69">
        <f>D_Emprunts!$U102-D_Emprunts!$V102</f>
        <v>1062.3599999999999</v>
      </c>
      <c r="X102" s="70">
        <f>X101-D_Emprunts!$W102</f>
        <v>-68162.409999999974</v>
      </c>
      <c r="Y102">
        <v>95</v>
      </c>
      <c r="Z102" t="str">
        <f t="shared" si="7"/>
        <v>Investissement</v>
      </c>
      <c r="AA102" t="str">
        <f t="shared" si="8"/>
        <v>travaux magasin</v>
      </c>
    </row>
    <row r="103" spans="20:27" x14ac:dyDescent="0.25">
      <c r="T103" s="71">
        <f t="shared" si="5"/>
        <v>46848</v>
      </c>
      <c r="U103" s="77">
        <f t="shared" si="6"/>
        <v>864.41</v>
      </c>
      <c r="V103" s="72">
        <f t="shared" si="9"/>
        <v>-201.08</v>
      </c>
      <c r="W103" s="72">
        <f>D_Emprunts!$U103-D_Emprunts!$V103</f>
        <v>1065.49</v>
      </c>
      <c r="X103" s="73">
        <f>X102-D_Emprunts!$W103</f>
        <v>-69227.89999999998</v>
      </c>
      <c r="Y103">
        <v>96</v>
      </c>
      <c r="Z103" t="str">
        <f t="shared" si="7"/>
        <v>Investissement</v>
      </c>
      <c r="AA103" t="str">
        <f t="shared" si="8"/>
        <v>travaux magasin</v>
      </c>
    </row>
    <row r="104" spans="20:27" x14ac:dyDescent="0.25">
      <c r="T104" s="68">
        <f t="shared" si="5"/>
        <v>46878</v>
      </c>
      <c r="U104" s="77">
        <f t="shared" si="6"/>
        <v>864.41</v>
      </c>
      <c r="V104" s="72">
        <f t="shared" si="9"/>
        <v>-204.23</v>
      </c>
      <c r="W104" s="69">
        <f>D_Emprunts!$U104-D_Emprunts!$V104</f>
        <v>1068.6399999999999</v>
      </c>
      <c r="X104" s="70">
        <f>X103-D_Emprunts!$W104</f>
        <v>-70296.539999999979</v>
      </c>
      <c r="Y104">
        <v>97</v>
      </c>
      <c r="Z104" t="str">
        <f t="shared" si="7"/>
        <v>Investissement</v>
      </c>
      <c r="AA104" t="str">
        <f t="shared" si="8"/>
        <v>travaux magasin</v>
      </c>
    </row>
    <row r="105" spans="20:27" x14ac:dyDescent="0.25">
      <c r="T105" s="71">
        <f t="shared" si="5"/>
        <v>46909</v>
      </c>
      <c r="U105" s="77">
        <f t="shared" si="6"/>
        <v>864.41</v>
      </c>
      <c r="V105" s="72">
        <f t="shared" si="9"/>
        <v>-207.38</v>
      </c>
      <c r="W105" s="72">
        <f>D_Emprunts!$U105-D_Emprunts!$V105</f>
        <v>1071.79</v>
      </c>
      <c r="X105" s="73">
        <f>X104-D_Emprunts!$W105</f>
        <v>-71368.329999999973</v>
      </c>
      <c r="Y105">
        <v>98</v>
      </c>
      <c r="Z105" t="str">
        <f t="shared" si="7"/>
        <v>Investissement</v>
      </c>
      <c r="AA105" t="str">
        <f t="shared" si="8"/>
        <v>travaux magasin</v>
      </c>
    </row>
    <row r="106" spans="20:27" x14ac:dyDescent="0.25">
      <c r="T106" s="68">
        <f t="shared" si="5"/>
        <v>46939</v>
      </c>
      <c r="U106" s="77">
        <f t="shared" si="6"/>
        <v>864.41</v>
      </c>
      <c r="V106" s="72">
        <f t="shared" si="9"/>
        <v>-210.54</v>
      </c>
      <c r="W106" s="69">
        <f>D_Emprunts!$U106-D_Emprunts!$V106</f>
        <v>1074.95</v>
      </c>
      <c r="X106" s="70">
        <f>X105-D_Emprunts!$W106</f>
        <v>-72443.27999999997</v>
      </c>
      <c r="Y106">
        <v>99</v>
      </c>
      <c r="Z106" t="str">
        <f t="shared" si="7"/>
        <v>Investissement</v>
      </c>
      <c r="AA106" t="str">
        <f t="shared" si="8"/>
        <v>travaux magasin</v>
      </c>
    </row>
    <row r="107" spans="20:27" x14ac:dyDescent="0.25">
      <c r="T107" s="71">
        <f t="shared" si="5"/>
        <v>46970</v>
      </c>
      <c r="U107" s="77">
        <f t="shared" si="6"/>
        <v>864.41</v>
      </c>
      <c r="V107" s="72">
        <f t="shared" si="9"/>
        <v>-213.71</v>
      </c>
      <c r="W107" s="72">
        <f>D_Emprunts!$U107-D_Emprunts!$V107</f>
        <v>1078.1199999999999</v>
      </c>
      <c r="X107" s="73">
        <f>X106-D_Emprunts!$W107</f>
        <v>-73521.399999999965</v>
      </c>
      <c r="Y107">
        <v>100</v>
      </c>
      <c r="Z107" t="str">
        <f t="shared" si="7"/>
        <v>Investissement</v>
      </c>
      <c r="AA107" t="str">
        <f t="shared" si="8"/>
        <v>travaux magasin</v>
      </c>
    </row>
    <row r="108" spans="20:27" x14ac:dyDescent="0.25">
      <c r="T108" s="68">
        <f t="shared" si="5"/>
        <v>47001</v>
      </c>
      <c r="U108" s="77">
        <f t="shared" si="6"/>
        <v>864.41</v>
      </c>
      <c r="V108" s="72">
        <f t="shared" si="9"/>
        <v>-216.89</v>
      </c>
      <c r="W108" s="69">
        <f>D_Emprunts!$U108-D_Emprunts!$V108</f>
        <v>1081.3</v>
      </c>
      <c r="X108" s="70">
        <f>X107-D_Emprunts!$W108</f>
        <v>-74602.699999999968</v>
      </c>
      <c r="Y108">
        <v>101</v>
      </c>
      <c r="Z108" t="str">
        <f t="shared" si="7"/>
        <v>Investissement</v>
      </c>
      <c r="AA108" t="str">
        <f t="shared" si="8"/>
        <v>travaux magasin</v>
      </c>
    </row>
    <row r="109" spans="20:27" x14ac:dyDescent="0.25">
      <c r="T109" s="71">
        <f t="shared" si="5"/>
        <v>47031</v>
      </c>
      <c r="U109" s="77">
        <f t="shared" si="6"/>
        <v>864.41</v>
      </c>
      <c r="V109" s="72">
        <f t="shared" si="9"/>
        <v>-220.08</v>
      </c>
      <c r="W109" s="72">
        <f>D_Emprunts!$U109-D_Emprunts!$V109</f>
        <v>1084.49</v>
      </c>
      <c r="X109" s="73">
        <f>X108-D_Emprunts!$W109</f>
        <v>-75687.189999999973</v>
      </c>
      <c r="Y109">
        <v>102</v>
      </c>
      <c r="Z109" t="str">
        <f t="shared" si="7"/>
        <v>Investissement</v>
      </c>
      <c r="AA109" t="str">
        <f t="shared" si="8"/>
        <v>travaux magasin</v>
      </c>
    </row>
    <row r="110" spans="20:27" x14ac:dyDescent="0.25">
      <c r="T110" s="68">
        <f t="shared" si="5"/>
        <v>47062</v>
      </c>
      <c r="U110" s="77">
        <f t="shared" si="6"/>
        <v>864.41</v>
      </c>
      <c r="V110" s="72">
        <f t="shared" si="9"/>
        <v>-223.28</v>
      </c>
      <c r="W110" s="69">
        <f>D_Emprunts!$U110-D_Emprunts!$V110</f>
        <v>1087.69</v>
      </c>
      <c r="X110" s="70">
        <f>X109-D_Emprunts!$W110</f>
        <v>-76774.879999999976</v>
      </c>
      <c r="Y110">
        <v>103</v>
      </c>
      <c r="Z110" t="str">
        <f t="shared" si="7"/>
        <v>Investissement</v>
      </c>
      <c r="AA110" t="str">
        <f t="shared" si="8"/>
        <v>travaux magasin</v>
      </c>
    </row>
    <row r="111" spans="20:27" x14ac:dyDescent="0.25">
      <c r="T111" s="71">
        <f t="shared" si="5"/>
        <v>47092</v>
      </c>
      <c r="U111" s="77">
        <f t="shared" si="6"/>
        <v>864.41</v>
      </c>
      <c r="V111" s="72">
        <f t="shared" si="9"/>
        <v>-226.49</v>
      </c>
      <c r="W111" s="72">
        <f>D_Emprunts!$U111-D_Emprunts!$V111</f>
        <v>1090.9000000000001</v>
      </c>
      <c r="X111" s="73">
        <f>X110-D_Emprunts!$W111</f>
        <v>-77865.77999999997</v>
      </c>
      <c r="Y111">
        <v>104</v>
      </c>
      <c r="Z111" t="str">
        <f t="shared" si="7"/>
        <v>Investissement</v>
      </c>
      <c r="AA111" t="str">
        <f t="shared" si="8"/>
        <v>travaux magasin</v>
      </c>
    </row>
    <row r="112" spans="20:27" x14ac:dyDescent="0.25">
      <c r="T112" s="68">
        <f t="shared" si="5"/>
        <v>47123</v>
      </c>
      <c r="U112" s="77">
        <f t="shared" si="6"/>
        <v>864.41</v>
      </c>
      <c r="V112" s="72">
        <f t="shared" si="9"/>
        <v>-229.71</v>
      </c>
      <c r="W112" s="69">
        <f>D_Emprunts!$U112-D_Emprunts!$V112</f>
        <v>1094.1199999999999</v>
      </c>
      <c r="X112" s="70">
        <f>X111-D_Emprunts!$W112</f>
        <v>-78959.899999999965</v>
      </c>
      <c r="Y112">
        <v>105</v>
      </c>
      <c r="Z112" t="str">
        <f t="shared" si="7"/>
        <v>Investissement</v>
      </c>
      <c r="AA112" t="str">
        <f t="shared" si="8"/>
        <v>travaux magasin</v>
      </c>
    </row>
    <row r="113" spans="20:27" x14ac:dyDescent="0.25">
      <c r="T113" s="71">
        <f t="shared" si="5"/>
        <v>47154</v>
      </c>
      <c r="U113" s="77">
        <f t="shared" si="6"/>
        <v>864.41</v>
      </c>
      <c r="V113" s="72">
        <f t="shared" si="9"/>
        <v>-232.94</v>
      </c>
      <c r="W113" s="72">
        <f>D_Emprunts!$U113-D_Emprunts!$V113</f>
        <v>1097.3499999999999</v>
      </c>
      <c r="X113" s="73">
        <f>X112-D_Emprunts!$W113</f>
        <v>-80057.249999999971</v>
      </c>
      <c r="Y113">
        <v>106</v>
      </c>
      <c r="Z113" t="str">
        <f t="shared" si="7"/>
        <v>Investissement</v>
      </c>
      <c r="AA113" t="str">
        <f t="shared" si="8"/>
        <v>travaux magasin</v>
      </c>
    </row>
    <row r="114" spans="20:27" x14ac:dyDescent="0.25">
      <c r="T114" s="68">
        <f t="shared" si="5"/>
        <v>47182</v>
      </c>
      <c r="U114" s="77">
        <f t="shared" si="6"/>
        <v>864.41</v>
      </c>
      <c r="V114" s="72">
        <f t="shared" si="9"/>
        <v>-236.17</v>
      </c>
      <c r="W114" s="69">
        <f>D_Emprunts!$U114-D_Emprunts!$V114</f>
        <v>1100.58</v>
      </c>
      <c r="X114" s="70">
        <f>X113-D_Emprunts!$W114</f>
        <v>-81157.829999999973</v>
      </c>
      <c r="Y114">
        <v>107</v>
      </c>
      <c r="Z114" t="str">
        <f t="shared" si="7"/>
        <v>Investissement</v>
      </c>
      <c r="AA114" t="str">
        <f t="shared" si="8"/>
        <v>travaux magasin</v>
      </c>
    </row>
    <row r="115" spans="20:27" x14ac:dyDescent="0.25">
      <c r="T115" s="71">
        <f t="shared" si="5"/>
        <v>47213</v>
      </c>
      <c r="U115" s="77">
        <f t="shared" si="6"/>
        <v>864.41</v>
      </c>
      <c r="V115" s="72">
        <f t="shared" si="9"/>
        <v>-239.42</v>
      </c>
      <c r="W115" s="72">
        <f>D_Emprunts!$U115-D_Emprunts!$V115</f>
        <v>1103.83</v>
      </c>
      <c r="X115" s="73">
        <f>X114-D_Emprunts!$W115</f>
        <v>-82261.659999999974</v>
      </c>
      <c r="Y115">
        <v>108</v>
      </c>
      <c r="Z115" t="str">
        <f t="shared" si="7"/>
        <v>Investissement</v>
      </c>
      <c r="AA115" t="str">
        <f t="shared" si="8"/>
        <v>travaux magasin</v>
      </c>
    </row>
    <row r="116" spans="20:27" x14ac:dyDescent="0.25">
      <c r="T116" s="68">
        <f t="shared" si="5"/>
        <v>47243</v>
      </c>
      <c r="U116" s="77">
        <f t="shared" si="6"/>
        <v>864.41</v>
      </c>
      <c r="V116" s="72">
        <f t="shared" si="9"/>
        <v>-242.68</v>
      </c>
      <c r="W116" s="69">
        <f>D_Emprunts!$U116-D_Emprunts!$V116</f>
        <v>1107.0899999999999</v>
      </c>
      <c r="X116" s="70">
        <f>X115-D_Emprunts!$W116</f>
        <v>-83368.749999999971</v>
      </c>
      <c r="Y116">
        <v>109</v>
      </c>
      <c r="Z116" t="str">
        <f t="shared" si="7"/>
        <v>Investissement</v>
      </c>
      <c r="AA116" t="str">
        <f t="shared" si="8"/>
        <v>travaux magasin</v>
      </c>
    </row>
    <row r="117" spans="20:27" x14ac:dyDescent="0.25">
      <c r="T117" s="71">
        <f t="shared" si="5"/>
        <v>47274</v>
      </c>
      <c r="U117" s="77">
        <f t="shared" si="6"/>
        <v>864.41</v>
      </c>
      <c r="V117" s="72">
        <f t="shared" si="9"/>
        <v>-245.94</v>
      </c>
      <c r="W117" s="72">
        <f>D_Emprunts!$U117-D_Emprunts!$V117</f>
        <v>1110.3499999999999</v>
      </c>
      <c r="X117" s="73">
        <f>X116-D_Emprunts!$W117</f>
        <v>-84479.099999999977</v>
      </c>
      <c r="Y117">
        <v>110</v>
      </c>
      <c r="Z117" t="str">
        <f t="shared" si="7"/>
        <v>Investissement</v>
      </c>
      <c r="AA117" t="str">
        <f t="shared" si="8"/>
        <v>travaux magasin</v>
      </c>
    </row>
    <row r="118" spans="20:27" x14ac:dyDescent="0.25">
      <c r="T118" s="68">
        <f t="shared" si="5"/>
        <v>47304</v>
      </c>
      <c r="U118" s="77">
        <f t="shared" si="6"/>
        <v>864.41</v>
      </c>
      <c r="V118" s="72">
        <f t="shared" si="9"/>
        <v>-249.22</v>
      </c>
      <c r="W118" s="69">
        <f>D_Emprunts!$U118-D_Emprunts!$V118</f>
        <v>1113.6299999999999</v>
      </c>
      <c r="X118" s="70">
        <f>X117-D_Emprunts!$W118</f>
        <v>-85592.729999999981</v>
      </c>
      <c r="Y118">
        <v>111</v>
      </c>
      <c r="Z118" t="str">
        <f t="shared" si="7"/>
        <v>Investissement</v>
      </c>
      <c r="AA118" t="str">
        <f t="shared" si="8"/>
        <v>travaux magasin</v>
      </c>
    </row>
    <row r="119" spans="20:27" x14ac:dyDescent="0.25">
      <c r="T119" s="71">
        <f t="shared" si="5"/>
        <v>47335</v>
      </c>
      <c r="U119" s="77">
        <f t="shared" si="6"/>
        <v>864.41</v>
      </c>
      <c r="V119" s="72">
        <f t="shared" si="9"/>
        <v>-252.5</v>
      </c>
      <c r="W119" s="72">
        <f>D_Emprunts!$U119-D_Emprunts!$V119</f>
        <v>1116.9099999999999</v>
      </c>
      <c r="X119" s="73">
        <f>X118-D_Emprunts!$W119</f>
        <v>-86709.639999999985</v>
      </c>
      <c r="Y119">
        <v>112</v>
      </c>
      <c r="Z119" t="str">
        <f t="shared" si="7"/>
        <v>Investissement</v>
      </c>
      <c r="AA119" t="str">
        <f t="shared" si="8"/>
        <v>travaux magasin</v>
      </c>
    </row>
    <row r="120" spans="20:27" x14ac:dyDescent="0.25">
      <c r="T120" s="68">
        <f t="shared" si="5"/>
        <v>47366</v>
      </c>
      <c r="U120" s="77">
        <f t="shared" si="6"/>
        <v>864.41</v>
      </c>
      <c r="V120" s="72">
        <f t="shared" si="9"/>
        <v>-255.8</v>
      </c>
      <c r="W120" s="69">
        <f>D_Emprunts!$U120-D_Emprunts!$V120</f>
        <v>1120.21</v>
      </c>
      <c r="X120" s="70">
        <f>X119-D_Emprunts!$W120</f>
        <v>-87829.849999999991</v>
      </c>
      <c r="Y120">
        <v>113</v>
      </c>
      <c r="Z120" t="str">
        <f t="shared" si="7"/>
        <v>Investissement</v>
      </c>
      <c r="AA120" t="str">
        <f t="shared" si="8"/>
        <v>travaux magasin</v>
      </c>
    </row>
    <row r="121" spans="20:27" x14ac:dyDescent="0.25">
      <c r="T121" s="71">
        <f t="shared" si="5"/>
        <v>47396</v>
      </c>
      <c r="U121" s="77">
        <f t="shared" si="6"/>
        <v>864.41</v>
      </c>
      <c r="V121" s="72">
        <f t="shared" si="9"/>
        <v>-259.10000000000002</v>
      </c>
      <c r="W121" s="72">
        <f>D_Emprunts!$U121-D_Emprunts!$V121</f>
        <v>1123.51</v>
      </c>
      <c r="X121" s="73">
        <f>X120-D_Emprunts!$W121</f>
        <v>-88953.359999999986</v>
      </c>
      <c r="Y121">
        <v>114</v>
      </c>
      <c r="Z121" t="str">
        <f t="shared" si="7"/>
        <v>Investissement</v>
      </c>
      <c r="AA121" t="str">
        <f t="shared" si="8"/>
        <v>travaux magasin</v>
      </c>
    </row>
    <row r="122" spans="20:27" x14ac:dyDescent="0.25">
      <c r="T122" s="68">
        <f t="shared" si="5"/>
        <v>47427</v>
      </c>
      <c r="U122" s="77">
        <f t="shared" si="6"/>
        <v>864.41</v>
      </c>
      <c r="V122" s="72">
        <f t="shared" si="9"/>
        <v>-262.42</v>
      </c>
      <c r="W122" s="69">
        <f>D_Emprunts!$U122-D_Emprunts!$V122</f>
        <v>1126.83</v>
      </c>
      <c r="X122" s="70">
        <f>X121-D_Emprunts!$W122</f>
        <v>-90080.189999999988</v>
      </c>
      <c r="Y122">
        <v>115</v>
      </c>
      <c r="Z122" t="str">
        <f t="shared" si="7"/>
        <v>Investissement</v>
      </c>
      <c r="AA122" t="str">
        <f t="shared" si="8"/>
        <v>travaux magasin</v>
      </c>
    </row>
    <row r="123" spans="20:27" x14ac:dyDescent="0.25">
      <c r="T123" s="71">
        <f t="shared" si="5"/>
        <v>47457</v>
      </c>
      <c r="U123" s="77">
        <f t="shared" si="6"/>
        <v>864.41</v>
      </c>
      <c r="V123" s="72">
        <f t="shared" si="9"/>
        <v>-265.74</v>
      </c>
      <c r="W123" s="72">
        <f>D_Emprunts!$U123-D_Emprunts!$V123</f>
        <v>1130.1500000000001</v>
      </c>
      <c r="X123" s="73">
        <f>X122-D_Emprunts!$W123</f>
        <v>-91210.339999999982</v>
      </c>
      <c r="Y123">
        <v>116</v>
      </c>
      <c r="Z123" t="str">
        <f t="shared" si="7"/>
        <v>Investissement</v>
      </c>
      <c r="AA123" t="str">
        <f t="shared" si="8"/>
        <v>travaux magasin</v>
      </c>
    </row>
    <row r="124" spans="20:27" x14ac:dyDescent="0.25">
      <c r="T124" s="68">
        <f t="shared" si="5"/>
        <v>47488</v>
      </c>
      <c r="U124" s="77">
        <f t="shared" si="6"/>
        <v>864.41</v>
      </c>
      <c r="V124" s="72">
        <f t="shared" si="9"/>
        <v>-269.08</v>
      </c>
      <c r="W124" s="69">
        <f>D_Emprunts!$U124-D_Emprunts!$V124</f>
        <v>1133.49</v>
      </c>
      <c r="X124" s="70">
        <f>X123-D_Emprunts!$W124</f>
        <v>-92343.829999999987</v>
      </c>
      <c r="Y124">
        <v>117</v>
      </c>
      <c r="Z124" t="str">
        <f t="shared" si="7"/>
        <v>Investissement</v>
      </c>
      <c r="AA124" t="str">
        <f t="shared" si="8"/>
        <v>travaux magasin</v>
      </c>
    </row>
    <row r="125" spans="20:27" x14ac:dyDescent="0.25">
      <c r="T125" s="71">
        <f t="shared" si="5"/>
        <v>47519</v>
      </c>
      <c r="U125" s="77">
        <f t="shared" si="6"/>
        <v>864.41</v>
      </c>
      <c r="V125" s="72">
        <f t="shared" si="9"/>
        <v>-272.42</v>
      </c>
      <c r="W125" s="72">
        <f>D_Emprunts!$U125-D_Emprunts!$V125</f>
        <v>1136.83</v>
      </c>
      <c r="X125" s="73">
        <f>X124-D_Emprunts!$W125</f>
        <v>-93480.659999999989</v>
      </c>
      <c r="Y125">
        <v>118</v>
      </c>
      <c r="Z125" t="str">
        <f t="shared" si="7"/>
        <v>Investissement</v>
      </c>
      <c r="AA125" t="str">
        <f t="shared" si="8"/>
        <v>travaux magasin</v>
      </c>
    </row>
    <row r="126" spans="20:27" x14ac:dyDescent="0.25">
      <c r="T126" s="68">
        <f t="shared" si="5"/>
        <v>47547</v>
      </c>
      <c r="U126" s="77">
        <f t="shared" si="6"/>
        <v>864.41</v>
      </c>
      <c r="V126" s="72">
        <f t="shared" si="9"/>
        <v>-275.77</v>
      </c>
      <c r="W126" s="69">
        <f>D_Emprunts!$U126-D_Emprunts!$V126</f>
        <v>1140.1799999999998</v>
      </c>
      <c r="X126" s="70">
        <f>X125-D_Emprunts!$W126</f>
        <v>-94620.839999999982</v>
      </c>
      <c r="Y126">
        <v>119</v>
      </c>
      <c r="Z126" t="str">
        <f t="shared" si="7"/>
        <v>Investissement</v>
      </c>
      <c r="AA126" t="str">
        <f t="shared" si="8"/>
        <v>travaux magasin</v>
      </c>
    </row>
    <row r="127" spans="20:27" x14ac:dyDescent="0.25">
      <c r="T127" s="71">
        <f t="shared" si="5"/>
        <v>47578</v>
      </c>
      <c r="U127" s="77">
        <f t="shared" si="6"/>
        <v>864.41</v>
      </c>
      <c r="V127" s="72">
        <f t="shared" si="9"/>
        <v>-279.14</v>
      </c>
      <c r="W127" s="72">
        <f>D_Emprunts!$U127-D_Emprunts!$V127</f>
        <v>1143.55</v>
      </c>
      <c r="X127" s="73">
        <f>X126-D_Emprunts!$W127</f>
        <v>-95764.389999999985</v>
      </c>
      <c r="Y127">
        <v>120</v>
      </c>
      <c r="Z127" t="str">
        <f t="shared" si="7"/>
        <v>Investissement</v>
      </c>
      <c r="AA127" t="str">
        <f t="shared" si="8"/>
        <v>travaux magasin</v>
      </c>
    </row>
    <row r="128" spans="20:27" x14ac:dyDescent="0.25">
      <c r="T128" s="68">
        <f t="shared" si="5"/>
        <v>47608</v>
      </c>
      <c r="U128" s="77">
        <f t="shared" si="6"/>
        <v>864.41</v>
      </c>
      <c r="V128" s="72">
        <f t="shared" si="9"/>
        <v>-282.51</v>
      </c>
      <c r="W128" s="69">
        <f>D_Emprunts!$U128-D_Emprunts!$V128</f>
        <v>1146.92</v>
      </c>
      <c r="X128" s="70">
        <f>X127-D_Emprunts!$W128</f>
        <v>-96911.309999999983</v>
      </c>
      <c r="Y128">
        <v>121</v>
      </c>
      <c r="Z128" t="str">
        <f t="shared" si="7"/>
        <v>Investissement</v>
      </c>
      <c r="AA128" t="str">
        <f t="shared" si="8"/>
        <v>travaux magasin</v>
      </c>
    </row>
    <row r="129" spans="20:27" x14ac:dyDescent="0.25">
      <c r="T129" s="71">
        <f t="shared" si="5"/>
        <v>47639</v>
      </c>
      <c r="U129" s="77">
        <f t="shared" si="6"/>
        <v>864.41</v>
      </c>
      <c r="V129" s="72">
        <f t="shared" si="9"/>
        <v>-285.89</v>
      </c>
      <c r="W129" s="72">
        <f>D_Emprunts!$U129-D_Emprunts!$V129</f>
        <v>1150.3</v>
      </c>
      <c r="X129" s="73">
        <f>X128-D_Emprunts!$W129</f>
        <v>-98061.609999999986</v>
      </c>
      <c r="Y129">
        <v>122</v>
      </c>
      <c r="Z129" t="str">
        <f t="shared" si="7"/>
        <v>Investissement</v>
      </c>
      <c r="AA129" t="str">
        <f t="shared" si="8"/>
        <v>travaux magasin</v>
      </c>
    </row>
    <row r="130" spans="20:27" x14ac:dyDescent="0.25">
      <c r="T130" s="68">
        <f t="shared" si="5"/>
        <v>47669</v>
      </c>
      <c r="U130" s="77">
        <f t="shared" si="6"/>
        <v>864.41</v>
      </c>
      <c r="V130" s="72">
        <f t="shared" si="9"/>
        <v>-289.29000000000002</v>
      </c>
      <c r="W130" s="69">
        <f>D_Emprunts!$U130-D_Emprunts!$V130</f>
        <v>1153.7</v>
      </c>
      <c r="X130" s="70">
        <f>X129-D_Emprunts!$W130</f>
        <v>-99215.309999999983</v>
      </c>
      <c r="Y130">
        <v>123</v>
      </c>
      <c r="Z130" t="str">
        <f t="shared" si="7"/>
        <v>Investissement</v>
      </c>
      <c r="AA130" t="str">
        <f t="shared" si="8"/>
        <v>travaux magasin</v>
      </c>
    </row>
    <row r="131" spans="20:27" x14ac:dyDescent="0.25">
      <c r="T131" s="71">
        <f t="shared" si="5"/>
        <v>47700</v>
      </c>
      <c r="U131" s="77">
        <f t="shared" si="6"/>
        <v>864.41</v>
      </c>
      <c r="V131" s="72">
        <f t="shared" si="9"/>
        <v>-292.69</v>
      </c>
      <c r="W131" s="72">
        <f>D_Emprunts!$U131-D_Emprunts!$V131</f>
        <v>1157.0999999999999</v>
      </c>
      <c r="X131" s="73">
        <f>X130-D_Emprunts!$W131</f>
        <v>-100372.40999999999</v>
      </c>
      <c r="Y131">
        <v>124</v>
      </c>
      <c r="Z131" t="str">
        <f t="shared" si="7"/>
        <v>Investissement</v>
      </c>
      <c r="AA131" t="str">
        <f t="shared" si="8"/>
        <v>travaux magasin</v>
      </c>
    </row>
    <row r="132" spans="20:27" x14ac:dyDescent="0.25">
      <c r="T132" s="68">
        <f t="shared" si="5"/>
        <v>47731</v>
      </c>
      <c r="U132" s="77">
        <f t="shared" si="6"/>
        <v>864.41</v>
      </c>
      <c r="V132" s="72">
        <f t="shared" si="9"/>
        <v>-296.10000000000002</v>
      </c>
      <c r="W132" s="69">
        <f>D_Emprunts!$U132-D_Emprunts!$V132</f>
        <v>1160.51</v>
      </c>
      <c r="X132" s="70">
        <f>X131-D_Emprunts!$W132</f>
        <v>-101532.91999999998</v>
      </c>
      <c r="Y132">
        <v>125</v>
      </c>
      <c r="Z132" t="str">
        <f t="shared" si="7"/>
        <v>Investissement</v>
      </c>
      <c r="AA132" t="str">
        <f t="shared" si="8"/>
        <v>travaux magasin</v>
      </c>
    </row>
    <row r="133" spans="20:27" x14ac:dyDescent="0.25">
      <c r="T133" s="71">
        <f t="shared" si="5"/>
        <v>47761</v>
      </c>
      <c r="U133" s="77">
        <f t="shared" si="6"/>
        <v>864.41</v>
      </c>
      <c r="V133" s="72">
        <f t="shared" si="9"/>
        <v>-299.52999999999997</v>
      </c>
      <c r="W133" s="72">
        <f>D_Emprunts!$U133-D_Emprunts!$V133</f>
        <v>1163.94</v>
      </c>
      <c r="X133" s="73">
        <f>X132-D_Emprunts!$W133</f>
        <v>-102696.85999999999</v>
      </c>
      <c r="Y133">
        <v>126</v>
      </c>
      <c r="Z133" t="str">
        <f t="shared" si="7"/>
        <v>Investissement</v>
      </c>
      <c r="AA133" t="str">
        <f t="shared" si="8"/>
        <v>travaux magasin</v>
      </c>
    </row>
    <row r="134" spans="20:27" x14ac:dyDescent="0.25">
      <c r="T134" s="68">
        <f t="shared" si="5"/>
        <v>47792</v>
      </c>
      <c r="U134" s="77">
        <f t="shared" si="6"/>
        <v>864.41</v>
      </c>
      <c r="V134" s="72">
        <f t="shared" si="9"/>
        <v>-302.95999999999998</v>
      </c>
      <c r="W134" s="69">
        <f>D_Emprunts!$U134-D_Emprunts!$V134</f>
        <v>1167.3699999999999</v>
      </c>
      <c r="X134" s="70">
        <f>X133-D_Emprunts!$W134</f>
        <v>-103864.22999999998</v>
      </c>
      <c r="Y134">
        <v>127</v>
      </c>
      <c r="Z134" t="str">
        <f t="shared" si="7"/>
        <v>Investissement</v>
      </c>
      <c r="AA134" t="str">
        <f t="shared" si="8"/>
        <v>travaux magasin</v>
      </c>
    </row>
    <row r="135" spans="20:27" x14ac:dyDescent="0.25">
      <c r="T135" s="71">
        <f t="shared" si="5"/>
        <v>47822</v>
      </c>
      <c r="U135" s="77">
        <f t="shared" si="6"/>
        <v>864.41</v>
      </c>
      <c r="V135" s="72">
        <f t="shared" si="9"/>
        <v>-306.39999999999998</v>
      </c>
      <c r="W135" s="72">
        <f>D_Emprunts!$U135-D_Emprunts!$V135</f>
        <v>1170.81</v>
      </c>
      <c r="X135" s="73">
        <f>X134-D_Emprunts!$W135</f>
        <v>-105035.03999999998</v>
      </c>
      <c r="Y135">
        <v>128</v>
      </c>
      <c r="Z135" t="str">
        <f t="shared" si="7"/>
        <v>Investissement</v>
      </c>
      <c r="AA135" t="str">
        <f t="shared" si="8"/>
        <v>travaux magasin</v>
      </c>
    </row>
    <row r="136" spans="20:27" x14ac:dyDescent="0.25">
      <c r="T136" s="68">
        <f t="shared" ref="T136:T199" si="10">EDATE(T135,1)</f>
        <v>47853</v>
      </c>
      <c r="U136" s="77">
        <f t="shared" si="6"/>
        <v>864.41</v>
      </c>
      <c r="V136" s="72">
        <f t="shared" si="9"/>
        <v>-309.86</v>
      </c>
      <c r="W136" s="69">
        <f>D_Emprunts!$U136-D_Emprunts!$V136</f>
        <v>1174.27</v>
      </c>
      <c r="X136" s="70">
        <f>X135-D_Emprunts!$W136</f>
        <v>-106209.30999999998</v>
      </c>
      <c r="Y136">
        <v>129</v>
      </c>
      <c r="Z136" t="str">
        <f t="shared" si="7"/>
        <v>Investissement</v>
      </c>
      <c r="AA136" t="str">
        <f t="shared" si="8"/>
        <v>travaux magasin</v>
      </c>
    </row>
    <row r="137" spans="20:27" x14ac:dyDescent="0.25">
      <c r="T137" s="71">
        <f t="shared" si="10"/>
        <v>47884</v>
      </c>
      <c r="U137" s="77">
        <f t="shared" ref="U137:U200" si="11">$X$4</f>
        <v>864.41</v>
      </c>
      <c r="V137" s="72">
        <f t="shared" si="9"/>
        <v>-313.32</v>
      </c>
      <c r="W137" s="72">
        <f>D_Emprunts!$U137-D_Emprunts!$V137</f>
        <v>1177.73</v>
      </c>
      <c r="X137" s="73">
        <f>X136-D_Emprunts!$W137</f>
        <v>-107387.03999999998</v>
      </c>
      <c r="Y137">
        <v>130</v>
      </c>
      <c r="Z137" t="str">
        <f t="shared" ref="Z137:Z200" si="12">$Y$4</f>
        <v>Investissement</v>
      </c>
      <c r="AA137" t="str">
        <f t="shared" ref="AA137:AA200" si="13">$Z$4</f>
        <v>travaux magasin</v>
      </c>
    </row>
    <row r="138" spans="20:27" x14ac:dyDescent="0.25">
      <c r="T138" s="68">
        <f t="shared" si="10"/>
        <v>47912</v>
      </c>
      <c r="U138" s="77">
        <f t="shared" si="11"/>
        <v>864.41</v>
      </c>
      <c r="V138" s="72">
        <f t="shared" ref="V138:V201" si="14">ROUND(X137*$V$4/12,2)</f>
        <v>-316.8</v>
      </c>
      <c r="W138" s="69">
        <f>D_Emprunts!$U138-D_Emprunts!$V138</f>
        <v>1181.21</v>
      </c>
      <c r="X138" s="70">
        <f>X137-D_Emprunts!$W138</f>
        <v>-108568.24999999999</v>
      </c>
      <c r="Y138">
        <v>131</v>
      </c>
      <c r="Z138" t="str">
        <f t="shared" si="12"/>
        <v>Investissement</v>
      </c>
      <c r="AA138" t="str">
        <f t="shared" si="13"/>
        <v>travaux magasin</v>
      </c>
    </row>
    <row r="139" spans="20:27" x14ac:dyDescent="0.25">
      <c r="T139" s="71">
        <f t="shared" si="10"/>
        <v>47943</v>
      </c>
      <c r="U139" s="77">
        <f t="shared" si="11"/>
        <v>864.41</v>
      </c>
      <c r="V139" s="72">
        <f t="shared" si="14"/>
        <v>-320.27999999999997</v>
      </c>
      <c r="W139" s="72">
        <f>D_Emprunts!$U139-D_Emprunts!$V139</f>
        <v>1184.69</v>
      </c>
      <c r="X139" s="73">
        <f>X138-D_Emprunts!$W139</f>
        <v>-109752.93999999999</v>
      </c>
      <c r="Y139">
        <v>132</v>
      </c>
      <c r="Z139" t="str">
        <f t="shared" si="12"/>
        <v>Investissement</v>
      </c>
      <c r="AA139" t="str">
        <f t="shared" si="13"/>
        <v>travaux magasin</v>
      </c>
    </row>
    <row r="140" spans="20:27" x14ac:dyDescent="0.25">
      <c r="T140" s="68">
        <f t="shared" si="10"/>
        <v>47973</v>
      </c>
      <c r="U140" s="77">
        <f t="shared" si="11"/>
        <v>864.41</v>
      </c>
      <c r="V140" s="72">
        <f t="shared" si="14"/>
        <v>-323.77999999999997</v>
      </c>
      <c r="W140" s="69">
        <f>D_Emprunts!$U140-D_Emprunts!$V140</f>
        <v>1188.19</v>
      </c>
      <c r="X140" s="70">
        <f>X139-D_Emprunts!$W140</f>
        <v>-110941.12999999999</v>
      </c>
      <c r="Y140">
        <v>133</v>
      </c>
      <c r="Z140" t="str">
        <f t="shared" si="12"/>
        <v>Investissement</v>
      </c>
      <c r="AA140" t="str">
        <f t="shared" si="13"/>
        <v>travaux magasin</v>
      </c>
    </row>
    <row r="141" spans="20:27" x14ac:dyDescent="0.25">
      <c r="T141" s="71">
        <f t="shared" si="10"/>
        <v>48004</v>
      </c>
      <c r="U141" s="77">
        <f t="shared" si="11"/>
        <v>864.41</v>
      </c>
      <c r="V141" s="72">
        <f t="shared" si="14"/>
        <v>-327.27999999999997</v>
      </c>
      <c r="W141" s="72">
        <f>D_Emprunts!$U141-D_Emprunts!$V141</f>
        <v>1191.69</v>
      </c>
      <c r="X141" s="73">
        <f>X140-D_Emprunts!$W141</f>
        <v>-112132.81999999999</v>
      </c>
      <c r="Y141">
        <v>134</v>
      </c>
      <c r="Z141" t="str">
        <f t="shared" si="12"/>
        <v>Investissement</v>
      </c>
      <c r="AA141" t="str">
        <f t="shared" si="13"/>
        <v>travaux magasin</v>
      </c>
    </row>
    <row r="142" spans="20:27" x14ac:dyDescent="0.25">
      <c r="T142" s="68">
        <f t="shared" si="10"/>
        <v>48034</v>
      </c>
      <c r="U142" s="77">
        <f t="shared" si="11"/>
        <v>864.41</v>
      </c>
      <c r="V142" s="72">
        <f t="shared" si="14"/>
        <v>-330.8</v>
      </c>
      <c r="W142" s="69">
        <f>D_Emprunts!$U142-D_Emprunts!$V142</f>
        <v>1195.21</v>
      </c>
      <c r="X142" s="70">
        <f>X141-D_Emprunts!$W142</f>
        <v>-113328.03</v>
      </c>
      <c r="Y142">
        <v>135</v>
      </c>
      <c r="Z142" t="str">
        <f t="shared" si="12"/>
        <v>Investissement</v>
      </c>
      <c r="AA142" t="str">
        <f t="shared" si="13"/>
        <v>travaux magasin</v>
      </c>
    </row>
    <row r="143" spans="20:27" x14ac:dyDescent="0.25">
      <c r="T143" s="71">
        <f t="shared" si="10"/>
        <v>48065</v>
      </c>
      <c r="U143" s="77">
        <f t="shared" si="11"/>
        <v>864.41</v>
      </c>
      <c r="V143" s="72">
        <f t="shared" si="14"/>
        <v>-334.32</v>
      </c>
      <c r="W143" s="72">
        <f>D_Emprunts!$U143-D_Emprunts!$V143</f>
        <v>1198.73</v>
      </c>
      <c r="X143" s="73">
        <f>X142-D_Emprunts!$W143</f>
        <v>-114526.76</v>
      </c>
      <c r="Y143">
        <v>136</v>
      </c>
      <c r="Z143" t="str">
        <f t="shared" si="12"/>
        <v>Investissement</v>
      </c>
      <c r="AA143" t="str">
        <f t="shared" si="13"/>
        <v>travaux magasin</v>
      </c>
    </row>
    <row r="144" spans="20:27" x14ac:dyDescent="0.25">
      <c r="T144" s="68">
        <f t="shared" si="10"/>
        <v>48096</v>
      </c>
      <c r="U144" s="77">
        <f t="shared" si="11"/>
        <v>864.41</v>
      </c>
      <c r="V144" s="72">
        <f t="shared" si="14"/>
        <v>-337.86</v>
      </c>
      <c r="W144" s="69">
        <f>D_Emprunts!$U144-D_Emprunts!$V144</f>
        <v>1202.27</v>
      </c>
      <c r="X144" s="70">
        <f>X143-D_Emprunts!$W144</f>
        <v>-115729.03</v>
      </c>
      <c r="Y144">
        <v>137</v>
      </c>
      <c r="Z144" t="str">
        <f t="shared" si="12"/>
        <v>Investissement</v>
      </c>
      <c r="AA144" t="str">
        <f t="shared" si="13"/>
        <v>travaux magasin</v>
      </c>
    </row>
    <row r="145" spans="20:27" x14ac:dyDescent="0.25">
      <c r="T145" s="71">
        <f t="shared" si="10"/>
        <v>48126</v>
      </c>
      <c r="U145" s="77">
        <f t="shared" si="11"/>
        <v>864.41</v>
      </c>
      <c r="V145" s="72">
        <f t="shared" si="14"/>
        <v>-341.41</v>
      </c>
      <c r="W145" s="72">
        <f>D_Emprunts!$U145-D_Emprunts!$V145</f>
        <v>1205.82</v>
      </c>
      <c r="X145" s="73">
        <f>X144-D_Emprunts!$W145</f>
        <v>-116934.85</v>
      </c>
      <c r="Y145">
        <v>138</v>
      </c>
      <c r="Z145" t="str">
        <f t="shared" si="12"/>
        <v>Investissement</v>
      </c>
      <c r="AA145" t="str">
        <f t="shared" si="13"/>
        <v>travaux magasin</v>
      </c>
    </row>
    <row r="146" spans="20:27" x14ac:dyDescent="0.25">
      <c r="T146" s="68">
        <f t="shared" si="10"/>
        <v>48157</v>
      </c>
      <c r="U146" s="77">
        <f t="shared" si="11"/>
        <v>864.41</v>
      </c>
      <c r="V146" s="72">
        <f t="shared" si="14"/>
        <v>-344.96</v>
      </c>
      <c r="W146" s="69">
        <f>D_Emprunts!$U146-D_Emprunts!$V146</f>
        <v>1209.3699999999999</v>
      </c>
      <c r="X146" s="70">
        <f>X145-D_Emprunts!$W146</f>
        <v>-118144.22</v>
      </c>
      <c r="Y146">
        <v>139</v>
      </c>
      <c r="Z146" t="str">
        <f t="shared" si="12"/>
        <v>Investissement</v>
      </c>
      <c r="AA146" t="str">
        <f t="shared" si="13"/>
        <v>travaux magasin</v>
      </c>
    </row>
    <row r="147" spans="20:27" x14ac:dyDescent="0.25">
      <c r="T147" s="71">
        <f t="shared" si="10"/>
        <v>48187</v>
      </c>
      <c r="U147" s="77">
        <f t="shared" si="11"/>
        <v>864.41</v>
      </c>
      <c r="V147" s="72">
        <f t="shared" si="14"/>
        <v>-348.53</v>
      </c>
      <c r="W147" s="72">
        <f>D_Emprunts!$U147-D_Emprunts!$V147</f>
        <v>1212.94</v>
      </c>
      <c r="X147" s="73">
        <f>X146-D_Emprunts!$W147</f>
        <v>-119357.16</v>
      </c>
      <c r="Y147">
        <v>140</v>
      </c>
      <c r="Z147" t="str">
        <f t="shared" si="12"/>
        <v>Investissement</v>
      </c>
      <c r="AA147" t="str">
        <f t="shared" si="13"/>
        <v>travaux magasin</v>
      </c>
    </row>
    <row r="148" spans="20:27" x14ac:dyDescent="0.25">
      <c r="T148" s="68">
        <f t="shared" si="10"/>
        <v>48218</v>
      </c>
      <c r="U148" s="77">
        <f t="shared" si="11"/>
        <v>864.41</v>
      </c>
      <c r="V148" s="72">
        <f t="shared" si="14"/>
        <v>-352.11</v>
      </c>
      <c r="W148" s="69">
        <f>D_Emprunts!$U148-D_Emprunts!$V148</f>
        <v>1216.52</v>
      </c>
      <c r="X148" s="70">
        <f>X147-D_Emprunts!$W148</f>
        <v>-120573.68000000001</v>
      </c>
      <c r="Y148">
        <v>141</v>
      </c>
      <c r="Z148" t="str">
        <f t="shared" si="12"/>
        <v>Investissement</v>
      </c>
      <c r="AA148" t="str">
        <f t="shared" si="13"/>
        <v>travaux magasin</v>
      </c>
    </row>
    <row r="149" spans="20:27" x14ac:dyDescent="0.25">
      <c r="T149" s="71">
        <f t="shared" si="10"/>
        <v>48249</v>
      </c>
      <c r="U149" s="77">
        <f t="shared" si="11"/>
        <v>864.41</v>
      </c>
      <c r="V149" s="72">
        <f t="shared" si="14"/>
        <v>-355.7</v>
      </c>
      <c r="W149" s="72">
        <f>D_Emprunts!$U149-D_Emprunts!$V149</f>
        <v>1220.1099999999999</v>
      </c>
      <c r="X149" s="73">
        <f>X148-D_Emprunts!$W149</f>
        <v>-121793.79000000001</v>
      </c>
      <c r="Y149">
        <v>142</v>
      </c>
      <c r="Z149" t="str">
        <f t="shared" si="12"/>
        <v>Investissement</v>
      </c>
      <c r="AA149" t="str">
        <f t="shared" si="13"/>
        <v>travaux magasin</v>
      </c>
    </row>
    <row r="150" spans="20:27" x14ac:dyDescent="0.25">
      <c r="T150" s="68">
        <f t="shared" si="10"/>
        <v>48278</v>
      </c>
      <c r="U150" s="77">
        <f t="shared" si="11"/>
        <v>864.41</v>
      </c>
      <c r="V150" s="72">
        <f t="shared" si="14"/>
        <v>-359.3</v>
      </c>
      <c r="W150" s="69">
        <f>D_Emprunts!$U150-D_Emprunts!$V150</f>
        <v>1223.71</v>
      </c>
      <c r="X150" s="70">
        <f>X149-D_Emprunts!$W150</f>
        <v>-123017.50000000001</v>
      </c>
      <c r="Y150">
        <v>143</v>
      </c>
      <c r="Z150" t="str">
        <f t="shared" si="12"/>
        <v>Investissement</v>
      </c>
      <c r="AA150" t="str">
        <f t="shared" si="13"/>
        <v>travaux magasin</v>
      </c>
    </row>
    <row r="151" spans="20:27" x14ac:dyDescent="0.25">
      <c r="T151" s="71">
        <f t="shared" si="10"/>
        <v>48309</v>
      </c>
      <c r="U151" s="77">
        <f t="shared" si="11"/>
        <v>864.41</v>
      </c>
      <c r="V151" s="72">
        <f t="shared" si="14"/>
        <v>-362.91</v>
      </c>
      <c r="W151" s="72">
        <f>D_Emprunts!$U151-D_Emprunts!$V151</f>
        <v>1227.32</v>
      </c>
      <c r="X151" s="73">
        <f>X150-D_Emprunts!$W151</f>
        <v>-124244.82000000002</v>
      </c>
      <c r="Y151">
        <v>144</v>
      </c>
      <c r="Z151" t="str">
        <f t="shared" si="12"/>
        <v>Investissement</v>
      </c>
      <c r="AA151" t="str">
        <f t="shared" si="13"/>
        <v>travaux magasin</v>
      </c>
    </row>
    <row r="152" spans="20:27" x14ac:dyDescent="0.25">
      <c r="T152" s="68">
        <f t="shared" si="10"/>
        <v>48339</v>
      </c>
      <c r="U152" s="77">
        <f t="shared" si="11"/>
        <v>864.41</v>
      </c>
      <c r="V152" s="72">
        <f t="shared" si="14"/>
        <v>-366.53</v>
      </c>
      <c r="W152" s="69">
        <f>D_Emprunts!$U152-D_Emprunts!$V152</f>
        <v>1230.94</v>
      </c>
      <c r="X152" s="70">
        <f>X151-D_Emprunts!$W152</f>
        <v>-125475.76000000002</v>
      </c>
      <c r="Y152">
        <v>145</v>
      </c>
      <c r="Z152" t="str">
        <f t="shared" si="12"/>
        <v>Investissement</v>
      </c>
      <c r="AA152" t="str">
        <f t="shared" si="13"/>
        <v>travaux magasin</v>
      </c>
    </row>
    <row r="153" spans="20:27" x14ac:dyDescent="0.25">
      <c r="T153" s="71">
        <f t="shared" si="10"/>
        <v>48370</v>
      </c>
      <c r="U153" s="77">
        <f t="shared" si="11"/>
        <v>864.41</v>
      </c>
      <c r="V153" s="72">
        <f t="shared" si="14"/>
        <v>-370.16</v>
      </c>
      <c r="W153" s="72">
        <f>D_Emprunts!$U153-D_Emprunts!$V153</f>
        <v>1234.57</v>
      </c>
      <c r="X153" s="73">
        <f>X152-D_Emprunts!$W153</f>
        <v>-126710.33000000003</v>
      </c>
      <c r="Y153">
        <v>146</v>
      </c>
      <c r="Z153" t="str">
        <f t="shared" si="12"/>
        <v>Investissement</v>
      </c>
      <c r="AA153" t="str">
        <f t="shared" si="13"/>
        <v>travaux magasin</v>
      </c>
    </row>
    <row r="154" spans="20:27" x14ac:dyDescent="0.25">
      <c r="T154" s="68">
        <f t="shared" si="10"/>
        <v>48400</v>
      </c>
      <c r="U154" s="77">
        <f t="shared" si="11"/>
        <v>864.41</v>
      </c>
      <c r="V154" s="72">
        <f t="shared" si="14"/>
        <v>-373.8</v>
      </c>
      <c r="W154" s="69">
        <f>D_Emprunts!$U154-D_Emprunts!$V154</f>
        <v>1238.21</v>
      </c>
      <c r="X154" s="70">
        <f>X153-D_Emprunts!$W154</f>
        <v>-127948.54000000004</v>
      </c>
      <c r="Y154">
        <v>147</v>
      </c>
      <c r="Z154" t="str">
        <f t="shared" si="12"/>
        <v>Investissement</v>
      </c>
      <c r="AA154" t="str">
        <f t="shared" si="13"/>
        <v>travaux magasin</v>
      </c>
    </row>
    <row r="155" spans="20:27" x14ac:dyDescent="0.25">
      <c r="T155" s="71">
        <f t="shared" si="10"/>
        <v>48431</v>
      </c>
      <c r="U155" s="77">
        <f t="shared" si="11"/>
        <v>864.41</v>
      </c>
      <c r="V155" s="72">
        <f t="shared" si="14"/>
        <v>-377.45</v>
      </c>
      <c r="W155" s="72">
        <f>D_Emprunts!$U155-D_Emprunts!$V155</f>
        <v>1241.8599999999999</v>
      </c>
      <c r="X155" s="73">
        <f>X154-D_Emprunts!$W155</f>
        <v>-129190.40000000004</v>
      </c>
      <c r="Y155">
        <v>148</v>
      </c>
      <c r="Z155" t="str">
        <f t="shared" si="12"/>
        <v>Investissement</v>
      </c>
      <c r="AA155" t="str">
        <f t="shared" si="13"/>
        <v>travaux magasin</v>
      </c>
    </row>
    <row r="156" spans="20:27" x14ac:dyDescent="0.25">
      <c r="T156" s="68">
        <f t="shared" si="10"/>
        <v>48462</v>
      </c>
      <c r="U156" s="77">
        <f t="shared" si="11"/>
        <v>864.41</v>
      </c>
      <c r="V156" s="72">
        <f t="shared" si="14"/>
        <v>-381.12</v>
      </c>
      <c r="W156" s="69">
        <f>D_Emprunts!$U156-D_Emprunts!$V156</f>
        <v>1245.53</v>
      </c>
      <c r="X156" s="70">
        <f>X155-D_Emprunts!$W156</f>
        <v>-130435.93000000004</v>
      </c>
      <c r="Y156">
        <v>149</v>
      </c>
      <c r="Z156" t="str">
        <f t="shared" si="12"/>
        <v>Investissement</v>
      </c>
      <c r="AA156" t="str">
        <f t="shared" si="13"/>
        <v>travaux magasin</v>
      </c>
    </row>
    <row r="157" spans="20:27" x14ac:dyDescent="0.25">
      <c r="T157" s="71">
        <f t="shared" si="10"/>
        <v>48492</v>
      </c>
      <c r="U157" s="77">
        <f t="shared" si="11"/>
        <v>864.41</v>
      </c>
      <c r="V157" s="72">
        <f t="shared" si="14"/>
        <v>-384.79</v>
      </c>
      <c r="W157" s="72">
        <f>D_Emprunts!$U157-D_Emprunts!$V157</f>
        <v>1249.2</v>
      </c>
      <c r="X157" s="73">
        <f>X156-D_Emprunts!$W157</f>
        <v>-131685.13000000003</v>
      </c>
      <c r="Y157">
        <v>150</v>
      </c>
      <c r="Z157" t="str">
        <f t="shared" si="12"/>
        <v>Investissement</v>
      </c>
      <c r="AA157" t="str">
        <f t="shared" si="13"/>
        <v>travaux magasin</v>
      </c>
    </row>
    <row r="158" spans="20:27" x14ac:dyDescent="0.25">
      <c r="T158" s="68">
        <f t="shared" si="10"/>
        <v>48523</v>
      </c>
      <c r="U158" s="77">
        <f t="shared" si="11"/>
        <v>864.41</v>
      </c>
      <c r="V158" s="72">
        <f t="shared" si="14"/>
        <v>-388.48</v>
      </c>
      <c r="W158" s="69">
        <f>D_Emprunts!$U158-D_Emprunts!$V158</f>
        <v>1252.8899999999999</v>
      </c>
      <c r="X158" s="70">
        <f>X157-D_Emprunts!$W158</f>
        <v>-132938.02000000005</v>
      </c>
      <c r="Y158">
        <v>151</v>
      </c>
      <c r="Z158" t="str">
        <f t="shared" si="12"/>
        <v>Investissement</v>
      </c>
      <c r="AA158" t="str">
        <f t="shared" si="13"/>
        <v>travaux magasin</v>
      </c>
    </row>
    <row r="159" spans="20:27" x14ac:dyDescent="0.25">
      <c r="T159" s="71">
        <f t="shared" si="10"/>
        <v>48553</v>
      </c>
      <c r="U159" s="77">
        <f t="shared" si="11"/>
        <v>864.41</v>
      </c>
      <c r="V159" s="72">
        <f t="shared" si="14"/>
        <v>-392.17</v>
      </c>
      <c r="W159" s="72">
        <f>D_Emprunts!$U159-D_Emprunts!$V159</f>
        <v>1256.58</v>
      </c>
      <c r="X159" s="73">
        <f>X158-D_Emprunts!$W159</f>
        <v>-134194.60000000003</v>
      </c>
      <c r="Y159">
        <v>152</v>
      </c>
      <c r="Z159" t="str">
        <f t="shared" si="12"/>
        <v>Investissement</v>
      </c>
      <c r="AA159" t="str">
        <f t="shared" si="13"/>
        <v>travaux magasin</v>
      </c>
    </row>
    <row r="160" spans="20:27" x14ac:dyDescent="0.25">
      <c r="T160" s="68">
        <f t="shared" si="10"/>
        <v>48584</v>
      </c>
      <c r="U160" s="77">
        <f t="shared" si="11"/>
        <v>864.41</v>
      </c>
      <c r="V160" s="72">
        <f t="shared" si="14"/>
        <v>-395.88</v>
      </c>
      <c r="W160" s="69">
        <f>D_Emprunts!$U160-D_Emprunts!$V160</f>
        <v>1260.29</v>
      </c>
      <c r="X160" s="70">
        <f>X159-D_Emprunts!$W160</f>
        <v>-135454.89000000004</v>
      </c>
      <c r="Y160">
        <v>153</v>
      </c>
      <c r="Z160" t="str">
        <f t="shared" si="12"/>
        <v>Investissement</v>
      </c>
      <c r="AA160" t="str">
        <f t="shared" si="13"/>
        <v>travaux magasin</v>
      </c>
    </row>
    <row r="161" spans="20:27" x14ac:dyDescent="0.25">
      <c r="T161" s="71">
        <f t="shared" si="10"/>
        <v>48615</v>
      </c>
      <c r="U161" s="77">
        <f t="shared" si="11"/>
        <v>864.41</v>
      </c>
      <c r="V161" s="72">
        <f t="shared" si="14"/>
        <v>-399.6</v>
      </c>
      <c r="W161" s="72">
        <f>D_Emprunts!$U161-D_Emprunts!$V161</f>
        <v>1264.01</v>
      </c>
      <c r="X161" s="73">
        <f>X160-D_Emprunts!$W161</f>
        <v>-136718.90000000005</v>
      </c>
      <c r="Y161">
        <v>154</v>
      </c>
      <c r="Z161" t="str">
        <f t="shared" si="12"/>
        <v>Investissement</v>
      </c>
      <c r="AA161" t="str">
        <f t="shared" si="13"/>
        <v>travaux magasin</v>
      </c>
    </row>
    <row r="162" spans="20:27" x14ac:dyDescent="0.25">
      <c r="T162" s="68">
        <f t="shared" si="10"/>
        <v>48643</v>
      </c>
      <c r="U162" s="77">
        <f t="shared" si="11"/>
        <v>864.41</v>
      </c>
      <c r="V162" s="72">
        <f t="shared" si="14"/>
        <v>-403.33</v>
      </c>
      <c r="W162" s="69">
        <f>D_Emprunts!$U162-D_Emprunts!$V162</f>
        <v>1267.74</v>
      </c>
      <c r="X162" s="70">
        <f>X161-D_Emprunts!$W162</f>
        <v>-137986.64000000004</v>
      </c>
      <c r="Y162">
        <v>155</v>
      </c>
      <c r="Z162" t="str">
        <f t="shared" si="12"/>
        <v>Investissement</v>
      </c>
      <c r="AA162" t="str">
        <f t="shared" si="13"/>
        <v>travaux magasin</v>
      </c>
    </row>
    <row r="163" spans="20:27" x14ac:dyDescent="0.25">
      <c r="T163" s="71">
        <f t="shared" si="10"/>
        <v>48674</v>
      </c>
      <c r="U163" s="77">
        <f t="shared" si="11"/>
        <v>864.41</v>
      </c>
      <c r="V163" s="72">
        <f t="shared" si="14"/>
        <v>-407.07</v>
      </c>
      <c r="W163" s="72">
        <f>D_Emprunts!$U163-D_Emprunts!$V163</f>
        <v>1271.48</v>
      </c>
      <c r="X163" s="73">
        <f>X162-D_Emprunts!$W163</f>
        <v>-139258.12000000005</v>
      </c>
      <c r="Y163">
        <v>156</v>
      </c>
      <c r="Z163" t="str">
        <f t="shared" si="12"/>
        <v>Investissement</v>
      </c>
      <c r="AA163" t="str">
        <f t="shared" si="13"/>
        <v>travaux magasin</v>
      </c>
    </row>
    <row r="164" spans="20:27" x14ac:dyDescent="0.25">
      <c r="T164" s="68">
        <f t="shared" si="10"/>
        <v>48704</v>
      </c>
      <c r="U164" s="77">
        <f t="shared" si="11"/>
        <v>864.41</v>
      </c>
      <c r="V164" s="72">
        <f t="shared" si="14"/>
        <v>-410.82</v>
      </c>
      <c r="W164" s="69">
        <f>D_Emprunts!$U164-D_Emprunts!$V164</f>
        <v>1275.23</v>
      </c>
      <c r="X164" s="70">
        <f>X163-D_Emprunts!$W164</f>
        <v>-140533.35000000006</v>
      </c>
      <c r="Y164">
        <v>157</v>
      </c>
      <c r="Z164" t="str">
        <f t="shared" si="12"/>
        <v>Investissement</v>
      </c>
      <c r="AA164" t="str">
        <f t="shared" si="13"/>
        <v>travaux magasin</v>
      </c>
    </row>
    <row r="165" spans="20:27" x14ac:dyDescent="0.25">
      <c r="T165" s="71">
        <f t="shared" si="10"/>
        <v>48735</v>
      </c>
      <c r="U165" s="77">
        <f t="shared" si="11"/>
        <v>864.41</v>
      </c>
      <c r="V165" s="72">
        <f t="shared" si="14"/>
        <v>-414.58</v>
      </c>
      <c r="W165" s="72">
        <f>D_Emprunts!$U165-D_Emprunts!$V165</f>
        <v>1278.99</v>
      </c>
      <c r="X165" s="73">
        <f>X164-D_Emprunts!$W165</f>
        <v>-141812.34000000005</v>
      </c>
      <c r="Y165">
        <v>158</v>
      </c>
      <c r="Z165" t="str">
        <f t="shared" si="12"/>
        <v>Investissement</v>
      </c>
      <c r="AA165" t="str">
        <f t="shared" si="13"/>
        <v>travaux magasin</v>
      </c>
    </row>
    <row r="166" spans="20:27" x14ac:dyDescent="0.25">
      <c r="T166" s="68">
        <f t="shared" si="10"/>
        <v>48765</v>
      </c>
      <c r="U166" s="77">
        <f t="shared" si="11"/>
        <v>864.41</v>
      </c>
      <c r="V166" s="72">
        <f t="shared" si="14"/>
        <v>-418.35</v>
      </c>
      <c r="W166" s="69">
        <f>D_Emprunts!$U166-D_Emprunts!$V166</f>
        <v>1282.76</v>
      </c>
      <c r="X166" s="70">
        <f>X165-D_Emprunts!$W166</f>
        <v>-143095.10000000006</v>
      </c>
      <c r="Y166">
        <v>159</v>
      </c>
      <c r="Z166" t="str">
        <f t="shared" si="12"/>
        <v>Investissement</v>
      </c>
      <c r="AA166" t="str">
        <f t="shared" si="13"/>
        <v>travaux magasin</v>
      </c>
    </row>
    <row r="167" spans="20:27" x14ac:dyDescent="0.25">
      <c r="T167" s="71">
        <f t="shared" si="10"/>
        <v>48796</v>
      </c>
      <c r="U167" s="77">
        <f t="shared" si="11"/>
        <v>864.41</v>
      </c>
      <c r="V167" s="72">
        <f t="shared" si="14"/>
        <v>-422.14</v>
      </c>
      <c r="W167" s="72">
        <f>D_Emprunts!$U167-D_Emprunts!$V167</f>
        <v>1286.55</v>
      </c>
      <c r="X167" s="73">
        <f>X166-D_Emprunts!$W167</f>
        <v>-144381.65000000005</v>
      </c>
      <c r="Y167">
        <v>160</v>
      </c>
      <c r="Z167" t="str">
        <f t="shared" si="12"/>
        <v>Investissement</v>
      </c>
      <c r="AA167" t="str">
        <f t="shared" si="13"/>
        <v>travaux magasin</v>
      </c>
    </row>
    <row r="168" spans="20:27" x14ac:dyDescent="0.25">
      <c r="T168" s="68">
        <f t="shared" si="10"/>
        <v>48827</v>
      </c>
      <c r="U168" s="77">
        <f t="shared" si="11"/>
        <v>864.41</v>
      </c>
      <c r="V168" s="72">
        <f t="shared" si="14"/>
        <v>-425.93</v>
      </c>
      <c r="W168" s="69">
        <f>D_Emprunts!$U168-D_Emprunts!$V168</f>
        <v>1290.3399999999999</v>
      </c>
      <c r="X168" s="70">
        <f>X167-D_Emprunts!$W168</f>
        <v>-145671.99000000005</v>
      </c>
      <c r="Y168">
        <v>161</v>
      </c>
      <c r="Z168" t="str">
        <f t="shared" si="12"/>
        <v>Investissement</v>
      </c>
      <c r="AA168" t="str">
        <f t="shared" si="13"/>
        <v>travaux magasin</v>
      </c>
    </row>
    <row r="169" spans="20:27" x14ac:dyDescent="0.25">
      <c r="T169" s="71">
        <f t="shared" si="10"/>
        <v>48857</v>
      </c>
      <c r="U169" s="77">
        <f t="shared" si="11"/>
        <v>864.41</v>
      </c>
      <c r="V169" s="72">
        <f t="shared" si="14"/>
        <v>-429.74</v>
      </c>
      <c r="W169" s="72">
        <f>D_Emprunts!$U169-D_Emprunts!$V169</f>
        <v>1294.1500000000001</v>
      </c>
      <c r="X169" s="73">
        <f>X168-D_Emprunts!$W169</f>
        <v>-146966.14000000004</v>
      </c>
      <c r="Y169">
        <v>162</v>
      </c>
      <c r="Z169" t="str">
        <f t="shared" si="12"/>
        <v>Investissement</v>
      </c>
      <c r="AA169" t="str">
        <f t="shared" si="13"/>
        <v>travaux magasin</v>
      </c>
    </row>
    <row r="170" spans="20:27" x14ac:dyDescent="0.25">
      <c r="T170" s="68">
        <f t="shared" si="10"/>
        <v>48888</v>
      </c>
      <c r="U170" s="77">
        <f t="shared" si="11"/>
        <v>864.41</v>
      </c>
      <c r="V170" s="72">
        <f t="shared" si="14"/>
        <v>-433.56</v>
      </c>
      <c r="W170" s="69">
        <f>D_Emprunts!$U170-D_Emprunts!$V170</f>
        <v>1297.97</v>
      </c>
      <c r="X170" s="70">
        <f>X169-D_Emprunts!$W170</f>
        <v>-148264.11000000004</v>
      </c>
      <c r="Y170">
        <v>163</v>
      </c>
      <c r="Z170" t="str">
        <f t="shared" si="12"/>
        <v>Investissement</v>
      </c>
      <c r="AA170" t="str">
        <f t="shared" si="13"/>
        <v>travaux magasin</v>
      </c>
    </row>
    <row r="171" spans="20:27" x14ac:dyDescent="0.25">
      <c r="T171" s="71">
        <f t="shared" si="10"/>
        <v>48918</v>
      </c>
      <c r="U171" s="77">
        <f t="shared" si="11"/>
        <v>864.41</v>
      </c>
      <c r="V171" s="72">
        <f t="shared" si="14"/>
        <v>-437.39</v>
      </c>
      <c r="W171" s="72">
        <f>D_Emprunts!$U171-D_Emprunts!$V171</f>
        <v>1301.8</v>
      </c>
      <c r="X171" s="73">
        <f>X170-D_Emprunts!$W171</f>
        <v>-149565.91000000003</v>
      </c>
      <c r="Y171">
        <v>164</v>
      </c>
      <c r="Z171" t="str">
        <f t="shared" si="12"/>
        <v>Investissement</v>
      </c>
      <c r="AA171" t="str">
        <f t="shared" si="13"/>
        <v>travaux magasin</v>
      </c>
    </row>
    <row r="172" spans="20:27" x14ac:dyDescent="0.25">
      <c r="T172" s="68">
        <f t="shared" si="10"/>
        <v>48949</v>
      </c>
      <c r="U172" s="77">
        <f t="shared" si="11"/>
        <v>864.41</v>
      </c>
      <c r="V172" s="72">
        <f t="shared" si="14"/>
        <v>-441.23</v>
      </c>
      <c r="W172" s="69">
        <f>D_Emprunts!$U172-D_Emprunts!$V172</f>
        <v>1305.6399999999999</v>
      </c>
      <c r="X172" s="70">
        <f>X171-D_Emprunts!$W172</f>
        <v>-150871.55000000005</v>
      </c>
      <c r="Y172">
        <v>165</v>
      </c>
      <c r="Z172" t="str">
        <f t="shared" si="12"/>
        <v>Investissement</v>
      </c>
      <c r="AA172" t="str">
        <f t="shared" si="13"/>
        <v>travaux magasin</v>
      </c>
    </row>
    <row r="173" spans="20:27" x14ac:dyDescent="0.25">
      <c r="T173" s="71">
        <f t="shared" si="10"/>
        <v>48980</v>
      </c>
      <c r="U173" s="77">
        <f t="shared" si="11"/>
        <v>864.41</v>
      </c>
      <c r="V173" s="72">
        <f t="shared" si="14"/>
        <v>-445.08</v>
      </c>
      <c r="W173" s="72">
        <f>D_Emprunts!$U173-D_Emprunts!$V173</f>
        <v>1309.49</v>
      </c>
      <c r="X173" s="73">
        <f>X172-D_Emprunts!$W173</f>
        <v>-152181.04000000004</v>
      </c>
      <c r="Y173">
        <v>166</v>
      </c>
      <c r="Z173" t="str">
        <f t="shared" si="12"/>
        <v>Investissement</v>
      </c>
      <c r="AA173" t="str">
        <f t="shared" si="13"/>
        <v>travaux magasin</v>
      </c>
    </row>
    <row r="174" spans="20:27" x14ac:dyDescent="0.25">
      <c r="T174" s="68">
        <f t="shared" si="10"/>
        <v>49008</v>
      </c>
      <c r="U174" s="77">
        <f t="shared" si="11"/>
        <v>864.41</v>
      </c>
      <c r="V174" s="72">
        <f t="shared" si="14"/>
        <v>-448.94</v>
      </c>
      <c r="W174" s="69">
        <f>D_Emprunts!$U174-D_Emprunts!$V174</f>
        <v>1313.35</v>
      </c>
      <c r="X174" s="70">
        <f>X173-D_Emprunts!$W174</f>
        <v>-153494.39000000004</v>
      </c>
      <c r="Y174">
        <v>167</v>
      </c>
      <c r="Z174" t="str">
        <f t="shared" si="12"/>
        <v>Investissement</v>
      </c>
      <c r="AA174" t="str">
        <f t="shared" si="13"/>
        <v>travaux magasin</v>
      </c>
    </row>
    <row r="175" spans="20:27" x14ac:dyDescent="0.25">
      <c r="T175" s="71">
        <f t="shared" si="10"/>
        <v>49039</v>
      </c>
      <c r="U175" s="77">
        <f t="shared" si="11"/>
        <v>864.41</v>
      </c>
      <c r="V175" s="72">
        <f t="shared" si="14"/>
        <v>-452.82</v>
      </c>
      <c r="W175" s="72">
        <f>D_Emprunts!$U175-D_Emprunts!$V175</f>
        <v>1317.23</v>
      </c>
      <c r="X175" s="73">
        <f>X174-D_Emprunts!$W175</f>
        <v>-154811.62000000005</v>
      </c>
      <c r="Y175">
        <v>168</v>
      </c>
      <c r="Z175" t="str">
        <f t="shared" si="12"/>
        <v>Investissement</v>
      </c>
      <c r="AA175" t="str">
        <f t="shared" si="13"/>
        <v>travaux magasin</v>
      </c>
    </row>
    <row r="176" spans="20:27" x14ac:dyDescent="0.25">
      <c r="T176" s="68">
        <f t="shared" si="10"/>
        <v>49069</v>
      </c>
      <c r="U176" s="77">
        <f t="shared" si="11"/>
        <v>864.41</v>
      </c>
      <c r="V176" s="72">
        <f t="shared" si="14"/>
        <v>-456.7</v>
      </c>
      <c r="W176" s="69">
        <f>D_Emprunts!$U176-D_Emprunts!$V176</f>
        <v>1321.11</v>
      </c>
      <c r="X176" s="70">
        <f>X175-D_Emprunts!$W176</f>
        <v>-156132.73000000004</v>
      </c>
      <c r="Y176">
        <v>169</v>
      </c>
      <c r="Z176" t="str">
        <f t="shared" si="12"/>
        <v>Investissement</v>
      </c>
      <c r="AA176" t="str">
        <f t="shared" si="13"/>
        <v>travaux magasin</v>
      </c>
    </row>
    <row r="177" spans="20:27" x14ac:dyDescent="0.25">
      <c r="T177" s="71">
        <f t="shared" si="10"/>
        <v>49100</v>
      </c>
      <c r="U177" s="77">
        <f t="shared" si="11"/>
        <v>864.41</v>
      </c>
      <c r="V177" s="72">
        <f t="shared" si="14"/>
        <v>-460.6</v>
      </c>
      <c r="W177" s="72">
        <f>D_Emprunts!$U177-D_Emprunts!$V177</f>
        <v>1325.01</v>
      </c>
      <c r="X177" s="73">
        <f>X176-D_Emprunts!$W177</f>
        <v>-157457.74000000005</v>
      </c>
      <c r="Y177">
        <v>170</v>
      </c>
      <c r="Z177" t="str">
        <f t="shared" si="12"/>
        <v>Investissement</v>
      </c>
      <c r="AA177" t="str">
        <f t="shared" si="13"/>
        <v>travaux magasin</v>
      </c>
    </row>
    <row r="178" spans="20:27" x14ac:dyDescent="0.25">
      <c r="T178" s="68">
        <f t="shared" si="10"/>
        <v>49130</v>
      </c>
      <c r="U178" s="77">
        <f t="shared" si="11"/>
        <v>864.41</v>
      </c>
      <c r="V178" s="72">
        <f t="shared" si="14"/>
        <v>-464.51</v>
      </c>
      <c r="W178" s="69">
        <f>D_Emprunts!$U178-D_Emprunts!$V178</f>
        <v>1328.92</v>
      </c>
      <c r="X178" s="70">
        <f>X177-D_Emprunts!$W178</f>
        <v>-158786.66000000006</v>
      </c>
      <c r="Y178">
        <v>171</v>
      </c>
      <c r="Z178" t="str">
        <f t="shared" si="12"/>
        <v>Investissement</v>
      </c>
      <c r="AA178" t="str">
        <f t="shared" si="13"/>
        <v>travaux magasin</v>
      </c>
    </row>
    <row r="179" spans="20:27" x14ac:dyDescent="0.25">
      <c r="T179" s="71">
        <f t="shared" si="10"/>
        <v>49161</v>
      </c>
      <c r="U179" s="77">
        <f t="shared" si="11"/>
        <v>864.41</v>
      </c>
      <c r="V179" s="72">
        <f t="shared" si="14"/>
        <v>-468.43</v>
      </c>
      <c r="W179" s="72">
        <f>D_Emprunts!$U179-D_Emprunts!$V179</f>
        <v>1332.84</v>
      </c>
      <c r="X179" s="73">
        <f>X178-D_Emprunts!$W179</f>
        <v>-160119.50000000006</v>
      </c>
      <c r="Y179">
        <v>172</v>
      </c>
      <c r="Z179" t="str">
        <f t="shared" si="12"/>
        <v>Investissement</v>
      </c>
      <c r="AA179" t="str">
        <f t="shared" si="13"/>
        <v>travaux magasin</v>
      </c>
    </row>
    <row r="180" spans="20:27" x14ac:dyDescent="0.25">
      <c r="T180" s="68">
        <f t="shared" si="10"/>
        <v>49192</v>
      </c>
      <c r="U180" s="77">
        <f t="shared" si="11"/>
        <v>864.41</v>
      </c>
      <c r="V180" s="72">
        <f t="shared" si="14"/>
        <v>-472.36</v>
      </c>
      <c r="W180" s="69">
        <f>D_Emprunts!$U180-D_Emprunts!$V180</f>
        <v>1336.77</v>
      </c>
      <c r="X180" s="70">
        <f>X179-D_Emprunts!$W180</f>
        <v>-161456.27000000005</v>
      </c>
      <c r="Y180">
        <v>173</v>
      </c>
      <c r="Z180" t="str">
        <f t="shared" si="12"/>
        <v>Investissement</v>
      </c>
      <c r="AA180" t="str">
        <f t="shared" si="13"/>
        <v>travaux magasin</v>
      </c>
    </row>
    <row r="181" spans="20:27" x14ac:dyDescent="0.25">
      <c r="T181" s="71">
        <f t="shared" si="10"/>
        <v>49222</v>
      </c>
      <c r="U181" s="77">
        <f t="shared" si="11"/>
        <v>864.41</v>
      </c>
      <c r="V181" s="72">
        <f t="shared" si="14"/>
        <v>-476.3</v>
      </c>
      <c r="W181" s="72">
        <f>D_Emprunts!$U181-D_Emprunts!$V181</f>
        <v>1340.71</v>
      </c>
      <c r="X181" s="73">
        <f>X180-D_Emprunts!$W181</f>
        <v>-162796.98000000004</v>
      </c>
      <c r="Y181">
        <v>174</v>
      </c>
      <c r="Z181" t="str">
        <f t="shared" si="12"/>
        <v>Investissement</v>
      </c>
      <c r="AA181" t="str">
        <f t="shared" si="13"/>
        <v>travaux magasin</v>
      </c>
    </row>
    <row r="182" spans="20:27" x14ac:dyDescent="0.25">
      <c r="T182" s="68">
        <f t="shared" si="10"/>
        <v>49253</v>
      </c>
      <c r="U182" s="77">
        <f t="shared" si="11"/>
        <v>864.41</v>
      </c>
      <c r="V182" s="72">
        <f t="shared" si="14"/>
        <v>-480.26</v>
      </c>
      <c r="W182" s="69">
        <f>D_Emprunts!$U182-D_Emprunts!$V182</f>
        <v>1344.67</v>
      </c>
      <c r="X182" s="70">
        <f>X181-D_Emprunts!$W182</f>
        <v>-164141.65000000005</v>
      </c>
      <c r="Y182">
        <v>175</v>
      </c>
      <c r="Z182" t="str">
        <f t="shared" si="12"/>
        <v>Investissement</v>
      </c>
      <c r="AA182" t="str">
        <f t="shared" si="13"/>
        <v>travaux magasin</v>
      </c>
    </row>
    <row r="183" spans="20:27" x14ac:dyDescent="0.25">
      <c r="T183" s="71">
        <f t="shared" si="10"/>
        <v>49283</v>
      </c>
      <c r="U183" s="77">
        <f t="shared" si="11"/>
        <v>864.41</v>
      </c>
      <c r="V183" s="72">
        <f t="shared" si="14"/>
        <v>-484.23</v>
      </c>
      <c r="W183" s="72">
        <f>D_Emprunts!$U183-D_Emprunts!$V183</f>
        <v>1348.6399999999999</v>
      </c>
      <c r="X183" s="73">
        <f>X182-D_Emprunts!$W183</f>
        <v>-165490.29000000007</v>
      </c>
      <c r="Y183">
        <v>176</v>
      </c>
      <c r="Z183" t="str">
        <f t="shared" si="12"/>
        <v>Investissement</v>
      </c>
      <c r="AA183" t="str">
        <f t="shared" si="13"/>
        <v>travaux magasin</v>
      </c>
    </row>
    <row r="184" spans="20:27" x14ac:dyDescent="0.25">
      <c r="T184" s="68">
        <f t="shared" si="10"/>
        <v>49314</v>
      </c>
      <c r="U184" s="77">
        <f t="shared" si="11"/>
        <v>864.41</v>
      </c>
      <c r="V184" s="72">
        <f t="shared" si="14"/>
        <v>-488.2</v>
      </c>
      <c r="W184" s="69">
        <f>D_Emprunts!$U184-D_Emprunts!$V184</f>
        <v>1352.61</v>
      </c>
      <c r="X184" s="70">
        <f>X183-D_Emprunts!$W184</f>
        <v>-166842.90000000005</v>
      </c>
      <c r="Y184">
        <v>177</v>
      </c>
      <c r="Z184" t="str">
        <f t="shared" si="12"/>
        <v>Investissement</v>
      </c>
      <c r="AA184" t="str">
        <f t="shared" si="13"/>
        <v>travaux magasin</v>
      </c>
    </row>
    <row r="185" spans="20:27" x14ac:dyDescent="0.25">
      <c r="T185" s="71">
        <f t="shared" si="10"/>
        <v>49345</v>
      </c>
      <c r="U185" s="77">
        <f t="shared" si="11"/>
        <v>864.41</v>
      </c>
      <c r="V185" s="72">
        <f t="shared" si="14"/>
        <v>-492.2</v>
      </c>
      <c r="W185" s="72">
        <f>D_Emprunts!$U185-D_Emprunts!$V185</f>
        <v>1356.61</v>
      </c>
      <c r="X185" s="73">
        <f>X184-D_Emprunts!$W185</f>
        <v>-168199.51000000004</v>
      </c>
      <c r="Y185">
        <v>178</v>
      </c>
      <c r="Z185" t="str">
        <f t="shared" si="12"/>
        <v>Investissement</v>
      </c>
      <c r="AA185" t="str">
        <f t="shared" si="13"/>
        <v>travaux magasin</v>
      </c>
    </row>
    <row r="186" spans="20:27" x14ac:dyDescent="0.25">
      <c r="T186" s="68">
        <f t="shared" si="10"/>
        <v>49373</v>
      </c>
      <c r="U186" s="77">
        <f t="shared" si="11"/>
        <v>864.41</v>
      </c>
      <c r="V186" s="72">
        <f t="shared" si="14"/>
        <v>-496.2</v>
      </c>
      <c r="W186" s="69">
        <f>D_Emprunts!$U186-D_Emprunts!$V186</f>
        <v>1360.61</v>
      </c>
      <c r="X186" s="70">
        <f>X185-D_Emprunts!$W186</f>
        <v>-169560.12000000002</v>
      </c>
      <c r="Y186">
        <v>179</v>
      </c>
      <c r="Z186" t="str">
        <f t="shared" si="12"/>
        <v>Investissement</v>
      </c>
      <c r="AA186" t="str">
        <f t="shared" si="13"/>
        <v>travaux magasin</v>
      </c>
    </row>
    <row r="187" spans="20:27" x14ac:dyDescent="0.25">
      <c r="T187" s="71">
        <f t="shared" si="10"/>
        <v>49404</v>
      </c>
      <c r="U187" s="77">
        <f t="shared" si="11"/>
        <v>864.41</v>
      </c>
      <c r="V187" s="72">
        <f t="shared" si="14"/>
        <v>-500.21</v>
      </c>
      <c r="W187" s="72">
        <f>D_Emprunts!$U187-D_Emprunts!$V187</f>
        <v>1364.62</v>
      </c>
      <c r="X187" s="73">
        <f>X186-D_Emprunts!$W187</f>
        <v>-170924.74000000002</v>
      </c>
      <c r="Y187">
        <v>180</v>
      </c>
      <c r="Z187" t="str">
        <f t="shared" si="12"/>
        <v>Investissement</v>
      </c>
      <c r="AA187" t="str">
        <f t="shared" si="13"/>
        <v>travaux magasin</v>
      </c>
    </row>
    <row r="188" spans="20:27" x14ac:dyDescent="0.25">
      <c r="T188" s="68">
        <f t="shared" si="10"/>
        <v>49434</v>
      </c>
      <c r="U188" s="77">
        <f t="shared" si="11"/>
        <v>864.41</v>
      </c>
      <c r="V188" s="72">
        <f t="shared" si="14"/>
        <v>-504.24</v>
      </c>
      <c r="W188" s="69">
        <f>D_Emprunts!$U188-D_Emprunts!$V188</f>
        <v>1368.65</v>
      </c>
      <c r="X188" s="70">
        <f>X187-D_Emprunts!$W188</f>
        <v>-172293.39</v>
      </c>
      <c r="Y188">
        <v>181</v>
      </c>
      <c r="Z188" t="str">
        <f t="shared" si="12"/>
        <v>Investissement</v>
      </c>
      <c r="AA188" t="str">
        <f t="shared" si="13"/>
        <v>travaux magasin</v>
      </c>
    </row>
    <row r="189" spans="20:27" x14ac:dyDescent="0.25">
      <c r="T189" s="71">
        <f t="shared" si="10"/>
        <v>49465</v>
      </c>
      <c r="U189" s="77">
        <f t="shared" si="11"/>
        <v>864.41</v>
      </c>
      <c r="V189" s="72">
        <f t="shared" si="14"/>
        <v>-508.27</v>
      </c>
      <c r="W189" s="72">
        <f>D_Emprunts!$U189-D_Emprunts!$V189</f>
        <v>1372.6799999999998</v>
      </c>
      <c r="X189" s="73">
        <f>X188-D_Emprunts!$W189</f>
        <v>-173666.07</v>
      </c>
      <c r="Y189">
        <v>182</v>
      </c>
      <c r="Z189" t="str">
        <f t="shared" si="12"/>
        <v>Investissement</v>
      </c>
      <c r="AA189" t="str">
        <f t="shared" si="13"/>
        <v>travaux magasin</v>
      </c>
    </row>
    <row r="190" spans="20:27" x14ac:dyDescent="0.25">
      <c r="T190" s="68">
        <f t="shared" si="10"/>
        <v>49495</v>
      </c>
      <c r="U190" s="77">
        <f t="shared" si="11"/>
        <v>864.41</v>
      </c>
      <c r="V190" s="72">
        <f t="shared" si="14"/>
        <v>-512.32000000000005</v>
      </c>
      <c r="W190" s="69">
        <f>D_Emprunts!$U190-D_Emprunts!$V190</f>
        <v>1376.73</v>
      </c>
      <c r="X190" s="70">
        <f>X189-D_Emprunts!$W190</f>
        <v>-175042.80000000002</v>
      </c>
      <c r="Y190">
        <v>183</v>
      </c>
      <c r="Z190" t="str">
        <f t="shared" si="12"/>
        <v>Investissement</v>
      </c>
      <c r="AA190" t="str">
        <f t="shared" si="13"/>
        <v>travaux magasin</v>
      </c>
    </row>
    <row r="191" spans="20:27" x14ac:dyDescent="0.25">
      <c r="T191" s="71">
        <f t="shared" si="10"/>
        <v>49526</v>
      </c>
      <c r="U191" s="77">
        <f t="shared" si="11"/>
        <v>864.41</v>
      </c>
      <c r="V191" s="72">
        <f t="shared" si="14"/>
        <v>-516.39</v>
      </c>
      <c r="W191" s="72">
        <f>D_Emprunts!$U191-D_Emprunts!$V191</f>
        <v>1380.8</v>
      </c>
      <c r="X191" s="73">
        <f>X190-D_Emprunts!$W191</f>
        <v>-176423.6</v>
      </c>
      <c r="Y191">
        <v>184</v>
      </c>
      <c r="Z191" t="str">
        <f t="shared" si="12"/>
        <v>Investissement</v>
      </c>
      <c r="AA191" t="str">
        <f t="shared" si="13"/>
        <v>travaux magasin</v>
      </c>
    </row>
    <row r="192" spans="20:27" x14ac:dyDescent="0.25">
      <c r="T192" s="68">
        <f t="shared" si="10"/>
        <v>49557</v>
      </c>
      <c r="U192" s="77">
        <f t="shared" si="11"/>
        <v>864.41</v>
      </c>
      <c r="V192" s="72">
        <f t="shared" si="14"/>
        <v>-520.46</v>
      </c>
      <c r="W192" s="69">
        <f>D_Emprunts!$U192-D_Emprunts!$V192</f>
        <v>1384.87</v>
      </c>
      <c r="X192" s="70">
        <f>X191-D_Emprunts!$W192</f>
        <v>-177808.47</v>
      </c>
      <c r="Y192">
        <v>185</v>
      </c>
      <c r="Z192" t="str">
        <f t="shared" si="12"/>
        <v>Investissement</v>
      </c>
      <c r="AA192" t="str">
        <f t="shared" si="13"/>
        <v>travaux magasin</v>
      </c>
    </row>
    <row r="193" spans="20:27" x14ac:dyDescent="0.25">
      <c r="T193" s="71">
        <f t="shared" si="10"/>
        <v>49587</v>
      </c>
      <c r="U193" s="77">
        <f t="shared" si="11"/>
        <v>864.41</v>
      </c>
      <c r="V193" s="72">
        <f t="shared" si="14"/>
        <v>-524.54</v>
      </c>
      <c r="W193" s="72">
        <f>D_Emprunts!$U193-D_Emprunts!$V193</f>
        <v>1388.9499999999998</v>
      </c>
      <c r="X193" s="73">
        <f>X192-D_Emprunts!$W193</f>
        <v>-179197.42</v>
      </c>
      <c r="Y193">
        <v>186</v>
      </c>
      <c r="Z193" t="str">
        <f t="shared" si="12"/>
        <v>Investissement</v>
      </c>
      <c r="AA193" t="str">
        <f t="shared" si="13"/>
        <v>travaux magasin</v>
      </c>
    </row>
    <row r="194" spans="20:27" x14ac:dyDescent="0.25">
      <c r="T194" s="68">
        <f t="shared" si="10"/>
        <v>49618</v>
      </c>
      <c r="U194" s="77">
        <f t="shared" si="11"/>
        <v>864.41</v>
      </c>
      <c r="V194" s="72">
        <f t="shared" si="14"/>
        <v>-528.64</v>
      </c>
      <c r="W194" s="69">
        <f>D_Emprunts!$U194-D_Emprunts!$V194</f>
        <v>1393.05</v>
      </c>
      <c r="X194" s="70">
        <f>X193-D_Emprunts!$W194</f>
        <v>-180590.47</v>
      </c>
      <c r="Y194">
        <v>187</v>
      </c>
      <c r="Z194" t="str">
        <f t="shared" si="12"/>
        <v>Investissement</v>
      </c>
      <c r="AA194" t="str">
        <f t="shared" si="13"/>
        <v>travaux magasin</v>
      </c>
    </row>
    <row r="195" spans="20:27" x14ac:dyDescent="0.25">
      <c r="T195" s="71">
        <f t="shared" si="10"/>
        <v>49648</v>
      </c>
      <c r="U195" s="77">
        <f t="shared" si="11"/>
        <v>864.41</v>
      </c>
      <c r="V195" s="72">
        <f t="shared" si="14"/>
        <v>-532.75</v>
      </c>
      <c r="W195" s="72">
        <f>D_Emprunts!$U195-D_Emprunts!$V195</f>
        <v>1397.1599999999999</v>
      </c>
      <c r="X195" s="73">
        <f>X194-D_Emprunts!$W195</f>
        <v>-181987.63</v>
      </c>
      <c r="Y195">
        <v>188</v>
      </c>
      <c r="Z195" t="str">
        <f t="shared" si="12"/>
        <v>Investissement</v>
      </c>
      <c r="AA195" t="str">
        <f t="shared" si="13"/>
        <v>travaux magasin</v>
      </c>
    </row>
    <row r="196" spans="20:27" x14ac:dyDescent="0.25">
      <c r="T196" s="68">
        <f t="shared" si="10"/>
        <v>49679</v>
      </c>
      <c r="U196" s="77">
        <f t="shared" si="11"/>
        <v>864.41</v>
      </c>
      <c r="V196" s="72">
        <f t="shared" si="14"/>
        <v>-536.87</v>
      </c>
      <c r="W196" s="69">
        <f>D_Emprunts!$U196-D_Emprunts!$V196</f>
        <v>1401.28</v>
      </c>
      <c r="X196" s="70">
        <f>X195-D_Emprunts!$W196</f>
        <v>-183388.91</v>
      </c>
      <c r="Y196">
        <v>189</v>
      </c>
      <c r="Z196" t="str">
        <f t="shared" si="12"/>
        <v>Investissement</v>
      </c>
      <c r="AA196" t="str">
        <f t="shared" si="13"/>
        <v>travaux magasin</v>
      </c>
    </row>
    <row r="197" spans="20:27" x14ac:dyDescent="0.25">
      <c r="T197" s="71">
        <f t="shared" si="10"/>
        <v>49710</v>
      </c>
      <c r="U197" s="77">
        <f t="shared" si="11"/>
        <v>864.41</v>
      </c>
      <c r="V197" s="72">
        <f t="shared" si="14"/>
        <v>-541.01</v>
      </c>
      <c r="W197" s="72">
        <f>D_Emprunts!$U197-D_Emprunts!$V197</f>
        <v>1405.42</v>
      </c>
      <c r="X197" s="73">
        <f>X196-D_Emprunts!$W197</f>
        <v>-184794.33000000002</v>
      </c>
      <c r="Y197">
        <v>190</v>
      </c>
      <c r="Z197" t="str">
        <f t="shared" si="12"/>
        <v>Investissement</v>
      </c>
      <c r="AA197" t="str">
        <f t="shared" si="13"/>
        <v>travaux magasin</v>
      </c>
    </row>
    <row r="198" spans="20:27" x14ac:dyDescent="0.25">
      <c r="T198" s="68">
        <f t="shared" si="10"/>
        <v>49739</v>
      </c>
      <c r="U198" s="77">
        <f t="shared" si="11"/>
        <v>864.41</v>
      </c>
      <c r="V198" s="72">
        <f t="shared" si="14"/>
        <v>-545.15</v>
      </c>
      <c r="W198" s="69">
        <f>D_Emprunts!$U198-D_Emprunts!$V198</f>
        <v>1409.56</v>
      </c>
      <c r="X198" s="70">
        <f>X197-D_Emprunts!$W198</f>
        <v>-186203.89</v>
      </c>
      <c r="Y198">
        <v>191</v>
      </c>
      <c r="Z198" t="str">
        <f t="shared" si="12"/>
        <v>Investissement</v>
      </c>
      <c r="AA198" t="str">
        <f t="shared" si="13"/>
        <v>travaux magasin</v>
      </c>
    </row>
    <row r="199" spans="20:27" x14ac:dyDescent="0.25">
      <c r="T199" s="71">
        <f t="shared" si="10"/>
        <v>49770</v>
      </c>
      <c r="U199" s="77">
        <f t="shared" si="11"/>
        <v>864.41</v>
      </c>
      <c r="V199" s="72">
        <f t="shared" si="14"/>
        <v>-549.30999999999995</v>
      </c>
      <c r="W199" s="72">
        <f>D_Emprunts!$U199-D_Emprunts!$V199</f>
        <v>1413.7199999999998</v>
      </c>
      <c r="X199" s="73">
        <f>X198-D_Emprunts!$W199</f>
        <v>-187617.61000000002</v>
      </c>
      <c r="Y199">
        <v>192</v>
      </c>
      <c r="Z199" t="str">
        <f t="shared" si="12"/>
        <v>Investissement</v>
      </c>
      <c r="AA199" t="str">
        <f t="shared" si="13"/>
        <v>travaux magasin</v>
      </c>
    </row>
    <row r="200" spans="20:27" x14ac:dyDescent="0.25">
      <c r="T200" s="68">
        <f t="shared" ref="T200:T263" si="15">EDATE(T199,1)</f>
        <v>49800</v>
      </c>
      <c r="U200" s="77">
        <f t="shared" si="11"/>
        <v>864.41</v>
      </c>
      <c r="V200" s="72">
        <f t="shared" si="14"/>
        <v>-553.48</v>
      </c>
      <c r="W200" s="69">
        <f>D_Emprunts!$U200-D_Emprunts!$V200</f>
        <v>1417.8899999999999</v>
      </c>
      <c r="X200" s="70">
        <f>X199-D_Emprunts!$W200</f>
        <v>-189035.50000000003</v>
      </c>
      <c r="Y200">
        <v>193</v>
      </c>
      <c r="Z200" t="str">
        <f t="shared" si="12"/>
        <v>Investissement</v>
      </c>
      <c r="AA200" t="str">
        <f t="shared" si="13"/>
        <v>travaux magasin</v>
      </c>
    </row>
    <row r="201" spans="20:27" x14ac:dyDescent="0.25">
      <c r="T201" s="71">
        <f t="shared" si="15"/>
        <v>49831</v>
      </c>
      <c r="U201" s="77">
        <f t="shared" ref="U201:U264" si="16">$X$4</f>
        <v>864.41</v>
      </c>
      <c r="V201" s="72">
        <f t="shared" si="14"/>
        <v>-557.66</v>
      </c>
      <c r="W201" s="72">
        <f>D_Emprunts!$U201-D_Emprunts!$V201</f>
        <v>1422.07</v>
      </c>
      <c r="X201" s="73">
        <f>X200-D_Emprunts!$W201</f>
        <v>-190457.57000000004</v>
      </c>
      <c r="Y201">
        <v>194</v>
      </c>
      <c r="Z201" t="str">
        <f t="shared" ref="Z201:Z264" si="17">$Y$4</f>
        <v>Investissement</v>
      </c>
      <c r="AA201" t="str">
        <f t="shared" ref="AA201:AA264" si="18">$Z$4</f>
        <v>travaux magasin</v>
      </c>
    </row>
    <row r="202" spans="20:27" x14ac:dyDescent="0.25">
      <c r="T202" s="68">
        <f t="shared" si="15"/>
        <v>49861</v>
      </c>
      <c r="U202" s="77">
        <f t="shared" si="16"/>
        <v>864.41</v>
      </c>
      <c r="V202" s="72">
        <f t="shared" ref="V202:V265" si="19">ROUND(X201*$V$4/12,2)</f>
        <v>-561.86</v>
      </c>
      <c r="W202" s="69">
        <f>D_Emprunts!$U202-D_Emprunts!$V202</f>
        <v>1426.27</v>
      </c>
      <c r="X202" s="70">
        <f>X201-D_Emprunts!$W202</f>
        <v>-191883.84000000003</v>
      </c>
      <c r="Y202">
        <v>195</v>
      </c>
      <c r="Z202" t="str">
        <f t="shared" si="17"/>
        <v>Investissement</v>
      </c>
      <c r="AA202" t="str">
        <f t="shared" si="18"/>
        <v>travaux magasin</v>
      </c>
    </row>
    <row r="203" spans="20:27" x14ac:dyDescent="0.25">
      <c r="T203" s="71">
        <f t="shared" si="15"/>
        <v>49892</v>
      </c>
      <c r="U203" s="77">
        <f t="shared" si="16"/>
        <v>864.41</v>
      </c>
      <c r="V203" s="72">
        <f t="shared" si="19"/>
        <v>-566.07000000000005</v>
      </c>
      <c r="W203" s="72">
        <f>D_Emprunts!$U203-D_Emprunts!$V203</f>
        <v>1430.48</v>
      </c>
      <c r="X203" s="73">
        <f>X202-D_Emprunts!$W203</f>
        <v>-193314.32000000004</v>
      </c>
      <c r="Y203">
        <v>196</v>
      </c>
      <c r="Z203" t="str">
        <f t="shared" si="17"/>
        <v>Investissement</v>
      </c>
      <c r="AA203" t="str">
        <f t="shared" si="18"/>
        <v>travaux magasin</v>
      </c>
    </row>
    <row r="204" spans="20:27" x14ac:dyDescent="0.25">
      <c r="T204" s="68">
        <f t="shared" si="15"/>
        <v>49923</v>
      </c>
      <c r="U204" s="77">
        <f t="shared" si="16"/>
        <v>864.41</v>
      </c>
      <c r="V204" s="72">
        <f t="shared" si="19"/>
        <v>-570.29</v>
      </c>
      <c r="W204" s="69">
        <f>D_Emprunts!$U204-D_Emprunts!$V204</f>
        <v>1434.6999999999998</v>
      </c>
      <c r="X204" s="70">
        <f>X203-D_Emprunts!$W204</f>
        <v>-194749.02000000005</v>
      </c>
      <c r="Y204">
        <v>197</v>
      </c>
      <c r="Z204" t="str">
        <f t="shared" si="17"/>
        <v>Investissement</v>
      </c>
      <c r="AA204" t="str">
        <f t="shared" si="18"/>
        <v>travaux magasin</v>
      </c>
    </row>
    <row r="205" spans="20:27" x14ac:dyDescent="0.25">
      <c r="T205" s="71">
        <f t="shared" si="15"/>
        <v>49953</v>
      </c>
      <c r="U205" s="77">
        <f t="shared" si="16"/>
        <v>864.41</v>
      </c>
      <c r="V205" s="72">
        <f t="shared" si="19"/>
        <v>-574.52</v>
      </c>
      <c r="W205" s="72">
        <f>D_Emprunts!$U205-D_Emprunts!$V205</f>
        <v>1438.9299999999998</v>
      </c>
      <c r="X205" s="73">
        <f>X204-D_Emprunts!$W205</f>
        <v>-196187.95000000004</v>
      </c>
      <c r="Y205">
        <v>198</v>
      </c>
      <c r="Z205" t="str">
        <f t="shared" si="17"/>
        <v>Investissement</v>
      </c>
      <c r="AA205" t="str">
        <f t="shared" si="18"/>
        <v>travaux magasin</v>
      </c>
    </row>
    <row r="206" spans="20:27" x14ac:dyDescent="0.25">
      <c r="T206" s="68">
        <f t="shared" si="15"/>
        <v>49984</v>
      </c>
      <c r="U206" s="77">
        <f t="shared" si="16"/>
        <v>864.41</v>
      </c>
      <c r="V206" s="72">
        <f t="shared" si="19"/>
        <v>-578.76</v>
      </c>
      <c r="W206" s="69">
        <f>D_Emprunts!$U206-D_Emprunts!$V206</f>
        <v>1443.17</v>
      </c>
      <c r="X206" s="70">
        <f>X205-D_Emprunts!$W206</f>
        <v>-197631.12000000005</v>
      </c>
      <c r="Y206">
        <v>199</v>
      </c>
      <c r="Z206" t="str">
        <f t="shared" si="17"/>
        <v>Investissement</v>
      </c>
      <c r="AA206" t="str">
        <f t="shared" si="18"/>
        <v>travaux magasin</v>
      </c>
    </row>
    <row r="207" spans="20:27" x14ac:dyDescent="0.25">
      <c r="T207" s="71">
        <f t="shared" si="15"/>
        <v>50014</v>
      </c>
      <c r="U207" s="77">
        <f t="shared" si="16"/>
        <v>864.41</v>
      </c>
      <c r="V207" s="72">
        <f t="shared" si="19"/>
        <v>-583.02</v>
      </c>
      <c r="W207" s="72">
        <f>D_Emprunts!$U207-D_Emprunts!$V207</f>
        <v>1447.4299999999998</v>
      </c>
      <c r="X207" s="73">
        <f>X206-D_Emprunts!$W207</f>
        <v>-199078.55000000005</v>
      </c>
      <c r="Y207">
        <v>200</v>
      </c>
      <c r="Z207" t="str">
        <f t="shared" si="17"/>
        <v>Investissement</v>
      </c>
      <c r="AA207" t="str">
        <f t="shared" si="18"/>
        <v>travaux magasin</v>
      </c>
    </row>
    <row r="208" spans="20:27" x14ac:dyDescent="0.25">
      <c r="T208" s="68">
        <f t="shared" si="15"/>
        <v>50045</v>
      </c>
      <c r="U208" s="77">
        <f t="shared" si="16"/>
        <v>864.41</v>
      </c>
      <c r="V208" s="72">
        <f t="shared" si="19"/>
        <v>-587.29</v>
      </c>
      <c r="W208" s="69">
        <f>D_Emprunts!$U208-D_Emprunts!$V208</f>
        <v>1451.6999999999998</v>
      </c>
      <c r="X208" s="70">
        <f>X207-D_Emprunts!$W208</f>
        <v>-200530.25000000006</v>
      </c>
      <c r="Y208">
        <v>201</v>
      </c>
      <c r="Z208" t="str">
        <f t="shared" si="17"/>
        <v>Investissement</v>
      </c>
      <c r="AA208" t="str">
        <f t="shared" si="18"/>
        <v>travaux magasin</v>
      </c>
    </row>
    <row r="209" spans="20:27" x14ac:dyDescent="0.25">
      <c r="T209" s="71">
        <f t="shared" si="15"/>
        <v>50076</v>
      </c>
      <c r="U209" s="77">
        <f t="shared" si="16"/>
        <v>864.41</v>
      </c>
      <c r="V209" s="72">
        <f t="shared" si="19"/>
        <v>-591.57000000000005</v>
      </c>
      <c r="W209" s="72">
        <f>D_Emprunts!$U209-D_Emprunts!$V209</f>
        <v>1455.98</v>
      </c>
      <c r="X209" s="73">
        <f>X208-D_Emprunts!$W209</f>
        <v>-201986.23000000007</v>
      </c>
      <c r="Y209">
        <v>202</v>
      </c>
      <c r="Z209" t="str">
        <f t="shared" si="17"/>
        <v>Investissement</v>
      </c>
      <c r="AA209" t="str">
        <f t="shared" si="18"/>
        <v>travaux magasin</v>
      </c>
    </row>
    <row r="210" spans="20:27" x14ac:dyDescent="0.25">
      <c r="T210" s="68">
        <f t="shared" si="15"/>
        <v>50104</v>
      </c>
      <c r="U210" s="77">
        <f t="shared" si="16"/>
        <v>864.41</v>
      </c>
      <c r="V210" s="72">
        <f t="shared" si="19"/>
        <v>-595.87</v>
      </c>
      <c r="W210" s="69">
        <f>D_Emprunts!$U210-D_Emprunts!$V210</f>
        <v>1460.28</v>
      </c>
      <c r="X210" s="70">
        <f>X209-D_Emprunts!$W210</f>
        <v>-203446.51000000007</v>
      </c>
      <c r="Y210">
        <v>203</v>
      </c>
      <c r="Z210" t="str">
        <f t="shared" si="17"/>
        <v>Investissement</v>
      </c>
      <c r="AA210" t="str">
        <f t="shared" si="18"/>
        <v>travaux magasin</v>
      </c>
    </row>
    <row r="211" spans="20:27" x14ac:dyDescent="0.25">
      <c r="T211" s="71">
        <f t="shared" si="15"/>
        <v>50135</v>
      </c>
      <c r="U211" s="77">
        <f t="shared" si="16"/>
        <v>864.41</v>
      </c>
      <c r="V211" s="72">
        <f t="shared" si="19"/>
        <v>-600.17999999999995</v>
      </c>
      <c r="W211" s="72">
        <f>D_Emprunts!$U211-D_Emprunts!$V211</f>
        <v>1464.59</v>
      </c>
      <c r="X211" s="73">
        <f>X210-D_Emprunts!$W211</f>
        <v>-204911.10000000006</v>
      </c>
      <c r="Y211">
        <v>204</v>
      </c>
      <c r="Z211" t="str">
        <f t="shared" si="17"/>
        <v>Investissement</v>
      </c>
      <c r="AA211" t="str">
        <f t="shared" si="18"/>
        <v>travaux magasin</v>
      </c>
    </row>
    <row r="212" spans="20:27" x14ac:dyDescent="0.25">
      <c r="T212" s="68">
        <f t="shared" si="15"/>
        <v>50165</v>
      </c>
      <c r="U212" s="77">
        <f t="shared" si="16"/>
        <v>864.41</v>
      </c>
      <c r="V212" s="72">
        <f t="shared" si="19"/>
        <v>-604.5</v>
      </c>
      <c r="W212" s="69">
        <f>D_Emprunts!$U212-D_Emprunts!$V212</f>
        <v>1468.9099999999999</v>
      </c>
      <c r="X212" s="70">
        <f>X211-D_Emprunts!$W212</f>
        <v>-206380.01000000007</v>
      </c>
      <c r="Y212">
        <v>205</v>
      </c>
      <c r="Z212" t="str">
        <f t="shared" si="17"/>
        <v>Investissement</v>
      </c>
      <c r="AA212" t="str">
        <f t="shared" si="18"/>
        <v>travaux magasin</v>
      </c>
    </row>
    <row r="213" spans="20:27" x14ac:dyDescent="0.25">
      <c r="T213" s="71">
        <f t="shared" si="15"/>
        <v>50196</v>
      </c>
      <c r="U213" s="77">
        <f t="shared" si="16"/>
        <v>864.41</v>
      </c>
      <c r="V213" s="72">
        <f t="shared" si="19"/>
        <v>-608.83000000000004</v>
      </c>
      <c r="W213" s="72">
        <f>D_Emprunts!$U213-D_Emprunts!$V213</f>
        <v>1473.24</v>
      </c>
      <c r="X213" s="73">
        <f>X212-D_Emprunts!$W213</f>
        <v>-207853.25000000006</v>
      </c>
      <c r="Y213">
        <v>206</v>
      </c>
      <c r="Z213" t="str">
        <f t="shared" si="17"/>
        <v>Investissement</v>
      </c>
      <c r="AA213" t="str">
        <f t="shared" si="18"/>
        <v>travaux magasin</v>
      </c>
    </row>
    <row r="214" spans="20:27" x14ac:dyDescent="0.25">
      <c r="T214" s="68">
        <f t="shared" si="15"/>
        <v>50226</v>
      </c>
      <c r="U214" s="77">
        <f t="shared" si="16"/>
        <v>864.41</v>
      </c>
      <c r="V214" s="72">
        <f t="shared" si="19"/>
        <v>-613.17999999999995</v>
      </c>
      <c r="W214" s="69">
        <f>D_Emprunts!$U214-D_Emprunts!$V214</f>
        <v>1477.59</v>
      </c>
      <c r="X214" s="70">
        <f>X213-D_Emprunts!$W214</f>
        <v>-209330.84000000005</v>
      </c>
      <c r="Y214">
        <v>207</v>
      </c>
      <c r="Z214" t="str">
        <f t="shared" si="17"/>
        <v>Investissement</v>
      </c>
      <c r="AA214" t="str">
        <f t="shared" si="18"/>
        <v>travaux magasin</v>
      </c>
    </row>
    <row r="215" spans="20:27" x14ac:dyDescent="0.25">
      <c r="T215" s="71">
        <f t="shared" si="15"/>
        <v>50257</v>
      </c>
      <c r="U215" s="77">
        <f t="shared" si="16"/>
        <v>864.41</v>
      </c>
      <c r="V215" s="72">
        <f t="shared" si="19"/>
        <v>-617.54</v>
      </c>
      <c r="W215" s="72">
        <f>D_Emprunts!$U215-D_Emprunts!$V215</f>
        <v>1481.9499999999998</v>
      </c>
      <c r="X215" s="73">
        <f>X214-D_Emprunts!$W215</f>
        <v>-210812.79000000007</v>
      </c>
      <c r="Y215">
        <v>208</v>
      </c>
      <c r="Z215" t="str">
        <f t="shared" si="17"/>
        <v>Investissement</v>
      </c>
      <c r="AA215" t="str">
        <f t="shared" si="18"/>
        <v>travaux magasin</v>
      </c>
    </row>
    <row r="216" spans="20:27" x14ac:dyDescent="0.25">
      <c r="T216" s="68">
        <f t="shared" si="15"/>
        <v>50288</v>
      </c>
      <c r="U216" s="77">
        <f t="shared" si="16"/>
        <v>864.41</v>
      </c>
      <c r="V216" s="72">
        <f t="shared" si="19"/>
        <v>-621.91</v>
      </c>
      <c r="W216" s="69">
        <f>D_Emprunts!$U216-D_Emprunts!$V216</f>
        <v>1486.32</v>
      </c>
      <c r="X216" s="70">
        <f>X215-D_Emprunts!$W216</f>
        <v>-212299.11000000007</v>
      </c>
      <c r="Y216">
        <v>209</v>
      </c>
      <c r="Z216" t="str">
        <f t="shared" si="17"/>
        <v>Investissement</v>
      </c>
      <c r="AA216" t="str">
        <f t="shared" si="18"/>
        <v>travaux magasin</v>
      </c>
    </row>
    <row r="217" spans="20:27" x14ac:dyDescent="0.25">
      <c r="T217" s="71">
        <f t="shared" si="15"/>
        <v>50318</v>
      </c>
      <c r="U217" s="77">
        <f t="shared" si="16"/>
        <v>864.41</v>
      </c>
      <c r="V217" s="72">
        <f t="shared" si="19"/>
        <v>-626.29</v>
      </c>
      <c r="W217" s="72">
        <f>D_Emprunts!$U217-D_Emprunts!$V217</f>
        <v>1490.6999999999998</v>
      </c>
      <c r="X217" s="73">
        <f>X216-D_Emprunts!$W217</f>
        <v>-213789.81000000008</v>
      </c>
      <c r="Y217">
        <v>210</v>
      </c>
      <c r="Z217" t="str">
        <f t="shared" si="17"/>
        <v>Investissement</v>
      </c>
      <c r="AA217" t="str">
        <f t="shared" si="18"/>
        <v>travaux magasin</v>
      </c>
    </row>
    <row r="218" spans="20:27" x14ac:dyDescent="0.25">
      <c r="T218" s="68">
        <f t="shared" si="15"/>
        <v>50349</v>
      </c>
      <c r="U218" s="77">
        <f t="shared" si="16"/>
        <v>864.41</v>
      </c>
      <c r="V218" s="72">
        <f t="shared" si="19"/>
        <v>-630.69000000000005</v>
      </c>
      <c r="W218" s="69">
        <f>D_Emprunts!$U218-D_Emprunts!$V218</f>
        <v>1495.1</v>
      </c>
      <c r="X218" s="70">
        <f>X217-D_Emprunts!$W218</f>
        <v>-215284.91000000009</v>
      </c>
      <c r="Y218">
        <v>211</v>
      </c>
      <c r="Z218" t="str">
        <f t="shared" si="17"/>
        <v>Investissement</v>
      </c>
      <c r="AA218" t="str">
        <f t="shared" si="18"/>
        <v>travaux magasin</v>
      </c>
    </row>
    <row r="219" spans="20:27" x14ac:dyDescent="0.25">
      <c r="T219" s="71">
        <f t="shared" si="15"/>
        <v>50379</v>
      </c>
      <c r="U219" s="77">
        <f t="shared" si="16"/>
        <v>864.41</v>
      </c>
      <c r="V219" s="72">
        <f t="shared" si="19"/>
        <v>-635.1</v>
      </c>
      <c r="W219" s="72">
        <f>D_Emprunts!$U219-D_Emprunts!$V219</f>
        <v>1499.51</v>
      </c>
      <c r="X219" s="73">
        <f>X218-D_Emprunts!$W219</f>
        <v>-216784.4200000001</v>
      </c>
      <c r="Y219">
        <v>212</v>
      </c>
      <c r="Z219" t="str">
        <f t="shared" si="17"/>
        <v>Investissement</v>
      </c>
      <c r="AA219" t="str">
        <f t="shared" si="18"/>
        <v>travaux magasin</v>
      </c>
    </row>
    <row r="220" spans="20:27" x14ac:dyDescent="0.25">
      <c r="T220" s="68">
        <f t="shared" si="15"/>
        <v>50410</v>
      </c>
      <c r="U220" s="77">
        <f t="shared" si="16"/>
        <v>864.41</v>
      </c>
      <c r="V220" s="72">
        <f t="shared" si="19"/>
        <v>-639.53</v>
      </c>
      <c r="W220" s="69">
        <f>D_Emprunts!$U220-D_Emprunts!$V220</f>
        <v>1503.94</v>
      </c>
      <c r="X220" s="70">
        <f>X219-D_Emprunts!$W220</f>
        <v>-218288.3600000001</v>
      </c>
      <c r="Y220">
        <v>213</v>
      </c>
      <c r="Z220" t="str">
        <f t="shared" si="17"/>
        <v>Investissement</v>
      </c>
      <c r="AA220" t="str">
        <f t="shared" si="18"/>
        <v>travaux magasin</v>
      </c>
    </row>
    <row r="221" spans="20:27" x14ac:dyDescent="0.25">
      <c r="T221" s="71">
        <f t="shared" si="15"/>
        <v>50441</v>
      </c>
      <c r="U221" s="77">
        <f t="shared" si="16"/>
        <v>864.41</v>
      </c>
      <c r="V221" s="72">
        <f t="shared" si="19"/>
        <v>-643.96</v>
      </c>
      <c r="W221" s="72">
        <f>D_Emprunts!$U221-D_Emprunts!$V221</f>
        <v>1508.37</v>
      </c>
      <c r="X221" s="73">
        <f>X220-D_Emprunts!$W221</f>
        <v>-219796.7300000001</v>
      </c>
      <c r="Y221">
        <v>214</v>
      </c>
      <c r="Z221" t="str">
        <f t="shared" si="17"/>
        <v>Investissement</v>
      </c>
      <c r="AA221" t="str">
        <f t="shared" si="18"/>
        <v>travaux magasin</v>
      </c>
    </row>
    <row r="222" spans="20:27" x14ac:dyDescent="0.25">
      <c r="T222" s="68">
        <f t="shared" si="15"/>
        <v>50469</v>
      </c>
      <c r="U222" s="77">
        <f t="shared" si="16"/>
        <v>864.41</v>
      </c>
      <c r="V222" s="72">
        <f t="shared" si="19"/>
        <v>-648.41</v>
      </c>
      <c r="W222" s="69">
        <f>D_Emprunts!$U222-D_Emprunts!$V222</f>
        <v>1512.82</v>
      </c>
      <c r="X222" s="70">
        <f>X221-D_Emprunts!$W222</f>
        <v>-221309.5500000001</v>
      </c>
      <c r="Y222">
        <v>215</v>
      </c>
      <c r="Z222" t="str">
        <f t="shared" si="17"/>
        <v>Investissement</v>
      </c>
      <c r="AA222" t="str">
        <f t="shared" si="18"/>
        <v>travaux magasin</v>
      </c>
    </row>
    <row r="223" spans="20:27" x14ac:dyDescent="0.25">
      <c r="T223" s="71">
        <f t="shared" si="15"/>
        <v>50500</v>
      </c>
      <c r="U223" s="77">
        <f t="shared" si="16"/>
        <v>864.41</v>
      </c>
      <c r="V223" s="72">
        <f t="shared" si="19"/>
        <v>-652.87</v>
      </c>
      <c r="W223" s="72">
        <f>D_Emprunts!$U223-D_Emprunts!$V223</f>
        <v>1517.28</v>
      </c>
      <c r="X223" s="73">
        <f>X222-D_Emprunts!$W223</f>
        <v>-222826.8300000001</v>
      </c>
      <c r="Y223">
        <v>216</v>
      </c>
      <c r="Z223" t="str">
        <f t="shared" si="17"/>
        <v>Investissement</v>
      </c>
      <c r="AA223" t="str">
        <f t="shared" si="18"/>
        <v>travaux magasin</v>
      </c>
    </row>
    <row r="224" spans="20:27" x14ac:dyDescent="0.25">
      <c r="T224" s="68">
        <f t="shared" si="15"/>
        <v>50530</v>
      </c>
      <c r="U224" s="77">
        <f t="shared" si="16"/>
        <v>864.41</v>
      </c>
      <c r="V224" s="72">
        <f t="shared" si="19"/>
        <v>-657.35</v>
      </c>
      <c r="W224" s="69">
        <f>D_Emprunts!$U224-D_Emprunts!$V224</f>
        <v>1521.76</v>
      </c>
      <c r="X224" s="70">
        <f>X223-D_Emprunts!$W224</f>
        <v>-224348.59000000011</v>
      </c>
      <c r="Y224">
        <v>217</v>
      </c>
      <c r="Z224" t="str">
        <f t="shared" si="17"/>
        <v>Investissement</v>
      </c>
      <c r="AA224" t="str">
        <f t="shared" si="18"/>
        <v>travaux magasin</v>
      </c>
    </row>
    <row r="225" spans="20:27" x14ac:dyDescent="0.25">
      <c r="T225" s="71">
        <f t="shared" si="15"/>
        <v>50561</v>
      </c>
      <c r="U225" s="77">
        <f t="shared" si="16"/>
        <v>864.41</v>
      </c>
      <c r="V225" s="72">
        <f t="shared" si="19"/>
        <v>-661.84</v>
      </c>
      <c r="W225" s="72">
        <f>D_Emprunts!$U225-D_Emprunts!$V225</f>
        <v>1526.25</v>
      </c>
      <c r="X225" s="73">
        <f>X224-D_Emprunts!$W225</f>
        <v>-225874.84000000011</v>
      </c>
      <c r="Y225">
        <v>218</v>
      </c>
      <c r="Z225" t="str">
        <f t="shared" si="17"/>
        <v>Investissement</v>
      </c>
      <c r="AA225" t="str">
        <f t="shared" si="18"/>
        <v>travaux magasin</v>
      </c>
    </row>
    <row r="226" spans="20:27" x14ac:dyDescent="0.25">
      <c r="T226" s="68">
        <f t="shared" si="15"/>
        <v>50591</v>
      </c>
      <c r="U226" s="77">
        <f t="shared" si="16"/>
        <v>864.41</v>
      </c>
      <c r="V226" s="72">
        <f t="shared" si="19"/>
        <v>-666.34</v>
      </c>
      <c r="W226" s="69">
        <f>D_Emprunts!$U226-D_Emprunts!$V226</f>
        <v>1530.75</v>
      </c>
      <c r="X226" s="70">
        <f>X225-D_Emprunts!$W226</f>
        <v>-227405.59000000011</v>
      </c>
      <c r="Y226">
        <v>219</v>
      </c>
      <c r="Z226" t="str">
        <f t="shared" si="17"/>
        <v>Investissement</v>
      </c>
      <c r="AA226" t="str">
        <f t="shared" si="18"/>
        <v>travaux magasin</v>
      </c>
    </row>
    <row r="227" spans="20:27" x14ac:dyDescent="0.25">
      <c r="T227" s="71">
        <f t="shared" si="15"/>
        <v>50622</v>
      </c>
      <c r="U227" s="77">
        <f t="shared" si="16"/>
        <v>864.41</v>
      </c>
      <c r="V227" s="72">
        <f t="shared" si="19"/>
        <v>-670.86</v>
      </c>
      <c r="W227" s="72">
        <f>D_Emprunts!$U227-D_Emprunts!$V227</f>
        <v>1535.27</v>
      </c>
      <c r="X227" s="73">
        <f>X226-D_Emprunts!$W227</f>
        <v>-228940.8600000001</v>
      </c>
      <c r="Y227">
        <v>220</v>
      </c>
      <c r="Z227" t="str">
        <f t="shared" si="17"/>
        <v>Investissement</v>
      </c>
      <c r="AA227" t="str">
        <f t="shared" si="18"/>
        <v>travaux magasin</v>
      </c>
    </row>
    <row r="228" spans="20:27" x14ac:dyDescent="0.25">
      <c r="T228" s="68">
        <f t="shared" si="15"/>
        <v>50653</v>
      </c>
      <c r="U228" s="77">
        <f t="shared" si="16"/>
        <v>864.41</v>
      </c>
      <c r="V228" s="72">
        <f t="shared" si="19"/>
        <v>-675.39</v>
      </c>
      <c r="W228" s="69">
        <f>D_Emprunts!$U228-D_Emprunts!$V228</f>
        <v>1539.8</v>
      </c>
      <c r="X228" s="70">
        <f>X227-D_Emprunts!$W228</f>
        <v>-230480.66000000009</v>
      </c>
      <c r="Y228">
        <v>221</v>
      </c>
      <c r="Z228" t="str">
        <f t="shared" si="17"/>
        <v>Investissement</v>
      </c>
      <c r="AA228" t="str">
        <f t="shared" si="18"/>
        <v>travaux magasin</v>
      </c>
    </row>
    <row r="229" spans="20:27" x14ac:dyDescent="0.25">
      <c r="T229" s="71">
        <f t="shared" si="15"/>
        <v>50683</v>
      </c>
      <c r="U229" s="77">
        <f t="shared" si="16"/>
        <v>864.41</v>
      </c>
      <c r="V229" s="72">
        <f t="shared" si="19"/>
        <v>-679.93</v>
      </c>
      <c r="W229" s="72">
        <f>D_Emprunts!$U229-D_Emprunts!$V229</f>
        <v>1544.34</v>
      </c>
      <c r="X229" s="73">
        <f>X228-D_Emprunts!$W229</f>
        <v>-232025.00000000009</v>
      </c>
      <c r="Y229">
        <v>222</v>
      </c>
      <c r="Z229" t="str">
        <f t="shared" si="17"/>
        <v>Investissement</v>
      </c>
      <c r="AA229" t="str">
        <f t="shared" si="18"/>
        <v>travaux magasin</v>
      </c>
    </row>
    <row r="230" spans="20:27" x14ac:dyDescent="0.25">
      <c r="T230" s="68">
        <f t="shared" si="15"/>
        <v>50714</v>
      </c>
      <c r="U230" s="77">
        <f t="shared" si="16"/>
        <v>864.41</v>
      </c>
      <c r="V230" s="72">
        <f t="shared" si="19"/>
        <v>-684.49</v>
      </c>
      <c r="W230" s="69">
        <f>D_Emprunts!$U230-D_Emprunts!$V230</f>
        <v>1548.9</v>
      </c>
      <c r="X230" s="70">
        <f>X229-D_Emprunts!$W230</f>
        <v>-233573.90000000008</v>
      </c>
      <c r="Y230">
        <v>223</v>
      </c>
      <c r="Z230" t="str">
        <f t="shared" si="17"/>
        <v>Investissement</v>
      </c>
      <c r="AA230" t="str">
        <f t="shared" si="18"/>
        <v>travaux magasin</v>
      </c>
    </row>
    <row r="231" spans="20:27" x14ac:dyDescent="0.25">
      <c r="T231" s="71">
        <f t="shared" si="15"/>
        <v>50744</v>
      </c>
      <c r="U231" s="77">
        <f t="shared" si="16"/>
        <v>864.41</v>
      </c>
      <c r="V231" s="72">
        <f t="shared" si="19"/>
        <v>-689.05</v>
      </c>
      <c r="W231" s="72">
        <f>D_Emprunts!$U231-D_Emprunts!$V231</f>
        <v>1553.46</v>
      </c>
      <c r="X231" s="73">
        <f>X230-D_Emprunts!$W231</f>
        <v>-235127.36000000007</v>
      </c>
      <c r="Y231">
        <v>224</v>
      </c>
      <c r="Z231" t="str">
        <f t="shared" si="17"/>
        <v>Investissement</v>
      </c>
      <c r="AA231" t="str">
        <f t="shared" si="18"/>
        <v>travaux magasin</v>
      </c>
    </row>
    <row r="232" spans="20:27" x14ac:dyDescent="0.25">
      <c r="T232" s="68">
        <f t="shared" si="15"/>
        <v>50775</v>
      </c>
      <c r="U232" s="77">
        <f t="shared" si="16"/>
        <v>864.41</v>
      </c>
      <c r="V232" s="72">
        <f t="shared" si="19"/>
        <v>-693.64</v>
      </c>
      <c r="W232" s="69">
        <f>D_Emprunts!$U232-D_Emprunts!$V232</f>
        <v>1558.05</v>
      </c>
      <c r="X232" s="70">
        <f>X231-D_Emprunts!$W232</f>
        <v>-236685.41000000006</v>
      </c>
      <c r="Y232">
        <v>225</v>
      </c>
      <c r="Z232" t="str">
        <f t="shared" si="17"/>
        <v>Investissement</v>
      </c>
      <c r="AA232" t="str">
        <f t="shared" si="18"/>
        <v>travaux magasin</v>
      </c>
    </row>
    <row r="233" spans="20:27" x14ac:dyDescent="0.25">
      <c r="T233" s="71">
        <f t="shared" si="15"/>
        <v>50806</v>
      </c>
      <c r="U233" s="77">
        <f t="shared" si="16"/>
        <v>864.41</v>
      </c>
      <c r="V233" s="72">
        <f t="shared" si="19"/>
        <v>-698.23</v>
      </c>
      <c r="W233" s="72">
        <f>D_Emprunts!$U233-D_Emprunts!$V233</f>
        <v>1562.6399999999999</v>
      </c>
      <c r="X233" s="73">
        <f>X232-D_Emprunts!$W233</f>
        <v>-238248.05000000008</v>
      </c>
      <c r="Y233">
        <v>226</v>
      </c>
      <c r="Z233" t="str">
        <f t="shared" si="17"/>
        <v>Investissement</v>
      </c>
      <c r="AA233" t="str">
        <f t="shared" si="18"/>
        <v>travaux magasin</v>
      </c>
    </row>
    <row r="234" spans="20:27" x14ac:dyDescent="0.25">
      <c r="T234" s="68">
        <f t="shared" si="15"/>
        <v>50834</v>
      </c>
      <c r="U234" s="77">
        <f t="shared" si="16"/>
        <v>864.41</v>
      </c>
      <c r="V234" s="72">
        <f t="shared" si="19"/>
        <v>-702.84</v>
      </c>
      <c r="W234" s="69">
        <f>D_Emprunts!$U234-D_Emprunts!$V234</f>
        <v>1567.25</v>
      </c>
      <c r="X234" s="70">
        <f>X233-D_Emprunts!$W234</f>
        <v>-239815.30000000008</v>
      </c>
      <c r="Y234">
        <v>227</v>
      </c>
      <c r="Z234" t="str">
        <f t="shared" si="17"/>
        <v>Investissement</v>
      </c>
      <c r="AA234" t="str">
        <f t="shared" si="18"/>
        <v>travaux magasin</v>
      </c>
    </row>
    <row r="235" spans="20:27" x14ac:dyDescent="0.25">
      <c r="T235" s="71">
        <f t="shared" si="15"/>
        <v>50865</v>
      </c>
      <c r="U235" s="77">
        <f t="shared" si="16"/>
        <v>864.41</v>
      </c>
      <c r="V235" s="72">
        <f t="shared" si="19"/>
        <v>-707.47</v>
      </c>
      <c r="W235" s="72">
        <f>D_Emprunts!$U235-D_Emprunts!$V235</f>
        <v>1571.88</v>
      </c>
      <c r="X235" s="73">
        <f>X234-D_Emprunts!$W235</f>
        <v>-241387.18000000008</v>
      </c>
      <c r="Y235">
        <v>228</v>
      </c>
      <c r="Z235" t="str">
        <f t="shared" si="17"/>
        <v>Investissement</v>
      </c>
      <c r="AA235" t="str">
        <f t="shared" si="18"/>
        <v>travaux magasin</v>
      </c>
    </row>
    <row r="236" spans="20:27" x14ac:dyDescent="0.25">
      <c r="T236" s="68">
        <f t="shared" si="15"/>
        <v>50895</v>
      </c>
      <c r="U236" s="77">
        <f t="shared" si="16"/>
        <v>864.41</v>
      </c>
      <c r="V236" s="72">
        <f t="shared" si="19"/>
        <v>-712.1</v>
      </c>
      <c r="W236" s="69">
        <f>D_Emprunts!$U236-D_Emprunts!$V236</f>
        <v>1576.51</v>
      </c>
      <c r="X236" s="70">
        <f>X235-D_Emprunts!$W236</f>
        <v>-242963.69000000009</v>
      </c>
      <c r="Y236">
        <v>229</v>
      </c>
      <c r="Z236" t="str">
        <f t="shared" si="17"/>
        <v>Investissement</v>
      </c>
      <c r="AA236" t="str">
        <f t="shared" si="18"/>
        <v>travaux magasin</v>
      </c>
    </row>
    <row r="237" spans="20:27" x14ac:dyDescent="0.25">
      <c r="T237" s="71">
        <f t="shared" si="15"/>
        <v>50926</v>
      </c>
      <c r="U237" s="77">
        <f t="shared" si="16"/>
        <v>864.41</v>
      </c>
      <c r="V237" s="72">
        <f t="shared" si="19"/>
        <v>-716.76</v>
      </c>
      <c r="W237" s="72">
        <f>D_Emprunts!$U237-D_Emprunts!$V237</f>
        <v>1581.17</v>
      </c>
      <c r="X237" s="73">
        <f>X236-D_Emprunts!$W237</f>
        <v>-244544.8600000001</v>
      </c>
      <c r="Y237">
        <v>230</v>
      </c>
      <c r="Z237" t="str">
        <f t="shared" si="17"/>
        <v>Investissement</v>
      </c>
      <c r="AA237" t="str">
        <f t="shared" si="18"/>
        <v>travaux magasin</v>
      </c>
    </row>
    <row r="238" spans="20:27" x14ac:dyDescent="0.25">
      <c r="T238" s="68">
        <f t="shared" si="15"/>
        <v>50956</v>
      </c>
      <c r="U238" s="77">
        <f t="shared" si="16"/>
        <v>864.41</v>
      </c>
      <c r="V238" s="72">
        <f t="shared" si="19"/>
        <v>-721.42</v>
      </c>
      <c r="W238" s="69">
        <f>D_Emprunts!$U238-D_Emprunts!$V238</f>
        <v>1585.83</v>
      </c>
      <c r="X238" s="70">
        <f>X237-D_Emprunts!$W238</f>
        <v>-246130.69000000009</v>
      </c>
      <c r="Y238">
        <v>231</v>
      </c>
      <c r="Z238" t="str">
        <f t="shared" si="17"/>
        <v>Investissement</v>
      </c>
      <c r="AA238" t="str">
        <f t="shared" si="18"/>
        <v>travaux magasin</v>
      </c>
    </row>
    <row r="239" spans="20:27" x14ac:dyDescent="0.25">
      <c r="T239" s="71">
        <f t="shared" si="15"/>
        <v>50987</v>
      </c>
      <c r="U239" s="77">
        <f t="shared" si="16"/>
        <v>864.41</v>
      </c>
      <c r="V239" s="72">
        <f t="shared" si="19"/>
        <v>-726.1</v>
      </c>
      <c r="W239" s="72">
        <f>D_Emprunts!$U239-D_Emprunts!$V239</f>
        <v>1590.51</v>
      </c>
      <c r="X239" s="73">
        <f>X238-D_Emprunts!$W239</f>
        <v>-247721.2000000001</v>
      </c>
      <c r="Y239">
        <v>232</v>
      </c>
      <c r="Z239" t="str">
        <f t="shared" si="17"/>
        <v>Investissement</v>
      </c>
      <c r="AA239" t="str">
        <f t="shared" si="18"/>
        <v>travaux magasin</v>
      </c>
    </row>
    <row r="240" spans="20:27" x14ac:dyDescent="0.25">
      <c r="T240" s="68">
        <f t="shared" si="15"/>
        <v>51018</v>
      </c>
      <c r="U240" s="77">
        <f t="shared" si="16"/>
        <v>864.41</v>
      </c>
      <c r="V240" s="72">
        <f t="shared" si="19"/>
        <v>-730.79</v>
      </c>
      <c r="W240" s="69">
        <f>D_Emprunts!$U240-D_Emprunts!$V240</f>
        <v>1595.1999999999998</v>
      </c>
      <c r="X240" s="70">
        <f>X239-D_Emprunts!$W240</f>
        <v>-249316.40000000011</v>
      </c>
      <c r="Y240">
        <v>233</v>
      </c>
      <c r="Z240" t="str">
        <f t="shared" si="17"/>
        <v>Investissement</v>
      </c>
      <c r="AA240" t="str">
        <f t="shared" si="18"/>
        <v>travaux magasin</v>
      </c>
    </row>
    <row r="241" spans="20:27" x14ac:dyDescent="0.25">
      <c r="T241" s="71">
        <f t="shared" si="15"/>
        <v>51048</v>
      </c>
      <c r="U241" s="77">
        <f t="shared" si="16"/>
        <v>864.41</v>
      </c>
      <c r="V241" s="72">
        <f t="shared" si="19"/>
        <v>-735.5</v>
      </c>
      <c r="W241" s="72">
        <f>D_Emprunts!$U241-D_Emprunts!$V241</f>
        <v>1599.9099999999999</v>
      </c>
      <c r="X241" s="73">
        <f>X240-D_Emprunts!$W241</f>
        <v>-250916.31000000011</v>
      </c>
      <c r="Y241">
        <v>234</v>
      </c>
      <c r="Z241" t="str">
        <f t="shared" si="17"/>
        <v>Investissement</v>
      </c>
      <c r="AA241" t="str">
        <f t="shared" si="18"/>
        <v>travaux magasin</v>
      </c>
    </row>
    <row r="242" spans="20:27" x14ac:dyDescent="0.25">
      <c r="T242" s="68">
        <f t="shared" si="15"/>
        <v>51079</v>
      </c>
      <c r="U242" s="77">
        <f t="shared" si="16"/>
        <v>864.41</v>
      </c>
      <c r="V242" s="72">
        <f t="shared" si="19"/>
        <v>-740.22</v>
      </c>
      <c r="W242" s="69">
        <f>D_Emprunts!$U242-D_Emprunts!$V242</f>
        <v>1604.63</v>
      </c>
      <c r="X242" s="70">
        <f>X241-D_Emprunts!$W242</f>
        <v>-252520.94000000012</v>
      </c>
      <c r="Y242">
        <v>235</v>
      </c>
      <c r="Z242" t="str">
        <f t="shared" si="17"/>
        <v>Investissement</v>
      </c>
      <c r="AA242" t="str">
        <f t="shared" si="18"/>
        <v>travaux magasin</v>
      </c>
    </row>
    <row r="243" spans="20:27" x14ac:dyDescent="0.25">
      <c r="T243" s="71">
        <f t="shared" si="15"/>
        <v>51109</v>
      </c>
      <c r="U243" s="77">
        <f t="shared" si="16"/>
        <v>864.41</v>
      </c>
      <c r="V243" s="72">
        <f t="shared" si="19"/>
        <v>-744.95</v>
      </c>
      <c r="W243" s="72">
        <f>D_Emprunts!$U243-D_Emprunts!$V243</f>
        <v>1609.3600000000001</v>
      </c>
      <c r="X243" s="73">
        <f>X242-D_Emprunts!$W243</f>
        <v>-254130.3000000001</v>
      </c>
      <c r="Y243">
        <v>236</v>
      </c>
      <c r="Z243" t="str">
        <f t="shared" si="17"/>
        <v>Investissement</v>
      </c>
      <c r="AA243" t="str">
        <f t="shared" si="18"/>
        <v>travaux magasin</v>
      </c>
    </row>
    <row r="244" spans="20:27" x14ac:dyDescent="0.25">
      <c r="T244" s="68">
        <f t="shared" si="15"/>
        <v>51140</v>
      </c>
      <c r="U244" s="77">
        <f t="shared" si="16"/>
        <v>864.41</v>
      </c>
      <c r="V244" s="72">
        <f t="shared" si="19"/>
        <v>-749.7</v>
      </c>
      <c r="W244" s="69">
        <f>D_Emprunts!$U244-D_Emprunts!$V244</f>
        <v>1614.1100000000001</v>
      </c>
      <c r="X244" s="70">
        <f>X243-D_Emprunts!$W244</f>
        <v>-255744.41000000009</v>
      </c>
      <c r="Y244">
        <v>237</v>
      </c>
      <c r="Z244" t="str">
        <f t="shared" si="17"/>
        <v>Investissement</v>
      </c>
      <c r="AA244" t="str">
        <f t="shared" si="18"/>
        <v>travaux magasin</v>
      </c>
    </row>
    <row r="245" spans="20:27" x14ac:dyDescent="0.25">
      <c r="T245" s="71">
        <f t="shared" si="15"/>
        <v>51171</v>
      </c>
      <c r="U245" s="77">
        <f t="shared" si="16"/>
        <v>864.41</v>
      </c>
      <c r="V245" s="72">
        <f t="shared" si="19"/>
        <v>-754.46</v>
      </c>
      <c r="W245" s="72">
        <f>D_Emprunts!$U245-D_Emprunts!$V245</f>
        <v>1618.87</v>
      </c>
      <c r="X245" s="73">
        <f>X244-D_Emprunts!$W245</f>
        <v>-257363.28000000009</v>
      </c>
      <c r="Y245">
        <v>238</v>
      </c>
      <c r="Z245" t="str">
        <f t="shared" si="17"/>
        <v>Investissement</v>
      </c>
      <c r="AA245" t="str">
        <f t="shared" si="18"/>
        <v>travaux magasin</v>
      </c>
    </row>
    <row r="246" spans="20:27" x14ac:dyDescent="0.25">
      <c r="T246" s="68">
        <f t="shared" si="15"/>
        <v>51200</v>
      </c>
      <c r="U246" s="77">
        <f t="shared" si="16"/>
        <v>864.41</v>
      </c>
      <c r="V246" s="72">
        <f t="shared" si="19"/>
        <v>-759.23</v>
      </c>
      <c r="W246" s="69">
        <f>D_Emprunts!$U246-D_Emprunts!$V246</f>
        <v>1623.6399999999999</v>
      </c>
      <c r="X246" s="70">
        <f>X245-D_Emprunts!$W246</f>
        <v>-258986.9200000001</v>
      </c>
      <c r="Y246">
        <v>239</v>
      </c>
      <c r="Z246" t="str">
        <f t="shared" si="17"/>
        <v>Investissement</v>
      </c>
      <c r="AA246" t="str">
        <f t="shared" si="18"/>
        <v>travaux magasin</v>
      </c>
    </row>
    <row r="247" spans="20:27" x14ac:dyDescent="0.25">
      <c r="T247" s="71">
        <f t="shared" si="15"/>
        <v>51231</v>
      </c>
      <c r="U247" s="77">
        <f t="shared" si="16"/>
        <v>864.41</v>
      </c>
      <c r="V247" s="72">
        <f t="shared" si="19"/>
        <v>-764.02</v>
      </c>
      <c r="W247" s="72">
        <f>D_Emprunts!$U247-D_Emprunts!$V247</f>
        <v>1628.4299999999998</v>
      </c>
      <c r="X247" s="73">
        <f>X246-D_Emprunts!$W247</f>
        <v>-260615.35000000009</v>
      </c>
      <c r="Y247">
        <v>240</v>
      </c>
      <c r="Z247" t="str">
        <f t="shared" si="17"/>
        <v>Investissement</v>
      </c>
      <c r="AA247" t="str">
        <f t="shared" si="18"/>
        <v>travaux magasin</v>
      </c>
    </row>
    <row r="248" spans="20:27" x14ac:dyDescent="0.25">
      <c r="T248" s="68">
        <f t="shared" si="15"/>
        <v>51261</v>
      </c>
      <c r="U248" s="77">
        <f t="shared" si="16"/>
        <v>864.41</v>
      </c>
      <c r="V248" s="72">
        <f t="shared" si="19"/>
        <v>-768.83</v>
      </c>
      <c r="W248" s="69">
        <f>D_Emprunts!$U248-D_Emprunts!$V248</f>
        <v>1633.24</v>
      </c>
      <c r="X248" s="70">
        <f>X247-D_Emprunts!$W248</f>
        <v>-262248.59000000008</v>
      </c>
      <c r="Y248">
        <v>241</v>
      </c>
      <c r="Z248" t="str">
        <f t="shared" si="17"/>
        <v>Investissement</v>
      </c>
      <c r="AA248" t="str">
        <f t="shared" si="18"/>
        <v>travaux magasin</v>
      </c>
    </row>
    <row r="249" spans="20:27" x14ac:dyDescent="0.25">
      <c r="T249" s="71">
        <f t="shared" si="15"/>
        <v>51292</v>
      </c>
      <c r="U249" s="77">
        <f t="shared" si="16"/>
        <v>864.41</v>
      </c>
      <c r="V249" s="72">
        <f t="shared" si="19"/>
        <v>-773.65</v>
      </c>
      <c r="W249" s="72">
        <f>D_Emprunts!$U249-D_Emprunts!$V249</f>
        <v>1638.06</v>
      </c>
      <c r="X249" s="73">
        <f>X248-D_Emprunts!$W249</f>
        <v>-263886.65000000008</v>
      </c>
      <c r="Y249">
        <v>242</v>
      </c>
      <c r="Z249" t="str">
        <f t="shared" si="17"/>
        <v>Investissement</v>
      </c>
      <c r="AA249" t="str">
        <f t="shared" si="18"/>
        <v>travaux magasin</v>
      </c>
    </row>
    <row r="250" spans="20:27" x14ac:dyDescent="0.25">
      <c r="T250" s="68">
        <f t="shared" si="15"/>
        <v>51322</v>
      </c>
      <c r="U250" s="77">
        <f t="shared" si="16"/>
        <v>864.41</v>
      </c>
      <c r="V250" s="72">
        <f t="shared" si="19"/>
        <v>-778.48</v>
      </c>
      <c r="W250" s="69">
        <f>D_Emprunts!$U250-D_Emprunts!$V250</f>
        <v>1642.8899999999999</v>
      </c>
      <c r="X250" s="70">
        <f>X249-D_Emprunts!$W250</f>
        <v>-265529.5400000001</v>
      </c>
      <c r="Y250">
        <v>243</v>
      </c>
      <c r="Z250" t="str">
        <f t="shared" si="17"/>
        <v>Investissement</v>
      </c>
      <c r="AA250" t="str">
        <f t="shared" si="18"/>
        <v>travaux magasin</v>
      </c>
    </row>
    <row r="251" spans="20:27" x14ac:dyDescent="0.25">
      <c r="T251" s="71">
        <f t="shared" si="15"/>
        <v>51353</v>
      </c>
      <c r="U251" s="77">
        <f t="shared" si="16"/>
        <v>864.41</v>
      </c>
      <c r="V251" s="72">
        <f t="shared" si="19"/>
        <v>-783.33</v>
      </c>
      <c r="W251" s="72">
        <f>D_Emprunts!$U251-D_Emprunts!$V251</f>
        <v>1647.74</v>
      </c>
      <c r="X251" s="73">
        <f>X250-D_Emprunts!$W251</f>
        <v>-267177.28000000009</v>
      </c>
      <c r="Y251">
        <v>244</v>
      </c>
      <c r="Z251" t="str">
        <f t="shared" si="17"/>
        <v>Investissement</v>
      </c>
      <c r="AA251" t="str">
        <f t="shared" si="18"/>
        <v>travaux magasin</v>
      </c>
    </row>
    <row r="252" spans="20:27" x14ac:dyDescent="0.25">
      <c r="T252" s="68">
        <f t="shared" si="15"/>
        <v>51384</v>
      </c>
      <c r="U252" s="77">
        <f t="shared" si="16"/>
        <v>864.41</v>
      </c>
      <c r="V252" s="72">
        <f t="shared" si="19"/>
        <v>-788.19</v>
      </c>
      <c r="W252" s="69">
        <f>D_Emprunts!$U252-D_Emprunts!$V252</f>
        <v>1652.6</v>
      </c>
      <c r="X252" s="70">
        <f>X251-D_Emprunts!$W252</f>
        <v>-268829.88000000006</v>
      </c>
      <c r="Y252">
        <v>245</v>
      </c>
      <c r="Z252" t="str">
        <f t="shared" si="17"/>
        <v>Investissement</v>
      </c>
      <c r="AA252" t="str">
        <f t="shared" si="18"/>
        <v>travaux magasin</v>
      </c>
    </row>
    <row r="253" spans="20:27" x14ac:dyDescent="0.25">
      <c r="T253" s="71">
        <f t="shared" si="15"/>
        <v>51414</v>
      </c>
      <c r="U253" s="77">
        <f t="shared" si="16"/>
        <v>864.41</v>
      </c>
      <c r="V253" s="72">
        <f t="shared" si="19"/>
        <v>-793.06</v>
      </c>
      <c r="W253" s="72">
        <f>D_Emprunts!$U253-D_Emprunts!$V253</f>
        <v>1657.4699999999998</v>
      </c>
      <c r="X253" s="73">
        <f>X252-D_Emprunts!$W253</f>
        <v>-270487.35000000003</v>
      </c>
      <c r="Y253">
        <v>246</v>
      </c>
      <c r="Z253" t="str">
        <f t="shared" si="17"/>
        <v>Investissement</v>
      </c>
      <c r="AA253" t="str">
        <f t="shared" si="18"/>
        <v>travaux magasin</v>
      </c>
    </row>
    <row r="254" spans="20:27" x14ac:dyDescent="0.25">
      <c r="T254" s="68">
        <f t="shared" si="15"/>
        <v>51445</v>
      </c>
      <c r="U254" s="77">
        <f t="shared" si="16"/>
        <v>864.41</v>
      </c>
      <c r="V254" s="72">
        <f t="shared" si="19"/>
        <v>-797.95</v>
      </c>
      <c r="W254" s="69">
        <f>D_Emprunts!$U254-D_Emprunts!$V254</f>
        <v>1662.3600000000001</v>
      </c>
      <c r="X254" s="70">
        <f>X253-D_Emprunts!$W254</f>
        <v>-272149.71000000002</v>
      </c>
      <c r="Y254">
        <v>247</v>
      </c>
      <c r="Z254" t="str">
        <f t="shared" si="17"/>
        <v>Investissement</v>
      </c>
      <c r="AA254" t="str">
        <f t="shared" si="18"/>
        <v>travaux magasin</v>
      </c>
    </row>
    <row r="255" spans="20:27" x14ac:dyDescent="0.25">
      <c r="T255" s="71">
        <f t="shared" si="15"/>
        <v>51475</v>
      </c>
      <c r="U255" s="77">
        <f t="shared" si="16"/>
        <v>864.41</v>
      </c>
      <c r="V255" s="72">
        <f t="shared" si="19"/>
        <v>-802.86</v>
      </c>
      <c r="W255" s="72">
        <f>D_Emprunts!$U255-D_Emprunts!$V255</f>
        <v>1667.27</v>
      </c>
      <c r="X255" s="73">
        <f>X254-D_Emprunts!$W255</f>
        <v>-273816.98000000004</v>
      </c>
      <c r="Y255">
        <v>248</v>
      </c>
      <c r="Z255" t="str">
        <f t="shared" si="17"/>
        <v>Investissement</v>
      </c>
      <c r="AA255" t="str">
        <f t="shared" si="18"/>
        <v>travaux magasin</v>
      </c>
    </row>
    <row r="256" spans="20:27" x14ac:dyDescent="0.25">
      <c r="T256" s="68">
        <f t="shared" si="15"/>
        <v>51506</v>
      </c>
      <c r="U256" s="77">
        <f t="shared" si="16"/>
        <v>864.41</v>
      </c>
      <c r="V256" s="72">
        <f t="shared" si="19"/>
        <v>-807.77</v>
      </c>
      <c r="W256" s="69">
        <f>D_Emprunts!$U256-D_Emprunts!$V256</f>
        <v>1672.1799999999998</v>
      </c>
      <c r="X256" s="70">
        <f>X255-D_Emprunts!$W256</f>
        <v>-275489.16000000003</v>
      </c>
      <c r="Y256">
        <v>249</v>
      </c>
      <c r="Z256" t="str">
        <f t="shared" si="17"/>
        <v>Investissement</v>
      </c>
      <c r="AA256" t="str">
        <f t="shared" si="18"/>
        <v>travaux magasin</v>
      </c>
    </row>
    <row r="257" spans="20:27" x14ac:dyDescent="0.25">
      <c r="T257" s="71">
        <f t="shared" si="15"/>
        <v>51537</v>
      </c>
      <c r="U257" s="77">
        <f t="shared" si="16"/>
        <v>864.41</v>
      </c>
      <c r="V257" s="72">
        <f t="shared" si="19"/>
        <v>-812.71</v>
      </c>
      <c r="W257" s="72">
        <f>D_Emprunts!$U257-D_Emprunts!$V257</f>
        <v>1677.12</v>
      </c>
      <c r="X257" s="73">
        <f>X256-D_Emprunts!$W257</f>
        <v>-277166.28000000003</v>
      </c>
      <c r="Y257">
        <v>250</v>
      </c>
      <c r="Z257" t="str">
        <f t="shared" si="17"/>
        <v>Investissement</v>
      </c>
      <c r="AA257" t="str">
        <f t="shared" si="18"/>
        <v>travaux magasin</v>
      </c>
    </row>
    <row r="258" spans="20:27" x14ac:dyDescent="0.25">
      <c r="T258" s="68">
        <f t="shared" si="15"/>
        <v>51565</v>
      </c>
      <c r="U258" s="77">
        <f t="shared" si="16"/>
        <v>864.41</v>
      </c>
      <c r="V258" s="72">
        <f t="shared" si="19"/>
        <v>-817.65</v>
      </c>
      <c r="W258" s="69">
        <f>D_Emprunts!$U258-D_Emprunts!$V258</f>
        <v>1682.06</v>
      </c>
      <c r="X258" s="70">
        <f>X257-D_Emprunts!$W258</f>
        <v>-278848.34000000003</v>
      </c>
      <c r="Y258">
        <v>251</v>
      </c>
      <c r="Z258" t="str">
        <f t="shared" si="17"/>
        <v>Investissement</v>
      </c>
      <c r="AA258" t="str">
        <f t="shared" si="18"/>
        <v>travaux magasin</v>
      </c>
    </row>
    <row r="259" spans="20:27" x14ac:dyDescent="0.25">
      <c r="T259" s="71">
        <f t="shared" si="15"/>
        <v>51596</v>
      </c>
      <c r="U259" s="77">
        <f t="shared" si="16"/>
        <v>864.41</v>
      </c>
      <c r="V259" s="72">
        <f t="shared" si="19"/>
        <v>-822.62</v>
      </c>
      <c r="W259" s="72">
        <f>D_Emprunts!$U259-D_Emprunts!$V259</f>
        <v>1687.03</v>
      </c>
      <c r="X259" s="73">
        <f>X258-D_Emprunts!$W259</f>
        <v>-280535.37000000005</v>
      </c>
      <c r="Y259">
        <v>252</v>
      </c>
      <c r="Z259" t="str">
        <f t="shared" si="17"/>
        <v>Investissement</v>
      </c>
      <c r="AA259" t="str">
        <f t="shared" si="18"/>
        <v>travaux magasin</v>
      </c>
    </row>
    <row r="260" spans="20:27" x14ac:dyDescent="0.25">
      <c r="T260" s="68">
        <f t="shared" si="15"/>
        <v>51626</v>
      </c>
      <c r="U260" s="77">
        <f t="shared" si="16"/>
        <v>864.41</v>
      </c>
      <c r="V260" s="72">
        <f t="shared" si="19"/>
        <v>-827.59</v>
      </c>
      <c r="W260" s="69">
        <f>D_Emprunts!$U260-D_Emprunts!$V260</f>
        <v>1692</v>
      </c>
      <c r="X260" s="70">
        <f>X259-D_Emprunts!$W260</f>
        <v>-282227.37000000005</v>
      </c>
      <c r="Y260">
        <v>253</v>
      </c>
      <c r="Z260" t="str">
        <f t="shared" si="17"/>
        <v>Investissement</v>
      </c>
      <c r="AA260" t="str">
        <f t="shared" si="18"/>
        <v>travaux magasin</v>
      </c>
    </row>
    <row r="261" spans="20:27" x14ac:dyDescent="0.25">
      <c r="T261" s="71">
        <f t="shared" si="15"/>
        <v>51657</v>
      </c>
      <c r="U261" s="77">
        <f t="shared" si="16"/>
        <v>864.41</v>
      </c>
      <c r="V261" s="72">
        <f t="shared" si="19"/>
        <v>-832.59</v>
      </c>
      <c r="W261" s="72">
        <f>D_Emprunts!$U261-D_Emprunts!$V261</f>
        <v>1697</v>
      </c>
      <c r="X261" s="73">
        <f>X260-D_Emprunts!$W261</f>
        <v>-283924.37000000005</v>
      </c>
      <c r="Y261">
        <v>254</v>
      </c>
      <c r="Z261" t="str">
        <f t="shared" si="17"/>
        <v>Investissement</v>
      </c>
      <c r="AA261" t="str">
        <f t="shared" si="18"/>
        <v>travaux magasin</v>
      </c>
    </row>
    <row r="262" spans="20:27" x14ac:dyDescent="0.25">
      <c r="T262" s="68">
        <f t="shared" si="15"/>
        <v>51687</v>
      </c>
      <c r="U262" s="77">
        <f t="shared" si="16"/>
        <v>864.41</v>
      </c>
      <c r="V262" s="72">
        <f t="shared" si="19"/>
        <v>-837.59</v>
      </c>
      <c r="W262" s="69">
        <f>D_Emprunts!$U262-D_Emprunts!$V262</f>
        <v>1702</v>
      </c>
      <c r="X262" s="70">
        <f>X261-D_Emprunts!$W262</f>
        <v>-285626.37000000005</v>
      </c>
      <c r="Y262">
        <v>255</v>
      </c>
      <c r="Z262" t="str">
        <f t="shared" si="17"/>
        <v>Investissement</v>
      </c>
      <c r="AA262" t="str">
        <f t="shared" si="18"/>
        <v>travaux magasin</v>
      </c>
    </row>
    <row r="263" spans="20:27" x14ac:dyDescent="0.25">
      <c r="T263" s="71">
        <f t="shared" si="15"/>
        <v>51718</v>
      </c>
      <c r="U263" s="77">
        <f t="shared" si="16"/>
        <v>864.41</v>
      </c>
      <c r="V263" s="72">
        <f t="shared" si="19"/>
        <v>-842.61</v>
      </c>
      <c r="W263" s="72">
        <f>D_Emprunts!$U263-D_Emprunts!$V263</f>
        <v>1707.02</v>
      </c>
      <c r="X263" s="73">
        <f>X262-D_Emprunts!$W263</f>
        <v>-287333.39000000007</v>
      </c>
      <c r="Y263">
        <v>256</v>
      </c>
      <c r="Z263" t="str">
        <f t="shared" si="17"/>
        <v>Investissement</v>
      </c>
      <c r="AA263" t="str">
        <f t="shared" si="18"/>
        <v>travaux magasin</v>
      </c>
    </row>
    <row r="264" spans="20:27" x14ac:dyDescent="0.25">
      <c r="T264" s="68">
        <f t="shared" ref="T264:T327" si="20">EDATE(T263,1)</f>
        <v>51749</v>
      </c>
      <c r="U264" s="77">
        <f t="shared" si="16"/>
        <v>864.41</v>
      </c>
      <c r="V264" s="72">
        <f t="shared" si="19"/>
        <v>-847.65</v>
      </c>
      <c r="W264" s="69">
        <f>D_Emprunts!$U264-D_Emprunts!$V264</f>
        <v>1712.06</v>
      </c>
      <c r="X264" s="70">
        <f>X263-D_Emprunts!$W264</f>
        <v>-289045.45000000007</v>
      </c>
      <c r="Y264">
        <v>257</v>
      </c>
      <c r="Z264" t="str">
        <f t="shared" si="17"/>
        <v>Investissement</v>
      </c>
      <c r="AA264" t="str">
        <f t="shared" si="18"/>
        <v>travaux magasin</v>
      </c>
    </row>
    <row r="265" spans="20:27" x14ac:dyDescent="0.25">
      <c r="T265" s="71">
        <f t="shared" si="20"/>
        <v>51779</v>
      </c>
      <c r="U265" s="77">
        <f t="shared" ref="U265:U328" si="21">$X$4</f>
        <v>864.41</v>
      </c>
      <c r="V265" s="72">
        <f t="shared" si="19"/>
        <v>-852.7</v>
      </c>
      <c r="W265" s="72">
        <f>D_Emprunts!$U265-D_Emprunts!$V265</f>
        <v>1717.1100000000001</v>
      </c>
      <c r="X265" s="73">
        <f>X264-D_Emprunts!$W265</f>
        <v>-290762.56000000006</v>
      </c>
      <c r="Y265">
        <v>258</v>
      </c>
      <c r="Z265" t="str">
        <f t="shared" ref="Z265:Z328" si="22">$Y$4</f>
        <v>Investissement</v>
      </c>
      <c r="AA265" t="str">
        <f t="shared" ref="AA265:AA328" si="23">$Z$4</f>
        <v>travaux magasin</v>
      </c>
    </row>
    <row r="266" spans="20:27" x14ac:dyDescent="0.25">
      <c r="T266" s="68">
        <f t="shared" si="20"/>
        <v>51810</v>
      </c>
      <c r="U266" s="77">
        <f t="shared" si="21"/>
        <v>864.41</v>
      </c>
      <c r="V266" s="72">
        <f t="shared" ref="V266:V329" si="24">ROUND(X265*$V$4/12,2)</f>
        <v>-857.76</v>
      </c>
      <c r="W266" s="69">
        <f>D_Emprunts!$U266-D_Emprunts!$V266</f>
        <v>1722.17</v>
      </c>
      <c r="X266" s="70">
        <f>X265-D_Emprunts!$W266</f>
        <v>-292484.73000000004</v>
      </c>
      <c r="Y266">
        <v>259</v>
      </c>
      <c r="Z266" t="str">
        <f t="shared" si="22"/>
        <v>Investissement</v>
      </c>
      <c r="AA266" t="str">
        <f t="shared" si="23"/>
        <v>travaux magasin</v>
      </c>
    </row>
    <row r="267" spans="20:27" x14ac:dyDescent="0.25">
      <c r="T267" s="71">
        <f t="shared" si="20"/>
        <v>51840</v>
      </c>
      <c r="U267" s="77">
        <f t="shared" si="21"/>
        <v>864.41</v>
      </c>
      <c r="V267" s="72">
        <f t="shared" si="24"/>
        <v>-862.84</v>
      </c>
      <c r="W267" s="72">
        <f>D_Emprunts!$U267-D_Emprunts!$V267</f>
        <v>1727.25</v>
      </c>
      <c r="X267" s="73">
        <f>X266-D_Emprunts!$W267</f>
        <v>-294211.98000000004</v>
      </c>
      <c r="Y267">
        <v>260</v>
      </c>
      <c r="Z267" t="str">
        <f t="shared" si="22"/>
        <v>Investissement</v>
      </c>
      <c r="AA267" t="str">
        <f t="shared" si="23"/>
        <v>travaux magasin</v>
      </c>
    </row>
    <row r="268" spans="20:27" x14ac:dyDescent="0.25">
      <c r="T268" s="68">
        <f t="shared" si="20"/>
        <v>51871</v>
      </c>
      <c r="U268" s="77">
        <f t="shared" si="21"/>
        <v>864.41</v>
      </c>
      <c r="V268" s="72">
        <f t="shared" si="24"/>
        <v>-867.94</v>
      </c>
      <c r="W268" s="69">
        <f>D_Emprunts!$U268-D_Emprunts!$V268</f>
        <v>1732.35</v>
      </c>
      <c r="X268" s="70">
        <f>X267-D_Emprunts!$W268</f>
        <v>-295944.33</v>
      </c>
      <c r="Y268">
        <v>261</v>
      </c>
      <c r="Z268" t="str">
        <f t="shared" si="22"/>
        <v>Investissement</v>
      </c>
      <c r="AA268" t="str">
        <f t="shared" si="23"/>
        <v>travaux magasin</v>
      </c>
    </row>
    <row r="269" spans="20:27" x14ac:dyDescent="0.25">
      <c r="T269" s="71">
        <f t="shared" si="20"/>
        <v>51902</v>
      </c>
      <c r="U269" s="77">
        <f t="shared" si="21"/>
        <v>864.41</v>
      </c>
      <c r="V269" s="72">
        <f t="shared" si="24"/>
        <v>-873.05</v>
      </c>
      <c r="W269" s="72">
        <f>D_Emprunts!$U269-D_Emprunts!$V269</f>
        <v>1737.46</v>
      </c>
      <c r="X269" s="73">
        <f>X268-D_Emprunts!$W269</f>
        <v>-297681.79000000004</v>
      </c>
      <c r="Y269">
        <v>262</v>
      </c>
      <c r="Z269" t="str">
        <f t="shared" si="22"/>
        <v>Investissement</v>
      </c>
      <c r="AA269" t="str">
        <f t="shared" si="23"/>
        <v>travaux magasin</v>
      </c>
    </row>
    <row r="270" spans="20:27" x14ac:dyDescent="0.25">
      <c r="T270" s="68">
        <f t="shared" si="20"/>
        <v>51930</v>
      </c>
      <c r="U270" s="77">
        <f t="shared" si="21"/>
        <v>864.41</v>
      </c>
      <c r="V270" s="72">
        <f t="shared" si="24"/>
        <v>-878.18</v>
      </c>
      <c r="W270" s="69">
        <f>D_Emprunts!$U270-D_Emprunts!$V270</f>
        <v>1742.59</v>
      </c>
      <c r="X270" s="70">
        <f>X269-D_Emprunts!$W270</f>
        <v>-299424.38000000006</v>
      </c>
      <c r="Y270">
        <v>263</v>
      </c>
      <c r="Z270" t="str">
        <f t="shared" si="22"/>
        <v>Investissement</v>
      </c>
      <c r="AA270" t="str">
        <f t="shared" si="23"/>
        <v>travaux magasin</v>
      </c>
    </row>
    <row r="271" spans="20:27" x14ac:dyDescent="0.25">
      <c r="T271" s="71">
        <f t="shared" si="20"/>
        <v>51961</v>
      </c>
      <c r="U271" s="77">
        <f t="shared" si="21"/>
        <v>864.41</v>
      </c>
      <c r="V271" s="72">
        <f t="shared" si="24"/>
        <v>-883.32</v>
      </c>
      <c r="W271" s="72">
        <f>D_Emprunts!$U271-D_Emprunts!$V271</f>
        <v>1747.73</v>
      </c>
      <c r="X271" s="73">
        <f>X270-D_Emprunts!$W271</f>
        <v>-301172.11000000004</v>
      </c>
      <c r="Y271">
        <v>264</v>
      </c>
      <c r="Z271" t="str">
        <f t="shared" si="22"/>
        <v>Investissement</v>
      </c>
      <c r="AA271" t="str">
        <f t="shared" si="23"/>
        <v>travaux magasin</v>
      </c>
    </row>
    <row r="272" spans="20:27" x14ac:dyDescent="0.25">
      <c r="T272" s="68">
        <f t="shared" si="20"/>
        <v>51991</v>
      </c>
      <c r="U272" s="77">
        <f t="shared" si="21"/>
        <v>864.41</v>
      </c>
      <c r="V272" s="72">
        <f t="shared" si="24"/>
        <v>-888.47</v>
      </c>
      <c r="W272" s="69">
        <f>D_Emprunts!$U272-D_Emprunts!$V272</f>
        <v>1752.88</v>
      </c>
      <c r="X272" s="70">
        <f>X271-D_Emprunts!$W272</f>
        <v>-302924.99000000005</v>
      </c>
      <c r="Y272">
        <v>265</v>
      </c>
      <c r="Z272" t="str">
        <f t="shared" si="22"/>
        <v>Investissement</v>
      </c>
      <c r="AA272" t="str">
        <f t="shared" si="23"/>
        <v>travaux magasin</v>
      </c>
    </row>
    <row r="273" spans="20:27" x14ac:dyDescent="0.25">
      <c r="T273" s="71">
        <f t="shared" si="20"/>
        <v>52022</v>
      </c>
      <c r="U273" s="77">
        <f t="shared" si="21"/>
        <v>864.41</v>
      </c>
      <c r="V273" s="72">
        <f t="shared" si="24"/>
        <v>-893.64</v>
      </c>
      <c r="W273" s="72">
        <f>D_Emprunts!$U273-D_Emprunts!$V273</f>
        <v>1758.05</v>
      </c>
      <c r="X273" s="73">
        <f>X272-D_Emprunts!$W273</f>
        <v>-304683.04000000004</v>
      </c>
      <c r="Y273">
        <v>266</v>
      </c>
      <c r="Z273" t="str">
        <f t="shared" si="22"/>
        <v>Investissement</v>
      </c>
      <c r="AA273" t="str">
        <f t="shared" si="23"/>
        <v>travaux magasin</v>
      </c>
    </row>
    <row r="274" spans="20:27" x14ac:dyDescent="0.25">
      <c r="T274" s="68">
        <f t="shared" si="20"/>
        <v>52052</v>
      </c>
      <c r="U274" s="77">
        <f t="shared" si="21"/>
        <v>864.41</v>
      </c>
      <c r="V274" s="72">
        <f t="shared" si="24"/>
        <v>-898.83</v>
      </c>
      <c r="W274" s="69">
        <f>D_Emprunts!$U274-D_Emprunts!$V274</f>
        <v>1763.24</v>
      </c>
      <c r="X274" s="70">
        <f>X273-D_Emprunts!$W274</f>
        <v>-306446.28000000003</v>
      </c>
      <c r="Y274">
        <v>267</v>
      </c>
      <c r="Z274" t="str">
        <f t="shared" si="22"/>
        <v>Investissement</v>
      </c>
      <c r="AA274" t="str">
        <f t="shared" si="23"/>
        <v>travaux magasin</v>
      </c>
    </row>
    <row r="275" spans="20:27" x14ac:dyDescent="0.25">
      <c r="T275" s="71">
        <f t="shared" si="20"/>
        <v>52083</v>
      </c>
      <c r="U275" s="77">
        <f t="shared" si="21"/>
        <v>864.41</v>
      </c>
      <c r="V275" s="72">
        <f t="shared" si="24"/>
        <v>-904.03</v>
      </c>
      <c r="W275" s="72">
        <f>D_Emprunts!$U275-D_Emprunts!$V275</f>
        <v>1768.44</v>
      </c>
      <c r="X275" s="73">
        <f>X274-D_Emprunts!$W275</f>
        <v>-308214.72000000003</v>
      </c>
      <c r="Y275">
        <v>268</v>
      </c>
      <c r="Z275" t="str">
        <f t="shared" si="22"/>
        <v>Investissement</v>
      </c>
      <c r="AA275" t="str">
        <f t="shared" si="23"/>
        <v>travaux magasin</v>
      </c>
    </row>
    <row r="276" spans="20:27" x14ac:dyDescent="0.25">
      <c r="T276" s="68">
        <f t="shared" si="20"/>
        <v>52114</v>
      </c>
      <c r="U276" s="77">
        <f t="shared" si="21"/>
        <v>864.41</v>
      </c>
      <c r="V276" s="72">
        <f t="shared" si="24"/>
        <v>-909.25</v>
      </c>
      <c r="W276" s="69">
        <f>D_Emprunts!$U276-D_Emprunts!$V276</f>
        <v>1773.6599999999999</v>
      </c>
      <c r="X276" s="70">
        <f>X275-D_Emprunts!$W276</f>
        <v>-309988.38</v>
      </c>
      <c r="Y276">
        <v>269</v>
      </c>
      <c r="Z276" t="str">
        <f t="shared" si="22"/>
        <v>Investissement</v>
      </c>
      <c r="AA276" t="str">
        <f t="shared" si="23"/>
        <v>travaux magasin</v>
      </c>
    </row>
    <row r="277" spans="20:27" x14ac:dyDescent="0.25">
      <c r="T277" s="71">
        <f t="shared" si="20"/>
        <v>52144</v>
      </c>
      <c r="U277" s="77">
        <f t="shared" si="21"/>
        <v>864.41</v>
      </c>
      <c r="V277" s="72">
        <f t="shared" si="24"/>
        <v>-914.48</v>
      </c>
      <c r="W277" s="72">
        <f>D_Emprunts!$U277-D_Emprunts!$V277</f>
        <v>1778.8899999999999</v>
      </c>
      <c r="X277" s="73">
        <f>X276-D_Emprunts!$W277</f>
        <v>-311767.27</v>
      </c>
      <c r="Y277">
        <v>270</v>
      </c>
      <c r="Z277" t="str">
        <f t="shared" si="22"/>
        <v>Investissement</v>
      </c>
      <c r="AA277" t="str">
        <f t="shared" si="23"/>
        <v>travaux magasin</v>
      </c>
    </row>
    <row r="278" spans="20:27" x14ac:dyDescent="0.25">
      <c r="T278" s="68">
        <f t="shared" si="20"/>
        <v>52175</v>
      </c>
      <c r="U278" s="77">
        <f t="shared" si="21"/>
        <v>864.41</v>
      </c>
      <c r="V278" s="72">
        <f t="shared" si="24"/>
        <v>-919.73</v>
      </c>
      <c r="W278" s="69">
        <f>D_Emprunts!$U278-D_Emprunts!$V278</f>
        <v>1784.1399999999999</v>
      </c>
      <c r="X278" s="70">
        <f>X277-D_Emprunts!$W278</f>
        <v>-313551.41000000003</v>
      </c>
      <c r="Y278">
        <v>271</v>
      </c>
      <c r="Z278" t="str">
        <f t="shared" si="22"/>
        <v>Investissement</v>
      </c>
      <c r="AA278" t="str">
        <f t="shared" si="23"/>
        <v>travaux magasin</v>
      </c>
    </row>
    <row r="279" spans="20:27" x14ac:dyDescent="0.25">
      <c r="T279" s="71">
        <f t="shared" si="20"/>
        <v>52205</v>
      </c>
      <c r="U279" s="77">
        <f t="shared" si="21"/>
        <v>864.41</v>
      </c>
      <c r="V279" s="72">
        <f t="shared" si="24"/>
        <v>-924.99</v>
      </c>
      <c r="W279" s="72">
        <f>D_Emprunts!$U279-D_Emprunts!$V279</f>
        <v>1789.4</v>
      </c>
      <c r="X279" s="73">
        <f>X278-D_Emprunts!$W279</f>
        <v>-315340.81000000006</v>
      </c>
      <c r="Y279">
        <v>272</v>
      </c>
      <c r="Z279" t="str">
        <f t="shared" si="22"/>
        <v>Investissement</v>
      </c>
      <c r="AA279" t="str">
        <f t="shared" si="23"/>
        <v>travaux magasin</v>
      </c>
    </row>
    <row r="280" spans="20:27" x14ac:dyDescent="0.25">
      <c r="T280" s="68">
        <f t="shared" si="20"/>
        <v>52236</v>
      </c>
      <c r="U280" s="77">
        <f t="shared" si="21"/>
        <v>864.41</v>
      </c>
      <c r="V280" s="72">
        <f t="shared" si="24"/>
        <v>-930.27</v>
      </c>
      <c r="W280" s="69">
        <f>D_Emprunts!$U280-D_Emprunts!$V280</f>
        <v>1794.6799999999998</v>
      </c>
      <c r="X280" s="70">
        <f>X279-D_Emprunts!$W280</f>
        <v>-317135.49000000005</v>
      </c>
      <c r="Y280">
        <v>273</v>
      </c>
      <c r="Z280" t="str">
        <f t="shared" si="22"/>
        <v>Investissement</v>
      </c>
      <c r="AA280" t="str">
        <f t="shared" si="23"/>
        <v>travaux magasin</v>
      </c>
    </row>
    <row r="281" spans="20:27" x14ac:dyDescent="0.25">
      <c r="T281" s="71">
        <f t="shared" si="20"/>
        <v>52267</v>
      </c>
      <c r="U281" s="77">
        <f t="shared" si="21"/>
        <v>864.41</v>
      </c>
      <c r="V281" s="72">
        <f t="shared" si="24"/>
        <v>-935.57</v>
      </c>
      <c r="W281" s="72">
        <f>D_Emprunts!$U281-D_Emprunts!$V281</f>
        <v>1799.98</v>
      </c>
      <c r="X281" s="73">
        <f>X280-D_Emprunts!$W281</f>
        <v>-318935.47000000003</v>
      </c>
      <c r="Y281">
        <v>274</v>
      </c>
      <c r="Z281" t="str">
        <f t="shared" si="22"/>
        <v>Investissement</v>
      </c>
      <c r="AA281" t="str">
        <f t="shared" si="23"/>
        <v>travaux magasin</v>
      </c>
    </row>
    <row r="282" spans="20:27" x14ac:dyDescent="0.25">
      <c r="T282" s="68">
        <f t="shared" si="20"/>
        <v>52295</v>
      </c>
      <c r="U282" s="77">
        <f t="shared" si="21"/>
        <v>864.41</v>
      </c>
      <c r="V282" s="72">
        <f t="shared" si="24"/>
        <v>-940.88</v>
      </c>
      <c r="W282" s="69">
        <f>D_Emprunts!$U282-D_Emprunts!$V282</f>
        <v>1805.29</v>
      </c>
      <c r="X282" s="70">
        <f>X281-D_Emprunts!$W282</f>
        <v>-320740.76</v>
      </c>
      <c r="Y282">
        <v>275</v>
      </c>
      <c r="Z282" t="str">
        <f t="shared" si="22"/>
        <v>Investissement</v>
      </c>
      <c r="AA282" t="str">
        <f t="shared" si="23"/>
        <v>travaux magasin</v>
      </c>
    </row>
    <row r="283" spans="20:27" x14ac:dyDescent="0.25">
      <c r="T283" s="71">
        <f t="shared" si="20"/>
        <v>52326</v>
      </c>
      <c r="U283" s="77">
        <f t="shared" si="21"/>
        <v>864.41</v>
      </c>
      <c r="V283" s="72">
        <f t="shared" si="24"/>
        <v>-946.2</v>
      </c>
      <c r="W283" s="72">
        <f>D_Emprunts!$U283-D_Emprunts!$V283</f>
        <v>1810.6100000000001</v>
      </c>
      <c r="X283" s="73">
        <f>X282-D_Emprunts!$W283</f>
        <v>-322551.37</v>
      </c>
      <c r="Y283">
        <v>276</v>
      </c>
      <c r="Z283" t="str">
        <f t="shared" si="22"/>
        <v>Investissement</v>
      </c>
      <c r="AA283" t="str">
        <f t="shared" si="23"/>
        <v>travaux magasin</v>
      </c>
    </row>
    <row r="284" spans="20:27" x14ac:dyDescent="0.25">
      <c r="T284" s="68">
        <f t="shared" si="20"/>
        <v>52356</v>
      </c>
      <c r="U284" s="77">
        <f t="shared" si="21"/>
        <v>864.41</v>
      </c>
      <c r="V284" s="72">
        <f t="shared" si="24"/>
        <v>-951.54</v>
      </c>
      <c r="W284" s="69">
        <f>D_Emprunts!$U284-D_Emprunts!$V284</f>
        <v>1815.9499999999998</v>
      </c>
      <c r="X284" s="70">
        <f>X283-D_Emprunts!$W284</f>
        <v>-324367.32</v>
      </c>
      <c r="Y284">
        <v>277</v>
      </c>
      <c r="Z284" t="str">
        <f t="shared" si="22"/>
        <v>Investissement</v>
      </c>
      <c r="AA284" t="str">
        <f t="shared" si="23"/>
        <v>travaux magasin</v>
      </c>
    </row>
    <row r="285" spans="20:27" x14ac:dyDescent="0.25">
      <c r="T285" s="71">
        <f t="shared" si="20"/>
        <v>52387</v>
      </c>
      <c r="U285" s="77">
        <f t="shared" si="21"/>
        <v>864.41</v>
      </c>
      <c r="V285" s="72">
        <f t="shared" si="24"/>
        <v>-956.9</v>
      </c>
      <c r="W285" s="72">
        <f>D_Emprunts!$U285-D_Emprunts!$V285</f>
        <v>1821.31</v>
      </c>
      <c r="X285" s="73">
        <f>X284-D_Emprunts!$W285</f>
        <v>-326188.63</v>
      </c>
      <c r="Y285">
        <v>278</v>
      </c>
      <c r="Z285" t="str">
        <f t="shared" si="22"/>
        <v>Investissement</v>
      </c>
      <c r="AA285" t="str">
        <f t="shared" si="23"/>
        <v>travaux magasin</v>
      </c>
    </row>
    <row r="286" spans="20:27" x14ac:dyDescent="0.25">
      <c r="T286" s="68">
        <f t="shared" si="20"/>
        <v>52417</v>
      </c>
      <c r="U286" s="77">
        <f t="shared" si="21"/>
        <v>864.41</v>
      </c>
      <c r="V286" s="72">
        <f t="shared" si="24"/>
        <v>-962.27</v>
      </c>
      <c r="W286" s="69">
        <f>D_Emprunts!$U286-D_Emprunts!$V286</f>
        <v>1826.6799999999998</v>
      </c>
      <c r="X286" s="70">
        <f>X285-D_Emprunts!$W286</f>
        <v>-328015.31</v>
      </c>
      <c r="Y286">
        <v>279</v>
      </c>
      <c r="Z286" t="str">
        <f t="shared" si="22"/>
        <v>Investissement</v>
      </c>
      <c r="AA286" t="str">
        <f t="shared" si="23"/>
        <v>travaux magasin</v>
      </c>
    </row>
    <row r="287" spans="20:27" x14ac:dyDescent="0.25">
      <c r="T287" s="71">
        <f t="shared" si="20"/>
        <v>52448</v>
      </c>
      <c r="U287" s="77">
        <f t="shared" si="21"/>
        <v>864.41</v>
      </c>
      <c r="V287" s="72">
        <f t="shared" si="24"/>
        <v>-967.66</v>
      </c>
      <c r="W287" s="72">
        <f>D_Emprunts!$U287-D_Emprunts!$V287</f>
        <v>1832.07</v>
      </c>
      <c r="X287" s="73">
        <f>X286-D_Emprunts!$W287</f>
        <v>-329847.38</v>
      </c>
      <c r="Y287">
        <v>280</v>
      </c>
      <c r="Z287" t="str">
        <f t="shared" si="22"/>
        <v>Investissement</v>
      </c>
      <c r="AA287" t="str">
        <f t="shared" si="23"/>
        <v>travaux magasin</v>
      </c>
    </row>
    <row r="288" spans="20:27" x14ac:dyDescent="0.25">
      <c r="T288" s="68">
        <f t="shared" si="20"/>
        <v>52479</v>
      </c>
      <c r="U288" s="77">
        <f t="shared" si="21"/>
        <v>864.41</v>
      </c>
      <c r="V288" s="72">
        <f t="shared" si="24"/>
        <v>-973.07</v>
      </c>
      <c r="W288" s="69">
        <f>D_Emprunts!$U288-D_Emprunts!$V288</f>
        <v>1837.48</v>
      </c>
      <c r="X288" s="70">
        <f>X287-D_Emprunts!$W288</f>
        <v>-331684.86</v>
      </c>
      <c r="Y288">
        <v>281</v>
      </c>
      <c r="Z288" t="str">
        <f t="shared" si="22"/>
        <v>Investissement</v>
      </c>
      <c r="AA288" t="str">
        <f t="shared" si="23"/>
        <v>travaux magasin</v>
      </c>
    </row>
    <row r="289" spans="20:27" x14ac:dyDescent="0.25">
      <c r="T289" s="71">
        <f t="shared" si="20"/>
        <v>52509</v>
      </c>
      <c r="U289" s="77">
        <f t="shared" si="21"/>
        <v>864.41</v>
      </c>
      <c r="V289" s="72">
        <f t="shared" si="24"/>
        <v>-978.49</v>
      </c>
      <c r="W289" s="72">
        <f>D_Emprunts!$U289-D_Emprunts!$V289</f>
        <v>1842.9</v>
      </c>
      <c r="X289" s="73">
        <f>X288-D_Emprunts!$W289</f>
        <v>-333527.76</v>
      </c>
      <c r="Y289">
        <v>282</v>
      </c>
      <c r="Z289" t="str">
        <f t="shared" si="22"/>
        <v>Investissement</v>
      </c>
      <c r="AA289" t="str">
        <f t="shared" si="23"/>
        <v>travaux magasin</v>
      </c>
    </row>
    <row r="290" spans="20:27" x14ac:dyDescent="0.25">
      <c r="T290" s="68">
        <f t="shared" si="20"/>
        <v>52540</v>
      </c>
      <c r="U290" s="77">
        <f t="shared" si="21"/>
        <v>864.41</v>
      </c>
      <c r="V290" s="72">
        <f t="shared" si="24"/>
        <v>-983.92</v>
      </c>
      <c r="W290" s="69">
        <f>D_Emprunts!$U290-D_Emprunts!$V290</f>
        <v>1848.33</v>
      </c>
      <c r="X290" s="70">
        <f>X289-D_Emprunts!$W290</f>
        <v>-335376.09000000003</v>
      </c>
      <c r="Y290">
        <v>283</v>
      </c>
      <c r="Z290" t="str">
        <f t="shared" si="22"/>
        <v>Investissement</v>
      </c>
      <c r="AA290" t="str">
        <f t="shared" si="23"/>
        <v>travaux magasin</v>
      </c>
    </row>
    <row r="291" spans="20:27" x14ac:dyDescent="0.25">
      <c r="T291" s="71">
        <f t="shared" si="20"/>
        <v>52570</v>
      </c>
      <c r="U291" s="77">
        <f t="shared" si="21"/>
        <v>864.41</v>
      </c>
      <c r="V291" s="72">
        <f t="shared" si="24"/>
        <v>-989.38</v>
      </c>
      <c r="W291" s="72">
        <f>D_Emprunts!$U291-D_Emprunts!$V291</f>
        <v>1853.79</v>
      </c>
      <c r="X291" s="73">
        <f>X290-D_Emprunts!$W291</f>
        <v>-337229.88</v>
      </c>
      <c r="Y291">
        <v>284</v>
      </c>
      <c r="Z291" t="str">
        <f t="shared" si="22"/>
        <v>Investissement</v>
      </c>
      <c r="AA291" t="str">
        <f t="shared" si="23"/>
        <v>travaux magasin</v>
      </c>
    </row>
    <row r="292" spans="20:27" x14ac:dyDescent="0.25">
      <c r="T292" s="68">
        <f t="shared" si="20"/>
        <v>52601</v>
      </c>
      <c r="U292" s="77">
        <f t="shared" si="21"/>
        <v>864.41</v>
      </c>
      <c r="V292" s="72">
        <f t="shared" si="24"/>
        <v>-994.85</v>
      </c>
      <c r="W292" s="69">
        <f>D_Emprunts!$U292-D_Emprunts!$V292</f>
        <v>1859.26</v>
      </c>
      <c r="X292" s="70">
        <f>X291-D_Emprunts!$W292</f>
        <v>-339089.14</v>
      </c>
      <c r="Y292">
        <v>285</v>
      </c>
      <c r="Z292" t="str">
        <f t="shared" si="22"/>
        <v>Investissement</v>
      </c>
      <c r="AA292" t="str">
        <f t="shared" si="23"/>
        <v>travaux magasin</v>
      </c>
    </row>
    <row r="293" spans="20:27" x14ac:dyDescent="0.25">
      <c r="T293" s="71">
        <f t="shared" si="20"/>
        <v>52632</v>
      </c>
      <c r="U293" s="77">
        <f t="shared" si="21"/>
        <v>864.41</v>
      </c>
      <c r="V293" s="72">
        <f t="shared" si="24"/>
        <v>-1000.33</v>
      </c>
      <c r="W293" s="72">
        <f>D_Emprunts!$U293-D_Emprunts!$V293</f>
        <v>1864.74</v>
      </c>
      <c r="X293" s="73">
        <f>X292-D_Emprunts!$W293</f>
        <v>-340953.88</v>
      </c>
      <c r="Y293">
        <v>286</v>
      </c>
      <c r="Z293" t="str">
        <f t="shared" si="22"/>
        <v>Investissement</v>
      </c>
      <c r="AA293" t="str">
        <f t="shared" si="23"/>
        <v>travaux magasin</v>
      </c>
    </row>
    <row r="294" spans="20:27" x14ac:dyDescent="0.25">
      <c r="T294" s="68">
        <f t="shared" si="20"/>
        <v>52661</v>
      </c>
      <c r="U294" s="77">
        <f t="shared" si="21"/>
        <v>864.41</v>
      </c>
      <c r="V294" s="72">
        <f t="shared" si="24"/>
        <v>-1005.83</v>
      </c>
      <c r="W294" s="69">
        <f>D_Emprunts!$U294-D_Emprunts!$V294</f>
        <v>1870.24</v>
      </c>
      <c r="X294" s="70">
        <f>X293-D_Emprunts!$W294</f>
        <v>-342824.12</v>
      </c>
      <c r="Y294">
        <v>287</v>
      </c>
      <c r="Z294" t="str">
        <f t="shared" si="22"/>
        <v>Investissement</v>
      </c>
      <c r="AA294" t="str">
        <f t="shared" si="23"/>
        <v>travaux magasin</v>
      </c>
    </row>
    <row r="295" spans="20:27" x14ac:dyDescent="0.25">
      <c r="T295" s="71">
        <f t="shared" si="20"/>
        <v>52692</v>
      </c>
      <c r="U295" s="77">
        <f t="shared" si="21"/>
        <v>864.41</v>
      </c>
      <c r="V295" s="72">
        <f t="shared" si="24"/>
        <v>-1011.35</v>
      </c>
      <c r="W295" s="72">
        <f>D_Emprunts!$U295-D_Emprunts!$V295</f>
        <v>1875.76</v>
      </c>
      <c r="X295" s="73">
        <f>X294-D_Emprunts!$W295</f>
        <v>-344699.88</v>
      </c>
      <c r="Y295">
        <v>288</v>
      </c>
      <c r="Z295" t="str">
        <f t="shared" si="22"/>
        <v>Investissement</v>
      </c>
      <c r="AA295" t="str">
        <f t="shared" si="23"/>
        <v>travaux magasin</v>
      </c>
    </row>
    <row r="296" spans="20:27" x14ac:dyDescent="0.25">
      <c r="T296" s="68">
        <f t="shared" si="20"/>
        <v>52722</v>
      </c>
      <c r="U296" s="77">
        <f t="shared" si="21"/>
        <v>864.41</v>
      </c>
      <c r="V296" s="72">
        <f t="shared" si="24"/>
        <v>-1016.88</v>
      </c>
      <c r="W296" s="69">
        <f>D_Emprunts!$U296-D_Emprunts!$V296</f>
        <v>1881.29</v>
      </c>
      <c r="X296" s="70">
        <f>X295-D_Emprunts!$W296</f>
        <v>-346581.17</v>
      </c>
      <c r="Y296">
        <v>289</v>
      </c>
      <c r="Z296" t="str">
        <f t="shared" si="22"/>
        <v>Investissement</v>
      </c>
      <c r="AA296" t="str">
        <f t="shared" si="23"/>
        <v>travaux magasin</v>
      </c>
    </row>
    <row r="297" spans="20:27" x14ac:dyDescent="0.25">
      <c r="T297" s="71">
        <f t="shared" si="20"/>
        <v>52753</v>
      </c>
      <c r="U297" s="77">
        <f t="shared" si="21"/>
        <v>864.41</v>
      </c>
      <c r="V297" s="72">
        <f t="shared" si="24"/>
        <v>-1022.43</v>
      </c>
      <c r="W297" s="72">
        <f>D_Emprunts!$U297-D_Emprunts!$V297</f>
        <v>1886.84</v>
      </c>
      <c r="X297" s="73">
        <f>X296-D_Emprunts!$W297</f>
        <v>-348468.01</v>
      </c>
      <c r="Y297">
        <v>290</v>
      </c>
      <c r="Z297" t="str">
        <f t="shared" si="22"/>
        <v>Investissement</v>
      </c>
      <c r="AA297" t="str">
        <f t="shared" si="23"/>
        <v>travaux magasin</v>
      </c>
    </row>
    <row r="298" spans="20:27" x14ac:dyDescent="0.25">
      <c r="T298" s="68">
        <f t="shared" si="20"/>
        <v>52783</v>
      </c>
      <c r="U298" s="77">
        <f t="shared" si="21"/>
        <v>864.41</v>
      </c>
      <c r="V298" s="72">
        <f t="shared" si="24"/>
        <v>-1028</v>
      </c>
      <c r="W298" s="69">
        <f>D_Emprunts!$U298-D_Emprunts!$V298</f>
        <v>1892.4099999999999</v>
      </c>
      <c r="X298" s="70">
        <f>X297-D_Emprunts!$W298</f>
        <v>-350360.42</v>
      </c>
      <c r="Y298">
        <v>291</v>
      </c>
      <c r="Z298" t="str">
        <f t="shared" si="22"/>
        <v>Investissement</v>
      </c>
      <c r="AA298" t="str">
        <f t="shared" si="23"/>
        <v>travaux magasin</v>
      </c>
    </row>
    <row r="299" spans="20:27" x14ac:dyDescent="0.25">
      <c r="T299" s="71">
        <f t="shared" si="20"/>
        <v>52814</v>
      </c>
      <c r="U299" s="77">
        <f t="shared" si="21"/>
        <v>864.41</v>
      </c>
      <c r="V299" s="72">
        <f t="shared" si="24"/>
        <v>-1033.58</v>
      </c>
      <c r="W299" s="72">
        <f>D_Emprunts!$U299-D_Emprunts!$V299</f>
        <v>1897.9899999999998</v>
      </c>
      <c r="X299" s="73">
        <f>X298-D_Emprunts!$W299</f>
        <v>-352258.41</v>
      </c>
      <c r="Y299">
        <v>292</v>
      </c>
      <c r="Z299" t="str">
        <f t="shared" si="22"/>
        <v>Investissement</v>
      </c>
      <c r="AA299" t="str">
        <f t="shared" si="23"/>
        <v>travaux magasin</v>
      </c>
    </row>
    <row r="300" spans="20:27" x14ac:dyDescent="0.25">
      <c r="T300" s="68">
        <f t="shared" si="20"/>
        <v>52845</v>
      </c>
      <c r="U300" s="77">
        <f t="shared" si="21"/>
        <v>864.41</v>
      </c>
      <c r="V300" s="72">
        <f t="shared" si="24"/>
        <v>-1039.18</v>
      </c>
      <c r="W300" s="69">
        <f>D_Emprunts!$U300-D_Emprunts!$V300</f>
        <v>1903.5900000000001</v>
      </c>
      <c r="X300" s="70">
        <f>X299-D_Emprunts!$W300</f>
        <v>-354162</v>
      </c>
      <c r="Y300">
        <v>293</v>
      </c>
      <c r="Z300" t="str">
        <f t="shared" si="22"/>
        <v>Investissement</v>
      </c>
      <c r="AA300" t="str">
        <f t="shared" si="23"/>
        <v>travaux magasin</v>
      </c>
    </row>
    <row r="301" spans="20:27" x14ac:dyDescent="0.25">
      <c r="T301" s="71">
        <f t="shared" si="20"/>
        <v>52875</v>
      </c>
      <c r="U301" s="77">
        <f t="shared" si="21"/>
        <v>864.41</v>
      </c>
      <c r="V301" s="72">
        <f t="shared" si="24"/>
        <v>-1044.8</v>
      </c>
      <c r="W301" s="72">
        <f>D_Emprunts!$U301-D_Emprunts!$V301</f>
        <v>1909.21</v>
      </c>
      <c r="X301" s="73">
        <f>X300-D_Emprunts!$W301</f>
        <v>-356071.21</v>
      </c>
      <c r="Y301">
        <v>294</v>
      </c>
      <c r="Z301" t="str">
        <f t="shared" si="22"/>
        <v>Investissement</v>
      </c>
      <c r="AA301" t="str">
        <f t="shared" si="23"/>
        <v>travaux magasin</v>
      </c>
    </row>
    <row r="302" spans="20:27" x14ac:dyDescent="0.25">
      <c r="T302" s="68">
        <f t="shared" si="20"/>
        <v>52906</v>
      </c>
      <c r="U302" s="77">
        <f t="shared" si="21"/>
        <v>864.41</v>
      </c>
      <c r="V302" s="72">
        <f t="shared" si="24"/>
        <v>-1050.43</v>
      </c>
      <c r="W302" s="69">
        <f>D_Emprunts!$U302-D_Emprunts!$V302</f>
        <v>1914.8400000000001</v>
      </c>
      <c r="X302" s="70">
        <f>X301-D_Emprunts!$W302</f>
        <v>-357986.05000000005</v>
      </c>
      <c r="Y302">
        <v>295</v>
      </c>
      <c r="Z302" t="str">
        <f t="shared" si="22"/>
        <v>Investissement</v>
      </c>
      <c r="AA302" t="str">
        <f t="shared" si="23"/>
        <v>travaux magasin</v>
      </c>
    </row>
    <row r="303" spans="20:27" x14ac:dyDescent="0.25">
      <c r="T303" s="71">
        <f t="shared" si="20"/>
        <v>52936</v>
      </c>
      <c r="U303" s="77">
        <f t="shared" si="21"/>
        <v>864.41</v>
      </c>
      <c r="V303" s="72">
        <f t="shared" si="24"/>
        <v>-1056.08</v>
      </c>
      <c r="W303" s="72">
        <f>D_Emprunts!$U303-D_Emprunts!$V303</f>
        <v>1920.4899999999998</v>
      </c>
      <c r="X303" s="73">
        <f>X302-D_Emprunts!$W303</f>
        <v>-359906.54000000004</v>
      </c>
      <c r="Y303">
        <v>296</v>
      </c>
      <c r="Z303" t="str">
        <f t="shared" si="22"/>
        <v>Investissement</v>
      </c>
      <c r="AA303" t="str">
        <f t="shared" si="23"/>
        <v>travaux magasin</v>
      </c>
    </row>
    <row r="304" spans="20:27" x14ac:dyDescent="0.25">
      <c r="T304" s="68">
        <f t="shared" si="20"/>
        <v>52967</v>
      </c>
      <c r="U304" s="77">
        <f t="shared" si="21"/>
        <v>864.41</v>
      </c>
      <c r="V304" s="72">
        <f t="shared" si="24"/>
        <v>-1061.74</v>
      </c>
      <c r="W304" s="69">
        <f>D_Emprunts!$U304-D_Emprunts!$V304</f>
        <v>1926.15</v>
      </c>
      <c r="X304" s="70">
        <f>X303-D_Emprunts!$W304</f>
        <v>-361832.69000000006</v>
      </c>
      <c r="Y304">
        <v>297</v>
      </c>
      <c r="Z304" t="str">
        <f t="shared" si="22"/>
        <v>Investissement</v>
      </c>
      <c r="AA304" t="str">
        <f t="shared" si="23"/>
        <v>travaux magasin</v>
      </c>
    </row>
    <row r="305" spans="20:27" x14ac:dyDescent="0.25">
      <c r="T305" s="71">
        <f t="shared" si="20"/>
        <v>52998</v>
      </c>
      <c r="U305" s="77">
        <f t="shared" si="21"/>
        <v>864.41</v>
      </c>
      <c r="V305" s="72">
        <f t="shared" si="24"/>
        <v>-1067.42</v>
      </c>
      <c r="W305" s="72">
        <f>D_Emprunts!$U305-D_Emprunts!$V305</f>
        <v>1931.83</v>
      </c>
      <c r="X305" s="73">
        <f>X304-D_Emprunts!$W305</f>
        <v>-363764.52000000008</v>
      </c>
      <c r="Y305">
        <v>298</v>
      </c>
      <c r="Z305" t="str">
        <f t="shared" si="22"/>
        <v>Investissement</v>
      </c>
      <c r="AA305" t="str">
        <f t="shared" si="23"/>
        <v>travaux magasin</v>
      </c>
    </row>
    <row r="306" spans="20:27" x14ac:dyDescent="0.25">
      <c r="T306" s="68">
        <f t="shared" si="20"/>
        <v>53026</v>
      </c>
      <c r="U306" s="77">
        <f t="shared" si="21"/>
        <v>864.41</v>
      </c>
      <c r="V306" s="72">
        <f t="shared" si="24"/>
        <v>-1073.1199999999999</v>
      </c>
      <c r="W306" s="69">
        <f>D_Emprunts!$U306-D_Emprunts!$V306</f>
        <v>1937.5299999999997</v>
      </c>
      <c r="X306" s="70">
        <f>X305-D_Emprunts!$W306</f>
        <v>-365702.0500000001</v>
      </c>
      <c r="Y306">
        <v>299</v>
      </c>
      <c r="Z306" t="str">
        <f t="shared" si="22"/>
        <v>Investissement</v>
      </c>
      <c r="AA306" t="str">
        <f t="shared" si="23"/>
        <v>travaux magasin</v>
      </c>
    </row>
    <row r="307" spans="20:27" x14ac:dyDescent="0.25">
      <c r="T307" s="71">
        <f t="shared" si="20"/>
        <v>53057</v>
      </c>
      <c r="U307" s="77">
        <f t="shared" si="21"/>
        <v>864.41</v>
      </c>
      <c r="V307" s="72">
        <f t="shared" si="24"/>
        <v>-1078.8399999999999</v>
      </c>
      <c r="W307" s="72">
        <f>D_Emprunts!$U307-D_Emprunts!$V307</f>
        <v>1943.25</v>
      </c>
      <c r="X307" s="73">
        <f>X306-D_Emprunts!$W307</f>
        <v>-367645.3000000001</v>
      </c>
      <c r="Y307">
        <v>300</v>
      </c>
      <c r="Z307" t="str">
        <f t="shared" si="22"/>
        <v>Investissement</v>
      </c>
      <c r="AA307" t="str">
        <f t="shared" si="23"/>
        <v>travaux magasin</v>
      </c>
    </row>
    <row r="308" spans="20:27" x14ac:dyDescent="0.25">
      <c r="T308" s="68">
        <f t="shared" si="20"/>
        <v>53087</v>
      </c>
      <c r="U308" s="77">
        <f t="shared" si="21"/>
        <v>864.41</v>
      </c>
      <c r="V308" s="72">
        <f t="shared" si="24"/>
        <v>-1084.57</v>
      </c>
      <c r="W308" s="69">
        <f>D_Emprunts!$U308-D_Emprunts!$V308</f>
        <v>1948.98</v>
      </c>
      <c r="X308" s="70">
        <f>X307-D_Emprunts!$W308</f>
        <v>-369594.28000000009</v>
      </c>
      <c r="Y308">
        <v>301</v>
      </c>
      <c r="Z308" t="str">
        <f t="shared" si="22"/>
        <v>Investissement</v>
      </c>
      <c r="AA308" t="str">
        <f t="shared" si="23"/>
        <v>travaux magasin</v>
      </c>
    </row>
    <row r="309" spans="20:27" x14ac:dyDescent="0.25">
      <c r="T309" s="71">
        <f t="shared" si="20"/>
        <v>53118</v>
      </c>
      <c r="U309" s="77">
        <f t="shared" si="21"/>
        <v>864.41</v>
      </c>
      <c r="V309" s="72">
        <f t="shared" si="24"/>
        <v>-1090.32</v>
      </c>
      <c r="W309" s="72">
        <f>D_Emprunts!$U309-D_Emprunts!$V309</f>
        <v>1954.73</v>
      </c>
      <c r="X309" s="73">
        <f>X308-D_Emprunts!$W309</f>
        <v>-371549.01000000007</v>
      </c>
      <c r="Y309">
        <v>302</v>
      </c>
      <c r="Z309" t="str">
        <f t="shared" si="22"/>
        <v>Investissement</v>
      </c>
      <c r="AA309" t="str">
        <f t="shared" si="23"/>
        <v>travaux magasin</v>
      </c>
    </row>
    <row r="310" spans="20:27" x14ac:dyDescent="0.25">
      <c r="T310" s="68">
        <f t="shared" si="20"/>
        <v>53148</v>
      </c>
      <c r="U310" s="77">
        <f t="shared" si="21"/>
        <v>864.41</v>
      </c>
      <c r="V310" s="72">
        <f t="shared" si="24"/>
        <v>-1096.0899999999999</v>
      </c>
      <c r="W310" s="69">
        <f>D_Emprunts!$U310-D_Emprunts!$V310</f>
        <v>1960.5</v>
      </c>
      <c r="X310" s="70">
        <f>X309-D_Emprunts!$W310</f>
        <v>-373509.51000000007</v>
      </c>
      <c r="Y310">
        <v>303</v>
      </c>
      <c r="Z310" t="str">
        <f t="shared" si="22"/>
        <v>Investissement</v>
      </c>
      <c r="AA310" t="str">
        <f t="shared" si="23"/>
        <v>travaux magasin</v>
      </c>
    </row>
    <row r="311" spans="20:27" x14ac:dyDescent="0.25">
      <c r="T311" s="71">
        <f t="shared" si="20"/>
        <v>53179</v>
      </c>
      <c r="U311" s="77">
        <f t="shared" si="21"/>
        <v>864.41</v>
      </c>
      <c r="V311" s="72">
        <f t="shared" si="24"/>
        <v>-1101.8699999999999</v>
      </c>
      <c r="W311" s="72">
        <f>D_Emprunts!$U311-D_Emprunts!$V311</f>
        <v>1966.2799999999997</v>
      </c>
      <c r="X311" s="73">
        <f>X310-D_Emprunts!$W311</f>
        <v>-375475.7900000001</v>
      </c>
      <c r="Y311">
        <v>304</v>
      </c>
      <c r="Z311" t="str">
        <f t="shared" si="22"/>
        <v>Investissement</v>
      </c>
      <c r="AA311" t="str">
        <f t="shared" si="23"/>
        <v>travaux magasin</v>
      </c>
    </row>
    <row r="312" spans="20:27" x14ac:dyDescent="0.25">
      <c r="T312" s="68">
        <f t="shared" si="20"/>
        <v>53210</v>
      </c>
      <c r="U312" s="77">
        <f t="shared" si="21"/>
        <v>864.41</v>
      </c>
      <c r="V312" s="72">
        <f t="shared" si="24"/>
        <v>-1107.67</v>
      </c>
      <c r="W312" s="69">
        <f>D_Emprunts!$U312-D_Emprunts!$V312</f>
        <v>1972.08</v>
      </c>
      <c r="X312" s="70">
        <f>X311-D_Emprunts!$W312</f>
        <v>-377447.87000000011</v>
      </c>
      <c r="Y312">
        <v>305</v>
      </c>
      <c r="Z312" t="str">
        <f t="shared" si="22"/>
        <v>Investissement</v>
      </c>
      <c r="AA312" t="str">
        <f t="shared" si="23"/>
        <v>travaux magasin</v>
      </c>
    </row>
    <row r="313" spans="20:27" x14ac:dyDescent="0.25">
      <c r="T313" s="71">
        <f t="shared" si="20"/>
        <v>53240</v>
      </c>
      <c r="U313" s="77">
        <f t="shared" si="21"/>
        <v>864.41</v>
      </c>
      <c r="V313" s="72">
        <f t="shared" si="24"/>
        <v>-1113.49</v>
      </c>
      <c r="W313" s="72">
        <f>D_Emprunts!$U313-D_Emprunts!$V313</f>
        <v>1977.9</v>
      </c>
      <c r="X313" s="73">
        <f>X312-D_Emprunts!$W313</f>
        <v>-379425.77000000014</v>
      </c>
      <c r="Y313">
        <v>306</v>
      </c>
      <c r="Z313" t="str">
        <f t="shared" si="22"/>
        <v>Investissement</v>
      </c>
      <c r="AA313" t="str">
        <f t="shared" si="23"/>
        <v>travaux magasin</v>
      </c>
    </row>
    <row r="314" spans="20:27" x14ac:dyDescent="0.25">
      <c r="T314" s="68">
        <f t="shared" si="20"/>
        <v>53271</v>
      </c>
      <c r="U314" s="77">
        <f t="shared" si="21"/>
        <v>864.41</v>
      </c>
      <c r="V314" s="72">
        <f t="shared" si="24"/>
        <v>-1119.33</v>
      </c>
      <c r="W314" s="69">
        <f>D_Emprunts!$U314-D_Emprunts!$V314</f>
        <v>1983.7399999999998</v>
      </c>
      <c r="X314" s="70">
        <f>X313-D_Emprunts!$W314</f>
        <v>-381409.51000000013</v>
      </c>
      <c r="Y314">
        <v>307</v>
      </c>
      <c r="Z314" t="str">
        <f t="shared" si="22"/>
        <v>Investissement</v>
      </c>
      <c r="AA314" t="str">
        <f t="shared" si="23"/>
        <v>travaux magasin</v>
      </c>
    </row>
    <row r="315" spans="20:27" x14ac:dyDescent="0.25">
      <c r="T315" s="71">
        <f t="shared" si="20"/>
        <v>53301</v>
      </c>
      <c r="U315" s="77">
        <f t="shared" si="21"/>
        <v>864.41</v>
      </c>
      <c r="V315" s="72">
        <f t="shared" si="24"/>
        <v>-1125.18</v>
      </c>
      <c r="W315" s="72">
        <f>D_Emprunts!$U315-D_Emprunts!$V315</f>
        <v>1989.5900000000001</v>
      </c>
      <c r="X315" s="73">
        <f>X314-D_Emprunts!$W315</f>
        <v>-383399.10000000015</v>
      </c>
      <c r="Y315">
        <v>308</v>
      </c>
      <c r="Z315" t="str">
        <f t="shared" si="22"/>
        <v>Investissement</v>
      </c>
      <c r="AA315" t="str">
        <f t="shared" si="23"/>
        <v>travaux magasin</v>
      </c>
    </row>
    <row r="316" spans="20:27" x14ac:dyDescent="0.25">
      <c r="T316" s="68">
        <f t="shared" si="20"/>
        <v>53332</v>
      </c>
      <c r="U316" s="77">
        <f t="shared" si="21"/>
        <v>864.41</v>
      </c>
      <c r="V316" s="72">
        <f t="shared" si="24"/>
        <v>-1131.05</v>
      </c>
      <c r="W316" s="69">
        <f>D_Emprunts!$U316-D_Emprunts!$V316</f>
        <v>1995.46</v>
      </c>
      <c r="X316" s="70">
        <f>X315-D_Emprunts!$W316</f>
        <v>-385394.56000000017</v>
      </c>
      <c r="Y316">
        <v>309</v>
      </c>
      <c r="Z316" t="str">
        <f t="shared" si="22"/>
        <v>Investissement</v>
      </c>
      <c r="AA316" t="str">
        <f t="shared" si="23"/>
        <v>travaux magasin</v>
      </c>
    </row>
    <row r="317" spans="20:27" x14ac:dyDescent="0.25">
      <c r="T317" s="71">
        <f t="shared" si="20"/>
        <v>53363</v>
      </c>
      <c r="U317" s="77">
        <f t="shared" si="21"/>
        <v>864.41</v>
      </c>
      <c r="V317" s="72">
        <f t="shared" si="24"/>
        <v>-1136.93</v>
      </c>
      <c r="W317" s="72">
        <f>D_Emprunts!$U317-D_Emprunts!$V317</f>
        <v>2001.3400000000001</v>
      </c>
      <c r="X317" s="73">
        <f>X316-D_Emprunts!$W317</f>
        <v>-387395.9000000002</v>
      </c>
      <c r="Y317">
        <v>310</v>
      </c>
      <c r="Z317" t="str">
        <f t="shared" si="22"/>
        <v>Investissement</v>
      </c>
      <c r="AA317" t="str">
        <f t="shared" si="23"/>
        <v>travaux magasin</v>
      </c>
    </row>
    <row r="318" spans="20:27" x14ac:dyDescent="0.25">
      <c r="T318" s="68">
        <f t="shared" si="20"/>
        <v>53391</v>
      </c>
      <c r="U318" s="77">
        <f t="shared" si="21"/>
        <v>864.41</v>
      </c>
      <c r="V318" s="72">
        <f t="shared" si="24"/>
        <v>-1142.8399999999999</v>
      </c>
      <c r="W318" s="69">
        <f>D_Emprunts!$U318-D_Emprunts!$V318</f>
        <v>2007.25</v>
      </c>
      <c r="X318" s="70">
        <f>X317-D_Emprunts!$W318</f>
        <v>-389403.1500000002</v>
      </c>
      <c r="Y318">
        <v>311</v>
      </c>
      <c r="Z318" t="str">
        <f t="shared" si="22"/>
        <v>Investissement</v>
      </c>
      <c r="AA318" t="str">
        <f t="shared" si="23"/>
        <v>travaux magasin</v>
      </c>
    </row>
    <row r="319" spans="20:27" x14ac:dyDescent="0.25">
      <c r="T319" s="71">
        <f t="shared" si="20"/>
        <v>53422</v>
      </c>
      <c r="U319" s="77">
        <f t="shared" si="21"/>
        <v>864.41</v>
      </c>
      <c r="V319" s="72">
        <f t="shared" si="24"/>
        <v>-1148.76</v>
      </c>
      <c r="W319" s="72">
        <f>D_Emprunts!$U319-D_Emprunts!$V319</f>
        <v>2013.17</v>
      </c>
      <c r="X319" s="73">
        <f>X318-D_Emprunts!$W319</f>
        <v>-391416.32000000018</v>
      </c>
      <c r="Y319">
        <v>312</v>
      </c>
      <c r="Z319" t="str">
        <f t="shared" si="22"/>
        <v>Investissement</v>
      </c>
      <c r="AA319" t="str">
        <f t="shared" si="23"/>
        <v>travaux magasin</v>
      </c>
    </row>
    <row r="320" spans="20:27" x14ac:dyDescent="0.25">
      <c r="T320" s="68">
        <f t="shared" si="20"/>
        <v>53452</v>
      </c>
      <c r="U320" s="77">
        <f t="shared" si="21"/>
        <v>864.41</v>
      </c>
      <c r="V320" s="72">
        <f t="shared" si="24"/>
        <v>-1154.7</v>
      </c>
      <c r="W320" s="69">
        <f>D_Emprunts!$U320-D_Emprunts!$V320</f>
        <v>2019.1100000000001</v>
      </c>
      <c r="X320" s="70">
        <f>X319-D_Emprunts!$W320</f>
        <v>-393435.43000000017</v>
      </c>
      <c r="Y320">
        <v>313</v>
      </c>
      <c r="Z320" t="str">
        <f t="shared" si="22"/>
        <v>Investissement</v>
      </c>
      <c r="AA320" t="str">
        <f t="shared" si="23"/>
        <v>travaux magasin</v>
      </c>
    </row>
    <row r="321" spans="20:27" x14ac:dyDescent="0.25">
      <c r="T321" s="71">
        <f t="shared" si="20"/>
        <v>53483</v>
      </c>
      <c r="U321" s="77">
        <f t="shared" si="21"/>
        <v>864.41</v>
      </c>
      <c r="V321" s="72">
        <f t="shared" si="24"/>
        <v>-1160.6500000000001</v>
      </c>
      <c r="W321" s="72">
        <f>D_Emprunts!$U321-D_Emprunts!$V321</f>
        <v>2025.06</v>
      </c>
      <c r="X321" s="73">
        <f>X320-D_Emprunts!$W321</f>
        <v>-395460.49000000017</v>
      </c>
      <c r="Y321">
        <v>314</v>
      </c>
      <c r="Z321" t="str">
        <f t="shared" si="22"/>
        <v>Investissement</v>
      </c>
      <c r="AA321" t="str">
        <f t="shared" si="23"/>
        <v>travaux magasin</v>
      </c>
    </row>
    <row r="322" spans="20:27" x14ac:dyDescent="0.25">
      <c r="T322" s="68">
        <f t="shared" si="20"/>
        <v>53513</v>
      </c>
      <c r="U322" s="77">
        <f t="shared" si="21"/>
        <v>864.41</v>
      </c>
      <c r="V322" s="72">
        <f t="shared" si="24"/>
        <v>-1166.6300000000001</v>
      </c>
      <c r="W322" s="69">
        <f>D_Emprunts!$U322-D_Emprunts!$V322</f>
        <v>2031.04</v>
      </c>
      <c r="X322" s="70">
        <f>X321-D_Emprunts!$W322</f>
        <v>-397491.53000000014</v>
      </c>
      <c r="Y322">
        <v>315</v>
      </c>
      <c r="Z322" t="str">
        <f t="shared" si="22"/>
        <v>Investissement</v>
      </c>
      <c r="AA322" t="str">
        <f t="shared" si="23"/>
        <v>travaux magasin</v>
      </c>
    </row>
    <row r="323" spans="20:27" x14ac:dyDescent="0.25">
      <c r="T323" s="71">
        <f t="shared" si="20"/>
        <v>53544</v>
      </c>
      <c r="U323" s="77">
        <f t="shared" si="21"/>
        <v>864.41</v>
      </c>
      <c r="V323" s="72">
        <f t="shared" si="24"/>
        <v>-1172.6199999999999</v>
      </c>
      <c r="W323" s="72">
        <f>D_Emprunts!$U323-D_Emprunts!$V323</f>
        <v>2037.0299999999997</v>
      </c>
      <c r="X323" s="73">
        <f>X322-D_Emprunts!$W323</f>
        <v>-399528.56000000017</v>
      </c>
      <c r="Y323">
        <v>316</v>
      </c>
      <c r="Z323" t="str">
        <f t="shared" si="22"/>
        <v>Investissement</v>
      </c>
      <c r="AA323" t="str">
        <f t="shared" si="23"/>
        <v>travaux magasin</v>
      </c>
    </row>
    <row r="324" spans="20:27" x14ac:dyDescent="0.25">
      <c r="T324" s="68">
        <f t="shared" si="20"/>
        <v>53575</v>
      </c>
      <c r="U324" s="77">
        <f t="shared" si="21"/>
        <v>864.41</v>
      </c>
      <c r="V324" s="72">
        <f t="shared" si="24"/>
        <v>-1178.6300000000001</v>
      </c>
      <c r="W324" s="69">
        <f>D_Emprunts!$U324-D_Emprunts!$V324</f>
        <v>2043.04</v>
      </c>
      <c r="X324" s="70">
        <f>X323-D_Emprunts!$W324</f>
        <v>-401571.60000000015</v>
      </c>
      <c r="Y324">
        <v>317</v>
      </c>
      <c r="Z324" t="str">
        <f t="shared" si="22"/>
        <v>Investissement</v>
      </c>
      <c r="AA324" t="str">
        <f t="shared" si="23"/>
        <v>travaux magasin</v>
      </c>
    </row>
    <row r="325" spans="20:27" x14ac:dyDescent="0.25">
      <c r="T325" s="71">
        <f t="shared" si="20"/>
        <v>53605</v>
      </c>
      <c r="U325" s="77">
        <f t="shared" si="21"/>
        <v>864.41</v>
      </c>
      <c r="V325" s="72">
        <f t="shared" si="24"/>
        <v>-1184.6600000000001</v>
      </c>
      <c r="W325" s="72">
        <f>D_Emprunts!$U325-D_Emprunts!$V325</f>
        <v>2049.0700000000002</v>
      </c>
      <c r="X325" s="73">
        <f>X324-D_Emprunts!$W325</f>
        <v>-403620.67000000016</v>
      </c>
      <c r="Y325">
        <v>318</v>
      </c>
      <c r="Z325" t="str">
        <f t="shared" si="22"/>
        <v>Investissement</v>
      </c>
      <c r="AA325" t="str">
        <f t="shared" si="23"/>
        <v>travaux magasin</v>
      </c>
    </row>
    <row r="326" spans="20:27" x14ac:dyDescent="0.25">
      <c r="T326" s="68">
        <f t="shared" si="20"/>
        <v>53636</v>
      </c>
      <c r="U326" s="77">
        <f t="shared" si="21"/>
        <v>864.41</v>
      </c>
      <c r="V326" s="72">
        <f t="shared" si="24"/>
        <v>-1190.7</v>
      </c>
      <c r="W326" s="69">
        <f>D_Emprunts!$U326-D_Emprunts!$V326</f>
        <v>2055.11</v>
      </c>
      <c r="X326" s="70">
        <f>X325-D_Emprunts!$W326</f>
        <v>-405675.78000000014</v>
      </c>
      <c r="Y326">
        <v>319</v>
      </c>
      <c r="Z326" t="str">
        <f t="shared" si="22"/>
        <v>Investissement</v>
      </c>
      <c r="AA326" t="str">
        <f t="shared" si="23"/>
        <v>travaux magasin</v>
      </c>
    </row>
    <row r="327" spans="20:27" x14ac:dyDescent="0.25">
      <c r="T327" s="71">
        <f t="shared" si="20"/>
        <v>53666</v>
      </c>
      <c r="U327" s="77">
        <f t="shared" si="21"/>
        <v>864.41</v>
      </c>
      <c r="V327" s="72">
        <f t="shared" si="24"/>
        <v>-1196.76</v>
      </c>
      <c r="W327" s="72">
        <f>D_Emprunts!$U327-D_Emprunts!$V327</f>
        <v>2061.17</v>
      </c>
      <c r="X327" s="73">
        <f>X326-D_Emprunts!$W327</f>
        <v>-407736.95000000013</v>
      </c>
      <c r="Y327">
        <v>320</v>
      </c>
      <c r="Z327" t="str">
        <f t="shared" si="22"/>
        <v>Investissement</v>
      </c>
      <c r="AA327" t="str">
        <f t="shared" si="23"/>
        <v>travaux magasin</v>
      </c>
    </row>
    <row r="328" spans="20:27" x14ac:dyDescent="0.25">
      <c r="T328" s="68">
        <f t="shared" ref="T328:T391" si="25">EDATE(T327,1)</f>
        <v>53697</v>
      </c>
      <c r="U328" s="77">
        <f t="shared" si="21"/>
        <v>864.41</v>
      </c>
      <c r="V328" s="72">
        <f t="shared" si="24"/>
        <v>-1202.8399999999999</v>
      </c>
      <c r="W328" s="69">
        <f>D_Emprunts!$U328-D_Emprunts!$V328</f>
        <v>2067.25</v>
      </c>
      <c r="X328" s="70">
        <f>X327-D_Emprunts!$W328</f>
        <v>-409804.20000000013</v>
      </c>
      <c r="Y328">
        <v>321</v>
      </c>
      <c r="Z328" t="str">
        <f t="shared" si="22"/>
        <v>Investissement</v>
      </c>
      <c r="AA328" t="str">
        <f t="shared" si="23"/>
        <v>travaux magasin</v>
      </c>
    </row>
    <row r="329" spans="20:27" x14ac:dyDescent="0.25">
      <c r="T329" s="71">
        <f t="shared" si="25"/>
        <v>53728</v>
      </c>
      <c r="U329" s="77">
        <f t="shared" ref="U329:U392" si="26">$X$4</f>
        <v>864.41</v>
      </c>
      <c r="V329" s="72">
        <f t="shared" si="24"/>
        <v>-1208.94</v>
      </c>
      <c r="W329" s="72">
        <f>D_Emprunts!$U329-D_Emprunts!$V329</f>
        <v>2073.35</v>
      </c>
      <c r="X329" s="73">
        <f>X328-D_Emprunts!$W329</f>
        <v>-411877.5500000001</v>
      </c>
      <c r="Y329">
        <v>322</v>
      </c>
      <c r="Z329" t="str">
        <f t="shared" ref="Z329:Z392" si="27">$Y$4</f>
        <v>Investissement</v>
      </c>
      <c r="AA329" t="str">
        <f t="shared" ref="AA329:AA392" si="28">$Z$4</f>
        <v>travaux magasin</v>
      </c>
    </row>
    <row r="330" spans="20:27" x14ac:dyDescent="0.25">
      <c r="T330" s="68">
        <f t="shared" si="25"/>
        <v>53756</v>
      </c>
      <c r="U330" s="77">
        <f t="shared" si="26"/>
        <v>864.41</v>
      </c>
      <c r="V330" s="72">
        <f t="shared" ref="V330:V393" si="29">ROUND(X329*$V$4/12,2)</f>
        <v>-1215.06</v>
      </c>
      <c r="W330" s="69">
        <f>D_Emprunts!$U330-D_Emprunts!$V330</f>
        <v>2079.4699999999998</v>
      </c>
      <c r="X330" s="70">
        <f>X329-D_Emprunts!$W330</f>
        <v>-413957.02000000008</v>
      </c>
      <c r="Y330">
        <v>323</v>
      </c>
      <c r="Z330" t="str">
        <f t="shared" si="27"/>
        <v>Investissement</v>
      </c>
      <c r="AA330" t="str">
        <f t="shared" si="28"/>
        <v>travaux magasin</v>
      </c>
    </row>
    <row r="331" spans="20:27" x14ac:dyDescent="0.25">
      <c r="T331" s="71">
        <f t="shared" si="25"/>
        <v>53787</v>
      </c>
      <c r="U331" s="77">
        <f t="shared" si="26"/>
        <v>864.41</v>
      </c>
      <c r="V331" s="72">
        <f t="shared" si="29"/>
        <v>-1221.19</v>
      </c>
      <c r="W331" s="72">
        <f>D_Emprunts!$U331-D_Emprunts!$V331</f>
        <v>2085.6</v>
      </c>
      <c r="X331" s="73">
        <f>X330-D_Emprunts!$W331</f>
        <v>-416042.62000000005</v>
      </c>
      <c r="Y331">
        <v>324</v>
      </c>
      <c r="Z331" t="str">
        <f t="shared" si="27"/>
        <v>Investissement</v>
      </c>
      <c r="AA331" t="str">
        <f t="shared" si="28"/>
        <v>travaux magasin</v>
      </c>
    </row>
    <row r="332" spans="20:27" x14ac:dyDescent="0.25">
      <c r="T332" s="68">
        <f t="shared" si="25"/>
        <v>53817</v>
      </c>
      <c r="U332" s="77">
        <f t="shared" si="26"/>
        <v>864.41</v>
      </c>
      <c r="V332" s="72">
        <f t="shared" si="29"/>
        <v>-1227.3499999999999</v>
      </c>
      <c r="W332" s="69">
        <f>D_Emprunts!$U332-D_Emprunts!$V332</f>
        <v>2091.7599999999998</v>
      </c>
      <c r="X332" s="70">
        <f>X331-D_Emprunts!$W332</f>
        <v>-418134.38000000006</v>
      </c>
      <c r="Y332">
        <v>325</v>
      </c>
      <c r="Z332" t="str">
        <f t="shared" si="27"/>
        <v>Investissement</v>
      </c>
      <c r="AA332" t="str">
        <f t="shared" si="28"/>
        <v>travaux magasin</v>
      </c>
    </row>
    <row r="333" spans="20:27" x14ac:dyDescent="0.25">
      <c r="T333" s="71">
        <f t="shared" si="25"/>
        <v>53848</v>
      </c>
      <c r="U333" s="77">
        <f t="shared" si="26"/>
        <v>864.41</v>
      </c>
      <c r="V333" s="72">
        <f t="shared" si="29"/>
        <v>-1233.52</v>
      </c>
      <c r="W333" s="72">
        <f>D_Emprunts!$U333-D_Emprunts!$V333</f>
        <v>2097.9299999999998</v>
      </c>
      <c r="X333" s="73">
        <f>X332-D_Emprunts!$W333</f>
        <v>-420232.31000000006</v>
      </c>
      <c r="Y333">
        <v>326</v>
      </c>
      <c r="Z333" t="str">
        <f t="shared" si="27"/>
        <v>Investissement</v>
      </c>
      <c r="AA333" t="str">
        <f t="shared" si="28"/>
        <v>travaux magasin</v>
      </c>
    </row>
    <row r="334" spans="20:27" x14ac:dyDescent="0.25">
      <c r="T334" s="68">
        <f t="shared" si="25"/>
        <v>53878</v>
      </c>
      <c r="U334" s="77">
        <f t="shared" si="26"/>
        <v>864.41</v>
      </c>
      <c r="V334" s="72">
        <f t="shared" si="29"/>
        <v>-1239.71</v>
      </c>
      <c r="W334" s="69">
        <f>D_Emprunts!$U334-D_Emprunts!$V334</f>
        <v>2104.12</v>
      </c>
      <c r="X334" s="70">
        <f>X333-D_Emprunts!$W334</f>
        <v>-422336.43000000005</v>
      </c>
      <c r="Y334">
        <v>327</v>
      </c>
      <c r="Z334" t="str">
        <f t="shared" si="27"/>
        <v>Investissement</v>
      </c>
      <c r="AA334" t="str">
        <f t="shared" si="28"/>
        <v>travaux magasin</v>
      </c>
    </row>
    <row r="335" spans="20:27" x14ac:dyDescent="0.25">
      <c r="T335" s="71">
        <f t="shared" si="25"/>
        <v>53909</v>
      </c>
      <c r="U335" s="77">
        <f t="shared" si="26"/>
        <v>864.41</v>
      </c>
      <c r="V335" s="72">
        <f t="shared" si="29"/>
        <v>-1245.9100000000001</v>
      </c>
      <c r="W335" s="72">
        <f>D_Emprunts!$U335-D_Emprunts!$V335</f>
        <v>2110.3200000000002</v>
      </c>
      <c r="X335" s="73">
        <f>X334-D_Emprunts!$W335</f>
        <v>-424446.75000000006</v>
      </c>
      <c r="Y335">
        <v>328</v>
      </c>
      <c r="Z335" t="str">
        <f t="shared" si="27"/>
        <v>Investissement</v>
      </c>
      <c r="AA335" t="str">
        <f t="shared" si="28"/>
        <v>travaux magasin</v>
      </c>
    </row>
    <row r="336" spans="20:27" x14ac:dyDescent="0.25">
      <c r="T336" s="68">
        <f t="shared" si="25"/>
        <v>53940</v>
      </c>
      <c r="U336" s="77">
        <f t="shared" si="26"/>
        <v>864.41</v>
      </c>
      <c r="V336" s="72">
        <f t="shared" si="29"/>
        <v>-1252.1400000000001</v>
      </c>
      <c r="W336" s="69">
        <f>D_Emprunts!$U336-D_Emprunts!$V336</f>
        <v>2116.5500000000002</v>
      </c>
      <c r="X336" s="70">
        <f>X335-D_Emprunts!$W336</f>
        <v>-426563.30000000005</v>
      </c>
      <c r="Y336">
        <v>329</v>
      </c>
      <c r="Z336" t="str">
        <f t="shared" si="27"/>
        <v>Investissement</v>
      </c>
      <c r="AA336" t="str">
        <f t="shared" si="28"/>
        <v>travaux magasin</v>
      </c>
    </row>
    <row r="337" spans="20:27" x14ac:dyDescent="0.25">
      <c r="T337" s="71">
        <f t="shared" si="25"/>
        <v>53970</v>
      </c>
      <c r="U337" s="77">
        <f t="shared" si="26"/>
        <v>864.41</v>
      </c>
      <c r="V337" s="72">
        <f t="shared" si="29"/>
        <v>-1258.3800000000001</v>
      </c>
      <c r="W337" s="72">
        <f>D_Emprunts!$U337-D_Emprunts!$V337</f>
        <v>2122.79</v>
      </c>
      <c r="X337" s="73">
        <f>X336-D_Emprunts!$W337</f>
        <v>-428686.09</v>
      </c>
      <c r="Y337">
        <v>330</v>
      </c>
      <c r="Z337" t="str">
        <f t="shared" si="27"/>
        <v>Investissement</v>
      </c>
      <c r="AA337" t="str">
        <f t="shared" si="28"/>
        <v>travaux magasin</v>
      </c>
    </row>
    <row r="338" spans="20:27" x14ac:dyDescent="0.25">
      <c r="T338" s="68">
        <f t="shared" si="25"/>
        <v>54001</v>
      </c>
      <c r="U338" s="77">
        <f t="shared" si="26"/>
        <v>864.41</v>
      </c>
      <c r="V338" s="72">
        <f t="shared" si="29"/>
        <v>-1264.6500000000001</v>
      </c>
      <c r="W338" s="69">
        <f>D_Emprunts!$U338-D_Emprunts!$V338</f>
        <v>2129.06</v>
      </c>
      <c r="X338" s="70">
        <f>X337-D_Emprunts!$W338</f>
        <v>-430815.15</v>
      </c>
      <c r="Y338">
        <v>331</v>
      </c>
      <c r="Z338" t="str">
        <f t="shared" si="27"/>
        <v>Investissement</v>
      </c>
      <c r="AA338" t="str">
        <f t="shared" si="28"/>
        <v>travaux magasin</v>
      </c>
    </row>
    <row r="339" spans="20:27" x14ac:dyDescent="0.25">
      <c r="T339" s="71">
        <f t="shared" si="25"/>
        <v>54031</v>
      </c>
      <c r="U339" s="77">
        <f t="shared" si="26"/>
        <v>864.41</v>
      </c>
      <c r="V339" s="72">
        <f t="shared" si="29"/>
        <v>-1270.93</v>
      </c>
      <c r="W339" s="72">
        <f>D_Emprunts!$U339-D_Emprunts!$V339</f>
        <v>2135.34</v>
      </c>
      <c r="X339" s="73">
        <f>X338-D_Emprunts!$W339</f>
        <v>-432950.49000000005</v>
      </c>
      <c r="Y339">
        <v>332</v>
      </c>
      <c r="Z339" t="str">
        <f t="shared" si="27"/>
        <v>Investissement</v>
      </c>
      <c r="AA339" t="str">
        <f t="shared" si="28"/>
        <v>travaux magasin</v>
      </c>
    </row>
    <row r="340" spans="20:27" x14ac:dyDescent="0.25">
      <c r="T340" s="68">
        <f t="shared" si="25"/>
        <v>54062</v>
      </c>
      <c r="U340" s="77">
        <f t="shared" si="26"/>
        <v>864.41</v>
      </c>
      <c r="V340" s="72">
        <f t="shared" si="29"/>
        <v>-1277.23</v>
      </c>
      <c r="W340" s="69">
        <f>D_Emprunts!$U340-D_Emprunts!$V340</f>
        <v>2141.64</v>
      </c>
      <c r="X340" s="70">
        <f>X339-D_Emprunts!$W340</f>
        <v>-435092.13000000006</v>
      </c>
      <c r="Y340">
        <v>333</v>
      </c>
      <c r="Z340" t="str">
        <f t="shared" si="27"/>
        <v>Investissement</v>
      </c>
      <c r="AA340" t="str">
        <f t="shared" si="28"/>
        <v>travaux magasin</v>
      </c>
    </row>
    <row r="341" spans="20:27" x14ac:dyDescent="0.25">
      <c r="T341" s="71">
        <f t="shared" si="25"/>
        <v>54093</v>
      </c>
      <c r="U341" s="77">
        <f t="shared" si="26"/>
        <v>864.41</v>
      </c>
      <c r="V341" s="72">
        <f t="shared" si="29"/>
        <v>-1283.54</v>
      </c>
      <c r="W341" s="72">
        <f>D_Emprunts!$U341-D_Emprunts!$V341</f>
        <v>2147.9499999999998</v>
      </c>
      <c r="X341" s="73">
        <f>X340-D_Emprunts!$W341</f>
        <v>-437240.08000000007</v>
      </c>
      <c r="Y341">
        <v>334</v>
      </c>
      <c r="Z341" t="str">
        <f t="shared" si="27"/>
        <v>Investissement</v>
      </c>
      <c r="AA341" t="str">
        <f t="shared" si="28"/>
        <v>travaux magasin</v>
      </c>
    </row>
    <row r="342" spans="20:27" x14ac:dyDescent="0.25">
      <c r="T342" s="68">
        <f t="shared" si="25"/>
        <v>54122</v>
      </c>
      <c r="U342" s="77">
        <f t="shared" si="26"/>
        <v>864.41</v>
      </c>
      <c r="V342" s="72">
        <f t="shared" si="29"/>
        <v>-1289.8800000000001</v>
      </c>
      <c r="W342" s="69">
        <f>D_Emprunts!$U342-D_Emprunts!$V342</f>
        <v>2154.29</v>
      </c>
      <c r="X342" s="70">
        <f>X341-D_Emprunts!$W342</f>
        <v>-439394.37000000005</v>
      </c>
      <c r="Y342">
        <v>335</v>
      </c>
      <c r="Z342" t="str">
        <f t="shared" si="27"/>
        <v>Investissement</v>
      </c>
      <c r="AA342" t="str">
        <f t="shared" si="28"/>
        <v>travaux magasin</v>
      </c>
    </row>
    <row r="343" spans="20:27" x14ac:dyDescent="0.25">
      <c r="T343" s="71">
        <f t="shared" si="25"/>
        <v>54153</v>
      </c>
      <c r="U343" s="77">
        <f t="shared" si="26"/>
        <v>864.41</v>
      </c>
      <c r="V343" s="72">
        <f t="shared" si="29"/>
        <v>-1296.24</v>
      </c>
      <c r="W343" s="72">
        <f>D_Emprunts!$U343-D_Emprunts!$V343</f>
        <v>2160.65</v>
      </c>
      <c r="X343" s="73">
        <f>X342-D_Emprunts!$W343</f>
        <v>-441555.02000000008</v>
      </c>
      <c r="Y343">
        <v>336</v>
      </c>
      <c r="Z343" t="str">
        <f t="shared" si="27"/>
        <v>Investissement</v>
      </c>
      <c r="AA343" t="str">
        <f t="shared" si="28"/>
        <v>travaux magasin</v>
      </c>
    </row>
    <row r="344" spans="20:27" x14ac:dyDescent="0.25">
      <c r="T344" s="68">
        <f t="shared" si="25"/>
        <v>54183</v>
      </c>
      <c r="U344" s="77">
        <f t="shared" si="26"/>
        <v>864.41</v>
      </c>
      <c r="V344" s="72">
        <f t="shared" si="29"/>
        <v>-1302.6099999999999</v>
      </c>
      <c r="W344" s="69">
        <f>D_Emprunts!$U344-D_Emprunts!$V344</f>
        <v>2167.02</v>
      </c>
      <c r="X344" s="70">
        <f>X343-D_Emprunts!$W344</f>
        <v>-443722.0400000001</v>
      </c>
      <c r="Y344">
        <v>337</v>
      </c>
      <c r="Z344" t="str">
        <f t="shared" si="27"/>
        <v>Investissement</v>
      </c>
      <c r="AA344" t="str">
        <f t="shared" si="28"/>
        <v>travaux magasin</v>
      </c>
    </row>
    <row r="345" spans="20:27" x14ac:dyDescent="0.25">
      <c r="T345" s="71">
        <f t="shared" si="25"/>
        <v>54214</v>
      </c>
      <c r="U345" s="77">
        <f t="shared" si="26"/>
        <v>864.41</v>
      </c>
      <c r="V345" s="72">
        <f t="shared" si="29"/>
        <v>-1309</v>
      </c>
      <c r="W345" s="72">
        <f>D_Emprunts!$U345-D_Emprunts!$V345</f>
        <v>2173.41</v>
      </c>
      <c r="X345" s="73">
        <f>X344-D_Emprunts!$W345</f>
        <v>-445895.45000000007</v>
      </c>
      <c r="Y345">
        <v>338</v>
      </c>
      <c r="Z345" t="str">
        <f t="shared" si="27"/>
        <v>Investissement</v>
      </c>
      <c r="AA345" t="str">
        <f t="shared" si="28"/>
        <v>travaux magasin</v>
      </c>
    </row>
    <row r="346" spans="20:27" x14ac:dyDescent="0.25">
      <c r="T346" s="68">
        <f t="shared" si="25"/>
        <v>54244</v>
      </c>
      <c r="U346" s="77">
        <f t="shared" si="26"/>
        <v>864.41</v>
      </c>
      <c r="V346" s="72">
        <f t="shared" si="29"/>
        <v>-1315.41</v>
      </c>
      <c r="W346" s="69">
        <f>D_Emprunts!$U346-D_Emprunts!$V346</f>
        <v>2179.8200000000002</v>
      </c>
      <c r="X346" s="70">
        <f>X345-D_Emprunts!$W346</f>
        <v>-448075.27000000008</v>
      </c>
      <c r="Y346">
        <v>339</v>
      </c>
      <c r="Z346" t="str">
        <f t="shared" si="27"/>
        <v>Investissement</v>
      </c>
      <c r="AA346" t="str">
        <f t="shared" si="28"/>
        <v>travaux magasin</v>
      </c>
    </row>
    <row r="347" spans="20:27" x14ac:dyDescent="0.25">
      <c r="T347" s="71">
        <f t="shared" si="25"/>
        <v>54275</v>
      </c>
      <c r="U347" s="77">
        <f t="shared" si="26"/>
        <v>864.41</v>
      </c>
      <c r="V347" s="72">
        <f t="shared" si="29"/>
        <v>-1321.84</v>
      </c>
      <c r="W347" s="72">
        <f>D_Emprunts!$U347-D_Emprunts!$V347</f>
        <v>2186.25</v>
      </c>
      <c r="X347" s="73">
        <f>X346-D_Emprunts!$W347</f>
        <v>-450261.52000000008</v>
      </c>
      <c r="Y347">
        <v>340</v>
      </c>
      <c r="Z347" t="str">
        <f t="shared" si="27"/>
        <v>Investissement</v>
      </c>
      <c r="AA347" t="str">
        <f t="shared" si="28"/>
        <v>travaux magasin</v>
      </c>
    </row>
    <row r="348" spans="20:27" x14ac:dyDescent="0.25">
      <c r="T348" s="68">
        <f t="shared" si="25"/>
        <v>54306</v>
      </c>
      <c r="U348" s="77">
        <f t="shared" si="26"/>
        <v>864.41</v>
      </c>
      <c r="V348" s="72">
        <f t="shared" si="29"/>
        <v>-1328.29</v>
      </c>
      <c r="W348" s="69">
        <f>D_Emprunts!$U348-D_Emprunts!$V348</f>
        <v>2192.6999999999998</v>
      </c>
      <c r="X348" s="70">
        <f>X347-D_Emprunts!$W348</f>
        <v>-452454.22000000009</v>
      </c>
      <c r="Y348">
        <v>341</v>
      </c>
      <c r="Z348" t="str">
        <f t="shared" si="27"/>
        <v>Investissement</v>
      </c>
      <c r="AA348" t="str">
        <f t="shared" si="28"/>
        <v>travaux magasin</v>
      </c>
    </row>
    <row r="349" spans="20:27" x14ac:dyDescent="0.25">
      <c r="T349" s="71">
        <f t="shared" si="25"/>
        <v>54336</v>
      </c>
      <c r="U349" s="77">
        <f t="shared" si="26"/>
        <v>864.41</v>
      </c>
      <c r="V349" s="72">
        <f t="shared" si="29"/>
        <v>-1334.76</v>
      </c>
      <c r="W349" s="72">
        <f>D_Emprunts!$U349-D_Emprunts!$V349</f>
        <v>2199.17</v>
      </c>
      <c r="X349" s="73">
        <f>X348-D_Emprunts!$W349</f>
        <v>-454653.39000000007</v>
      </c>
      <c r="Y349">
        <v>342</v>
      </c>
      <c r="Z349" t="str">
        <f t="shared" si="27"/>
        <v>Investissement</v>
      </c>
      <c r="AA349" t="str">
        <f t="shared" si="28"/>
        <v>travaux magasin</v>
      </c>
    </row>
    <row r="350" spans="20:27" x14ac:dyDescent="0.25">
      <c r="T350" s="68">
        <f t="shared" si="25"/>
        <v>54367</v>
      </c>
      <c r="U350" s="77">
        <f t="shared" si="26"/>
        <v>864.41</v>
      </c>
      <c r="V350" s="72">
        <f t="shared" si="29"/>
        <v>-1341.25</v>
      </c>
      <c r="W350" s="69">
        <f>D_Emprunts!$U350-D_Emprunts!$V350</f>
        <v>2205.66</v>
      </c>
      <c r="X350" s="70">
        <f>X349-D_Emprunts!$W350</f>
        <v>-456859.05000000005</v>
      </c>
      <c r="Y350">
        <v>343</v>
      </c>
      <c r="Z350" t="str">
        <f t="shared" si="27"/>
        <v>Investissement</v>
      </c>
      <c r="AA350" t="str">
        <f t="shared" si="28"/>
        <v>travaux magasin</v>
      </c>
    </row>
    <row r="351" spans="20:27" x14ac:dyDescent="0.25">
      <c r="T351" s="71">
        <f t="shared" si="25"/>
        <v>54397</v>
      </c>
      <c r="U351" s="77">
        <f t="shared" si="26"/>
        <v>864.41</v>
      </c>
      <c r="V351" s="72">
        <f t="shared" si="29"/>
        <v>-1347.76</v>
      </c>
      <c r="W351" s="72">
        <f>D_Emprunts!$U351-D_Emprunts!$V351</f>
        <v>2212.17</v>
      </c>
      <c r="X351" s="73">
        <f>X350-D_Emprunts!$W351</f>
        <v>-459071.22000000003</v>
      </c>
      <c r="Y351">
        <v>344</v>
      </c>
      <c r="Z351" t="str">
        <f t="shared" si="27"/>
        <v>Investissement</v>
      </c>
      <c r="AA351" t="str">
        <f t="shared" si="28"/>
        <v>travaux magasin</v>
      </c>
    </row>
    <row r="352" spans="20:27" x14ac:dyDescent="0.25">
      <c r="T352" s="68">
        <f t="shared" si="25"/>
        <v>54428</v>
      </c>
      <c r="U352" s="77">
        <f t="shared" si="26"/>
        <v>864.41</v>
      </c>
      <c r="V352" s="72">
        <f t="shared" si="29"/>
        <v>-1354.28</v>
      </c>
      <c r="W352" s="69">
        <f>D_Emprunts!$U352-D_Emprunts!$V352</f>
        <v>2218.69</v>
      </c>
      <c r="X352" s="70">
        <f>X351-D_Emprunts!$W352</f>
        <v>-461289.91000000003</v>
      </c>
      <c r="Y352">
        <v>345</v>
      </c>
      <c r="Z352" t="str">
        <f t="shared" si="27"/>
        <v>Investissement</v>
      </c>
      <c r="AA352" t="str">
        <f t="shared" si="28"/>
        <v>travaux magasin</v>
      </c>
    </row>
    <row r="353" spans="20:27" x14ac:dyDescent="0.25">
      <c r="T353" s="71">
        <f t="shared" si="25"/>
        <v>54459</v>
      </c>
      <c r="U353" s="77">
        <f t="shared" si="26"/>
        <v>864.41</v>
      </c>
      <c r="V353" s="72">
        <f t="shared" si="29"/>
        <v>-1360.83</v>
      </c>
      <c r="W353" s="72">
        <f>D_Emprunts!$U353-D_Emprunts!$V353</f>
        <v>2225.2399999999998</v>
      </c>
      <c r="X353" s="73">
        <f>X352-D_Emprunts!$W353</f>
        <v>-463515.15</v>
      </c>
      <c r="Y353">
        <v>346</v>
      </c>
      <c r="Z353" t="str">
        <f t="shared" si="27"/>
        <v>Investissement</v>
      </c>
      <c r="AA353" t="str">
        <f t="shared" si="28"/>
        <v>travaux magasin</v>
      </c>
    </row>
    <row r="354" spans="20:27" x14ac:dyDescent="0.25">
      <c r="T354" s="68">
        <f t="shared" si="25"/>
        <v>54487</v>
      </c>
      <c r="U354" s="77">
        <f t="shared" si="26"/>
        <v>864.41</v>
      </c>
      <c r="V354" s="72">
        <f t="shared" si="29"/>
        <v>-1367.39</v>
      </c>
      <c r="W354" s="69">
        <f>D_Emprunts!$U354-D_Emprunts!$V354</f>
        <v>2231.8000000000002</v>
      </c>
      <c r="X354" s="70">
        <f>X353-D_Emprunts!$W354</f>
        <v>-465746.95</v>
      </c>
      <c r="Y354">
        <v>347</v>
      </c>
      <c r="Z354" t="str">
        <f t="shared" si="27"/>
        <v>Investissement</v>
      </c>
      <c r="AA354" t="str">
        <f t="shared" si="28"/>
        <v>travaux magasin</v>
      </c>
    </row>
    <row r="355" spans="20:27" x14ac:dyDescent="0.25">
      <c r="T355" s="71">
        <f t="shared" si="25"/>
        <v>54518</v>
      </c>
      <c r="U355" s="77">
        <f t="shared" si="26"/>
        <v>864.41</v>
      </c>
      <c r="V355" s="72">
        <f t="shared" si="29"/>
        <v>-1373.98</v>
      </c>
      <c r="W355" s="72">
        <f>D_Emprunts!$U355-D_Emprunts!$V355</f>
        <v>2238.39</v>
      </c>
      <c r="X355" s="73">
        <f>X354-D_Emprunts!$W355</f>
        <v>-467985.34</v>
      </c>
      <c r="Y355">
        <v>348</v>
      </c>
      <c r="Z355" t="str">
        <f t="shared" si="27"/>
        <v>Investissement</v>
      </c>
      <c r="AA355" t="str">
        <f t="shared" si="28"/>
        <v>travaux magasin</v>
      </c>
    </row>
    <row r="356" spans="20:27" x14ac:dyDescent="0.25">
      <c r="T356" s="68">
        <f t="shared" si="25"/>
        <v>54548</v>
      </c>
      <c r="U356" s="77">
        <f t="shared" si="26"/>
        <v>864.41</v>
      </c>
      <c r="V356" s="72">
        <f t="shared" si="29"/>
        <v>-1380.58</v>
      </c>
      <c r="W356" s="69">
        <f>D_Emprunts!$U356-D_Emprunts!$V356</f>
        <v>2244.9899999999998</v>
      </c>
      <c r="X356" s="70">
        <f>X355-D_Emprunts!$W356</f>
        <v>-470230.33</v>
      </c>
      <c r="Y356">
        <v>349</v>
      </c>
      <c r="Z356" t="str">
        <f t="shared" si="27"/>
        <v>Investissement</v>
      </c>
      <c r="AA356" t="str">
        <f t="shared" si="28"/>
        <v>travaux magasin</v>
      </c>
    </row>
    <row r="357" spans="20:27" x14ac:dyDescent="0.25">
      <c r="T357" s="71">
        <f t="shared" si="25"/>
        <v>54579</v>
      </c>
      <c r="U357" s="77">
        <f t="shared" si="26"/>
        <v>864.41</v>
      </c>
      <c r="V357" s="72">
        <f t="shared" si="29"/>
        <v>-1387.2</v>
      </c>
      <c r="W357" s="72">
        <f>D_Emprunts!$U357-D_Emprunts!$V357</f>
        <v>2251.61</v>
      </c>
      <c r="X357" s="73">
        <f>X356-D_Emprunts!$W357</f>
        <v>-472481.94</v>
      </c>
      <c r="Y357">
        <v>350</v>
      </c>
      <c r="Z357" t="str">
        <f t="shared" si="27"/>
        <v>Investissement</v>
      </c>
      <c r="AA357" t="str">
        <f t="shared" si="28"/>
        <v>travaux magasin</v>
      </c>
    </row>
    <row r="358" spans="20:27" x14ac:dyDescent="0.25">
      <c r="T358" s="68">
        <f t="shared" si="25"/>
        <v>54609</v>
      </c>
      <c r="U358" s="77">
        <f t="shared" si="26"/>
        <v>864.41</v>
      </c>
      <c r="V358" s="72">
        <f t="shared" si="29"/>
        <v>-1393.85</v>
      </c>
      <c r="W358" s="69">
        <f>D_Emprunts!$U358-D_Emprunts!$V358</f>
        <v>2258.2599999999998</v>
      </c>
      <c r="X358" s="70">
        <f>X357-D_Emprunts!$W358</f>
        <v>-474740.2</v>
      </c>
      <c r="Y358">
        <v>351</v>
      </c>
      <c r="Z358" t="str">
        <f t="shared" si="27"/>
        <v>Investissement</v>
      </c>
      <c r="AA358" t="str">
        <f t="shared" si="28"/>
        <v>travaux magasin</v>
      </c>
    </row>
    <row r="359" spans="20:27" x14ac:dyDescent="0.25">
      <c r="T359" s="71">
        <f t="shared" si="25"/>
        <v>54640</v>
      </c>
      <c r="U359" s="77">
        <f t="shared" si="26"/>
        <v>864.41</v>
      </c>
      <c r="V359" s="72">
        <f t="shared" si="29"/>
        <v>-1400.51</v>
      </c>
      <c r="W359" s="72">
        <f>D_Emprunts!$U359-D_Emprunts!$V359</f>
        <v>2264.92</v>
      </c>
      <c r="X359" s="73">
        <f>X358-D_Emprunts!$W359</f>
        <v>-477005.12</v>
      </c>
      <c r="Y359">
        <v>352</v>
      </c>
      <c r="Z359" t="str">
        <f t="shared" si="27"/>
        <v>Investissement</v>
      </c>
      <c r="AA359" t="str">
        <f t="shared" si="28"/>
        <v>travaux magasin</v>
      </c>
    </row>
    <row r="360" spans="20:27" x14ac:dyDescent="0.25">
      <c r="T360" s="68">
        <f t="shared" si="25"/>
        <v>54671</v>
      </c>
      <c r="U360" s="77">
        <f t="shared" si="26"/>
        <v>864.41</v>
      </c>
      <c r="V360" s="72">
        <f t="shared" si="29"/>
        <v>-1407.19</v>
      </c>
      <c r="W360" s="69">
        <f>D_Emprunts!$U360-D_Emprunts!$V360</f>
        <v>2271.6</v>
      </c>
      <c r="X360" s="70">
        <f>X359-D_Emprunts!$W360</f>
        <v>-479276.72</v>
      </c>
      <c r="Y360">
        <v>353</v>
      </c>
      <c r="Z360" t="str">
        <f t="shared" si="27"/>
        <v>Investissement</v>
      </c>
      <c r="AA360" t="str">
        <f t="shared" si="28"/>
        <v>travaux magasin</v>
      </c>
    </row>
    <row r="361" spans="20:27" x14ac:dyDescent="0.25">
      <c r="T361" s="71">
        <f t="shared" si="25"/>
        <v>54701</v>
      </c>
      <c r="U361" s="77">
        <f t="shared" si="26"/>
        <v>864.41</v>
      </c>
      <c r="V361" s="72">
        <f t="shared" si="29"/>
        <v>-1413.89</v>
      </c>
      <c r="W361" s="72">
        <f>D_Emprunts!$U361-D_Emprunts!$V361</f>
        <v>2278.3000000000002</v>
      </c>
      <c r="X361" s="73">
        <f>X360-D_Emprunts!$W361</f>
        <v>-481555.01999999996</v>
      </c>
      <c r="Y361">
        <v>354</v>
      </c>
      <c r="Z361" t="str">
        <f t="shared" si="27"/>
        <v>Investissement</v>
      </c>
      <c r="AA361" t="str">
        <f t="shared" si="28"/>
        <v>travaux magasin</v>
      </c>
    </row>
    <row r="362" spans="20:27" x14ac:dyDescent="0.25">
      <c r="T362" s="68">
        <f t="shared" si="25"/>
        <v>54732</v>
      </c>
      <c r="U362" s="77">
        <f t="shared" si="26"/>
        <v>864.41</v>
      </c>
      <c r="V362" s="72">
        <f t="shared" si="29"/>
        <v>-1420.61</v>
      </c>
      <c r="W362" s="69">
        <f>D_Emprunts!$U362-D_Emprunts!$V362</f>
        <v>2285.02</v>
      </c>
      <c r="X362" s="70">
        <f>X361-D_Emprunts!$W362</f>
        <v>-483840.04</v>
      </c>
      <c r="Y362">
        <v>355</v>
      </c>
      <c r="Z362" t="str">
        <f t="shared" si="27"/>
        <v>Investissement</v>
      </c>
      <c r="AA362" t="str">
        <f t="shared" si="28"/>
        <v>travaux magasin</v>
      </c>
    </row>
    <row r="363" spans="20:27" x14ac:dyDescent="0.25">
      <c r="T363" s="71">
        <f t="shared" si="25"/>
        <v>54762</v>
      </c>
      <c r="U363" s="77">
        <f t="shared" si="26"/>
        <v>864.41</v>
      </c>
      <c r="V363" s="72">
        <f t="shared" si="29"/>
        <v>-1427.35</v>
      </c>
      <c r="W363" s="72">
        <f>D_Emprunts!$U363-D_Emprunts!$V363</f>
        <v>2291.7599999999998</v>
      </c>
      <c r="X363" s="73">
        <f>X362-D_Emprunts!$W363</f>
        <v>-486131.8</v>
      </c>
      <c r="Y363">
        <v>356</v>
      </c>
      <c r="Z363" t="str">
        <f t="shared" si="27"/>
        <v>Investissement</v>
      </c>
      <c r="AA363" t="str">
        <f t="shared" si="28"/>
        <v>travaux magasin</v>
      </c>
    </row>
    <row r="364" spans="20:27" x14ac:dyDescent="0.25">
      <c r="T364" s="68">
        <f t="shared" si="25"/>
        <v>54793</v>
      </c>
      <c r="U364" s="77">
        <f t="shared" si="26"/>
        <v>864.41</v>
      </c>
      <c r="V364" s="72">
        <f t="shared" si="29"/>
        <v>-1434.11</v>
      </c>
      <c r="W364" s="69">
        <f>D_Emprunts!$U364-D_Emprunts!$V364</f>
        <v>2298.52</v>
      </c>
      <c r="X364" s="70">
        <f>X363-D_Emprunts!$W364</f>
        <v>-488430.32</v>
      </c>
      <c r="Y364">
        <v>357</v>
      </c>
      <c r="Z364" t="str">
        <f t="shared" si="27"/>
        <v>Investissement</v>
      </c>
      <c r="AA364" t="str">
        <f t="shared" si="28"/>
        <v>travaux magasin</v>
      </c>
    </row>
    <row r="365" spans="20:27" x14ac:dyDescent="0.25">
      <c r="T365" s="71">
        <f t="shared" si="25"/>
        <v>54824</v>
      </c>
      <c r="U365" s="77">
        <f t="shared" si="26"/>
        <v>864.41</v>
      </c>
      <c r="V365" s="72">
        <f t="shared" si="29"/>
        <v>-1440.89</v>
      </c>
      <c r="W365" s="72">
        <f>D_Emprunts!$U365-D_Emprunts!$V365</f>
        <v>2305.3000000000002</v>
      </c>
      <c r="X365" s="73">
        <f>X364-D_Emprunts!$W365</f>
        <v>-490735.62</v>
      </c>
      <c r="Y365">
        <v>358</v>
      </c>
      <c r="Z365" t="str">
        <f t="shared" si="27"/>
        <v>Investissement</v>
      </c>
      <c r="AA365" t="str">
        <f t="shared" si="28"/>
        <v>travaux magasin</v>
      </c>
    </row>
    <row r="366" spans="20:27" x14ac:dyDescent="0.25">
      <c r="T366" s="68">
        <f t="shared" si="25"/>
        <v>54852</v>
      </c>
      <c r="U366" s="77">
        <f t="shared" si="26"/>
        <v>864.41</v>
      </c>
      <c r="V366" s="72">
        <f t="shared" si="29"/>
        <v>-1447.7</v>
      </c>
      <c r="W366" s="69">
        <f>D_Emprunts!$U366-D_Emprunts!$V366</f>
        <v>2312.11</v>
      </c>
      <c r="X366" s="70">
        <f>X365-D_Emprunts!$W366</f>
        <v>-493047.73</v>
      </c>
      <c r="Y366">
        <v>359</v>
      </c>
      <c r="Z366" t="str">
        <f t="shared" si="27"/>
        <v>Investissement</v>
      </c>
      <c r="AA366" t="str">
        <f t="shared" si="28"/>
        <v>travaux magasin</v>
      </c>
    </row>
    <row r="367" spans="20:27" x14ac:dyDescent="0.25">
      <c r="T367" s="71">
        <f t="shared" si="25"/>
        <v>54883</v>
      </c>
      <c r="U367" s="77">
        <f t="shared" si="26"/>
        <v>864.41</v>
      </c>
      <c r="V367" s="72">
        <f t="shared" si="29"/>
        <v>-1454.52</v>
      </c>
      <c r="W367" s="72">
        <f>D_Emprunts!$U367-D_Emprunts!$V367</f>
        <v>2318.9299999999998</v>
      </c>
      <c r="X367" s="73">
        <f>X366-D_Emprunts!$W367</f>
        <v>-495366.66</v>
      </c>
      <c r="Y367">
        <v>360</v>
      </c>
      <c r="Z367" t="str">
        <f t="shared" si="27"/>
        <v>Investissement</v>
      </c>
      <c r="AA367" t="str">
        <f t="shared" si="28"/>
        <v>travaux magasin</v>
      </c>
    </row>
    <row r="368" spans="20:27" x14ac:dyDescent="0.25">
      <c r="T368" s="68">
        <f t="shared" si="25"/>
        <v>54913</v>
      </c>
      <c r="U368" s="77">
        <f t="shared" si="26"/>
        <v>864.41</v>
      </c>
      <c r="V368" s="72">
        <f t="shared" si="29"/>
        <v>-1461.36</v>
      </c>
      <c r="W368" s="69">
        <f>D_Emprunts!$U368-D_Emprunts!$V368</f>
        <v>2325.77</v>
      </c>
      <c r="X368" s="70">
        <f>X367-D_Emprunts!$W368</f>
        <v>-497692.43</v>
      </c>
      <c r="Y368">
        <v>361</v>
      </c>
      <c r="Z368" t="str">
        <f t="shared" si="27"/>
        <v>Investissement</v>
      </c>
      <c r="AA368" t="str">
        <f t="shared" si="28"/>
        <v>travaux magasin</v>
      </c>
    </row>
    <row r="369" spans="20:27" x14ac:dyDescent="0.25">
      <c r="T369" s="71">
        <f t="shared" si="25"/>
        <v>54944</v>
      </c>
      <c r="U369" s="77">
        <f t="shared" si="26"/>
        <v>864.41</v>
      </c>
      <c r="V369" s="72">
        <f t="shared" si="29"/>
        <v>-1468.22</v>
      </c>
      <c r="W369" s="72">
        <f>D_Emprunts!$U369-D_Emprunts!$V369</f>
        <v>2332.63</v>
      </c>
      <c r="X369" s="73">
        <f>X368-D_Emprunts!$W369</f>
        <v>-500025.06</v>
      </c>
      <c r="Y369">
        <v>362</v>
      </c>
      <c r="Z369" t="str">
        <f t="shared" si="27"/>
        <v>Investissement</v>
      </c>
      <c r="AA369" t="str">
        <f t="shared" si="28"/>
        <v>travaux magasin</v>
      </c>
    </row>
    <row r="370" spans="20:27" x14ac:dyDescent="0.25">
      <c r="T370" s="68">
        <f t="shared" si="25"/>
        <v>54974</v>
      </c>
      <c r="U370" s="77">
        <f t="shared" si="26"/>
        <v>864.41</v>
      </c>
      <c r="V370" s="72">
        <f t="shared" si="29"/>
        <v>-1475.1</v>
      </c>
      <c r="W370" s="69">
        <f>D_Emprunts!$U370-D_Emprunts!$V370</f>
        <v>2339.5099999999998</v>
      </c>
      <c r="X370" s="70">
        <f>X369-D_Emprunts!$W370</f>
        <v>-502364.57</v>
      </c>
      <c r="Y370">
        <v>363</v>
      </c>
      <c r="Z370" t="str">
        <f t="shared" si="27"/>
        <v>Investissement</v>
      </c>
      <c r="AA370" t="str">
        <f t="shared" si="28"/>
        <v>travaux magasin</v>
      </c>
    </row>
    <row r="371" spans="20:27" x14ac:dyDescent="0.25">
      <c r="T371" s="71">
        <f t="shared" si="25"/>
        <v>55005</v>
      </c>
      <c r="U371" s="77">
        <f t="shared" si="26"/>
        <v>864.41</v>
      </c>
      <c r="V371" s="72">
        <f t="shared" si="29"/>
        <v>-1482</v>
      </c>
      <c r="W371" s="72">
        <f>D_Emprunts!$U371-D_Emprunts!$V371</f>
        <v>2346.41</v>
      </c>
      <c r="X371" s="73">
        <f>X370-D_Emprunts!$W371</f>
        <v>-504710.98</v>
      </c>
      <c r="Y371">
        <v>364</v>
      </c>
      <c r="Z371" t="str">
        <f t="shared" si="27"/>
        <v>Investissement</v>
      </c>
      <c r="AA371" t="str">
        <f t="shared" si="28"/>
        <v>travaux magasin</v>
      </c>
    </row>
    <row r="372" spans="20:27" x14ac:dyDescent="0.25">
      <c r="T372" s="68">
        <f t="shared" si="25"/>
        <v>55036</v>
      </c>
      <c r="U372" s="77">
        <f t="shared" si="26"/>
        <v>864.41</v>
      </c>
      <c r="V372" s="72">
        <f t="shared" si="29"/>
        <v>-1488.92</v>
      </c>
      <c r="W372" s="69">
        <f>D_Emprunts!$U372-D_Emprunts!$V372</f>
        <v>2353.33</v>
      </c>
      <c r="X372" s="70">
        <f>X371-D_Emprunts!$W372</f>
        <v>-507064.31</v>
      </c>
      <c r="Y372">
        <v>365</v>
      </c>
      <c r="Z372" t="str">
        <f t="shared" si="27"/>
        <v>Investissement</v>
      </c>
      <c r="AA372" t="str">
        <f t="shared" si="28"/>
        <v>travaux magasin</v>
      </c>
    </row>
    <row r="373" spans="20:27" x14ac:dyDescent="0.25">
      <c r="T373" s="71">
        <f t="shared" si="25"/>
        <v>55066</v>
      </c>
      <c r="U373" s="77">
        <f t="shared" si="26"/>
        <v>864.41</v>
      </c>
      <c r="V373" s="72">
        <f t="shared" si="29"/>
        <v>-1495.87</v>
      </c>
      <c r="W373" s="72">
        <f>D_Emprunts!$U373-D_Emprunts!$V373</f>
        <v>2360.2799999999997</v>
      </c>
      <c r="X373" s="73">
        <f>X372-D_Emprunts!$W373</f>
        <v>-509424.59</v>
      </c>
      <c r="Y373">
        <v>366</v>
      </c>
      <c r="Z373" t="str">
        <f t="shared" si="27"/>
        <v>Investissement</v>
      </c>
      <c r="AA373" t="str">
        <f t="shared" si="28"/>
        <v>travaux magasin</v>
      </c>
    </row>
    <row r="374" spans="20:27" x14ac:dyDescent="0.25">
      <c r="T374" s="68">
        <f t="shared" si="25"/>
        <v>55097</v>
      </c>
      <c r="U374" s="77">
        <f t="shared" si="26"/>
        <v>864.41</v>
      </c>
      <c r="V374" s="72">
        <f t="shared" si="29"/>
        <v>-1502.83</v>
      </c>
      <c r="W374" s="69">
        <f>D_Emprunts!$U374-D_Emprunts!$V374</f>
        <v>2367.2399999999998</v>
      </c>
      <c r="X374" s="70">
        <f>X373-D_Emprunts!$W374</f>
        <v>-511791.83</v>
      </c>
      <c r="Y374">
        <v>367</v>
      </c>
      <c r="Z374" t="str">
        <f t="shared" si="27"/>
        <v>Investissement</v>
      </c>
      <c r="AA374" t="str">
        <f t="shared" si="28"/>
        <v>travaux magasin</v>
      </c>
    </row>
    <row r="375" spans="20:27" x14ac:dyDescent="0.25">
      <c r="T375" s="71">
        <f t="shared" si="25"/>
        <v>55127</v>
      </c>
      <c r="U375" s="77">
        <f t="shared" si="26"/>
        <v>864.41</v>
      </c>
      <c r="V375" s="72">
        <f t="shared" si="29"/>
        <v>-1509.81</v>
      </c>
      <c r="W375" s="72">
        <f>D_Emprunts!$U375-D_Emprunts!$V375</f>
        <v>2374.2199999999998</v>
      </c>
      <c r="X375" s="73">
        <f>X374-D_Emprunts!$W375</f>
        <v>-514166.05</v>
      </c>
      <c r="Y375">
        <v>368</v>
      </c>
      <c r="Z375" t="str">
        <f t="shared" si="27"/>
        <v>Investissement</v>
      </c>
      <c r="AA375" t="str">
        <f t="shared" si="28"/>
        <v>travaux magasin</v>
      </c>
    </row>
    <row r="376" spans="20:27" x14ac:dyDescent="0.25">
      <c r="T376" s="68">
        <f t="shared" si="25"/>
        <v>55158</v>
      </c>
      <c r="U376" s="77">
        <f t="shared" si="26"/>
        <v>864.41</v>
      </c>
      <c r="V376" s="72">
        <f t="shared" si="29"/>
        <v>-1516.82</v>
      </c>
      <c r="W376" s="69">
        <f>D_Emprunts!$U376-D_Emprunts!$V376</f>
        <v>2381.23</v>
      </c>
      <c r="X376" s="70">
        <f>X375-D_Emprunts!$W376</f>
        <v>-516547.27999999997</v>
      </c>
      <c r="Y376">
        <v>369</v>
      </c>
      <c r="Z376" t="str">
        <f t="shared" si="27"/>
        <v>Investissement</v>
      </c>
      <c r="AA376" t="str">
        <f t="shared" si="28"/>
        <v>travaux magasin</v>
      </c>
    </row>
    <row r="377" spans="20:27" x14ac:dyDescent="0.25">
      <c r="T377" s="71">
        <f t="shared" si="25"/>
        <v>55189</v>
      </c>
      <c r="U377" s="77">
        <f t="shared" si="26"/>
        <v>864.41</v>
      </c>
      <c r="V377" s="72">
        <f t="shared" si="29"/>
        <v>-1523.84</v>
      </c>
      <c r="W377" s="72">
        <f>D_Emprunts!$U377-D_Emprunts!$V377</f>
        <v>2388.25</v>
      </c>
      <c r="X377" s="73">
        <f>X376-D_Emprunts!$W377</f>
        <v>-518935.52999999997</v>
      </c>
      <c r="Y377">
        <v>370</v>
      </c>
      <c r="Z377" t="str">
        <f t="shared" si="27"/>
        <v>Investissement</v>
      </c>
      <c r="AA377" t="str">
        <f t="shared" si="28"/>
        <v>travaux magasin</v>
      </c>
    </row>
    <row r="378" spans="20:27" x14ac:dyDescent="0.25">
      <c r="T378" s="68">
        <f t="shared" si="25"/>
        <v>55217</v>
      </c>
      <c r="U378" s="77">
        <f t="shared" si="26"/>
        <v>864.41</v>
      </c>
      <c r="V378" s="72">
        <f t="shared" si="29"/>
        <v>-1530.89</v>
      </c>
      <c r="W378" s="69">
        <f>D_Emprunts!$U378-D_Emprunts!$V378</f>
        <v>2395.3000000000002</v>
      </c>
      <c r="X378" s="70">
        <f>X377-D_Emprunts!$W378</f>
        <v>-521330.82999999996</v>
      </c>
      <c r="Y378">
        <v>371</v>
      </c>
      <c r="Z378" t="str">
        <f t="shared" si="27"/>
        <v>Investissement</v>
      </c>
      <c r="AA378" t="str">
        <f t="shared" si="28"/>
        <v>travaux magasin</v>
      </c>
    </row>
    <row r="379" spans="20:27" x14ac:dyDescent="0.25">
      <c r="T379" s="71">
        <f t="shared" si="25"/>
        <v>55248</v>
      </c>
      <c r="U379" s="77">
        <f t="shared" si="26"/>
        <v>864.41</v>
      </c>
      <c r="V379" s="72">
        <f t="shared" si="29"/>
        <v>-1537.95</v>
      </c>
      <c r="W379" s="72">
        <f>D_Emprunts!$U379-D_Emprunts!$V379</f>
        <v>2402.36</v>
      </c>
      <c r="X379" s="73">
        <f>X378-D_Emprunts!$W379</f>
        <v>-523733.18999999994</v>
      </c>
      <c r="Y379">
        <v>372</v>
      </c>
      <c r="Z379" t="str">
        <f t="shared" si="27"/>
        <v>Investissement</v>
      </c>
      <c r="AA379" t="str">
        <f t="shared" si="28"/>
        <v>travaux magasin</v>
      </c>
    </row>
    <row r="380" spans="20:27" x14ac:dyDescent="0.25">
      <c r="T380" s="68">
        <f t="shared" si="25"/>
        <v>55278</v>
      </c>
      <c r="U380" s="77">
        <f t="shared" si="26"/>
        <v>864.41</v>
      </c>
      <c r="V380" s="72">
        <f t="shared" si="29"/>
        <v>-1545.04</v>
      </c>
      <c r="W380" s="69">
        <f>D_Emprunts!$U380-D_Emprunts!$V380</f>
        <v>2409.4499999999998</v>
      </c>
      <c r="X380" s="70">
        <f>X379-D_Emprunts!$W380</f>
        <v>-526142.6399999999</v>
      </c>
      <c r="Y380">
        <v>373</v>
      </c>
      <c r="Z380" t="str">
        <f t="shared" si="27"/>
        <v>Investissement</v>
      </c>
      <c r="AA380" t="str">
        <f t="shared" si="28"/>
        <v>travaux magasin</v>
      </c>
    </row>
    <row r="381" spans="20:27" x14ac:dyDescent="0.25">
      <c r="T381" s="71">
        <f t="shared" si="25"/>
        <v>55309</v>
      </c>
      <c r="U381" s="77">
        <f t="shared" si="26"/>
        <v>864.41</v>
      </c>
      <c r="V381" s="72">
        <f t="shared" si="29"/>
        <v>-1552.15</v>
      </c>
      <c r="W381" s="72">
        <f>D_Emprunts!$U381-D_Emprunts!$V381</f>
        <v>2416.56</v>
      </c>
      <c r="X381" s="73">
        <f>X380-D_Emprunts!$W381</f>
        <v>-528559.19999999995</v>
      </c>
      <c r="Y381">
        <v>374</v>
      </c>
      <c r="Z381" t="str">
        <f t="shared" si="27"/>
        <v>Investissement</v>
      </c>
      <c r="AA381" t="str">
        <f t="shared" si="28"/>
        <v>travaux magasin</v>
      </c>
    </row>
    <row r="382" spans="20:27" x14ac:dyDescent="0.25">
      <c r="T382" s="68">
        <f t="shared" si="25"/>
        <v>55339</v>
      </c>
      <c r="U382" s="77">
        <f t="shared" si="26"/>
        <v>864.41</v>
      </c>
      <c r="V382" s="72">
        <f t="shared" si="29"/>
        <v>-1559.28</v>
      </c>
      <c r="W382" s="69">
        <f>D_Emprunts!$U382-D_Emprunts!$V382</f>
        <v>2423.69</v>
      </c>
      <c r="X382" s="70">
        <f>X381-D_Emprunts!$W382</f>
        <v>-530982.8899999999</v>
      </c>
      <c r="Y382">
        <v>375</v>
      </c>
      <c r="Z382" t="str">
        <f t="shared" si="27"/>
        <v>Investissement</v>
      </c>
      <c r="AA382" t="str">
        <f t="shared" si="28"/>
        <v>travaux magasin</v>
      </c>
    </row>
    <row r="383" spans="20:27" x14ac:dyDescent="0.25">
      <c r="T383" s="71">
        <f t="shared" si="25"/>
        <v>55370</v>
      </c>
      <c r="U383" s="77">
        <f t="shared" si="26"/>
        <v>864.41</v>
      </c>
      <c r="V383" s="72">
        <f t="shared" si="29"/>
        <v>-1566.43</v>
      </c>
      <c r="W383" s="72">
        <f>D_Emprunts!$U383-D_Emprunts!$V383</f>
        <v>2430.84</v>
      </c>
      <c r="X383" s="73">
        <f>X382-D_Emprunts!$W383</f>
        <v>-533413.72999999986</v>
      </c>
      <c r="Y383">
        <v>376</v>
      </c>
      <c r="Z383" t="str">
        <f t="shared" si="27"/>
        <v>Investissement</v>
      </c>
      <c r="AA383" t="str">
        <f t="shared" si="28"/>
        <v>travaux magasin</v>
      </c>
    </row>
    <row r="384" spans="20:27" x14ac:dyDescent="0.25">
      <c r="T384" s="68">
        <f t="shared" si="25"/>
        <v>55401</v>
      </c>
      <c r="U384" s="77">
        <f t="shared" si="26"/>
        <v>864.41</v>
      </c>
      <c r="V384" s="72">
        <f t="shared" si="29"/>
        <v>-1573.6</v>
      </c>
      <c r="W384" s="69">
        <f>D_Emprunts!$U384-D_Emprunts!$V384</f>
        <v>2438.0099999999998</v>
      </c>
      <c r="X384" s="70">
        <f>X383-D_Emprunts!$W384</f>
        <v>-535851.73999999987</v>
      </c>
      <c r="Y384">
        <v>377</v>
      </c>
      <c r="Z384" t="str">
        <f t="shared" si="27"/>
        <v>Investissement</v>
      </c>
      <c r="AA384" t="str">
        <f t="shared" si="28"/>
        <v>travaux magasin</v>
      </c>
    </row>
    <row r="385" spans="20:27" x14ac:dyDescent="0.25">
      <c r="T385" s="71">
        <f t="shared" si="25"/>
        <v>55431</v>
      </c>
      <c r="U385" s="77">
        <f t="shared" si="26"/>
        <v>864.41</v>
      </c>
      <c r="V385" s="72">
        <f t="shared" si="29"/>
        <v>-1580.79</v>
      </c>
      <c r="W385" s="72">
        <f>D_Emprunts!$U385-D_Emprunts!$V385</f>
        <v>2445.1999999999998</v>
      </c>
      <c r="X385" s="73">
        <f>X384-D_Emprunts!$W385</f>
        <v>-538296.93999999983</v>
      </c>
      <c r="Y385">
        <v>378</v>
      </c>
      <c r="Z385" t="str">
        <f t="shared" si="27"/>
        <v>Investissement</v>
      </c>
      <c r="AA385" t="str">
        <f t="shared" si="28"/>
        <v>travaux magasin</v>
      </c>
    </row>
    <row r="386" spans="20:27" x14ac:dyDescent="0.25">
      <c r="T386" s="68">
        <f t="shared" si="25"/>
        <v>55462</v>
      </c>
      <c r="U386" s="77">
        <f t="shared" si="26"/>
        <v>864.41</v>
      </c>
      <c r="V386" s="72">
        <f t="shared" si="29"/>
        <v>-1588</v>
      </c>
      <c r="W386" s="69">
        <f>D_Emprunts!$U386-D_Emprunts!$V386</f>
        <v>2452.41</v>
      </c>
      <c r="X386" s="70">
        <f>X385-D_Emprunts!$W386</f>
        <v>-540749.34999999986</v>
      </c>
      <c r="Y386">
        <v>379</v>
      </c>
      <c r="Z386" t="str">
        <f t="shared" si="27"/>
        <v>Investissement</v>
      </c>
      <c r="AA386" t="str">
        <f t="shared" si="28"/>
        <v>travaux magasin</v>
      </c>
    </row>
    <row r="387" spans="20:27" x14ac:dyDescent="0.25">
      <c r="T387" s="71">
        <f t="shared" si="25"/>
        <v>55492</v>
      </c>
      <c r="U387" s="77">
        <f t="shared" si="26"/>
        <v>864.41</v>
      </c>
      <c r="V387" s="72">
        <f t="shared" si="29"/>
        <v>-1595.24</v>
      </c>
      <c r="W387" s="72">
        <f>D_Emprunts!$U387-D_Emprunts!$V387</f>
        <v>2459.65</v>
      </c>
      <c r="X387" s="73">
        <f>X386-D_Emprunts!$W387</f>
        <v>-543208.99999999988</v>
      </c>
      <c r="Y387">
        <v>380</v>
      </c>
      <c r="Z387" t="str">
        <f t="shared" si="27"/>
        <v>Investissement</v>
      </c>
      <c r="AA387" t="str">
        <f t="shared" si="28"/>
        <v>travaux magasin</v>
      </c>
    </row>
    <row r="388" spans="20:27" x14ac:dyDescent="0.25">
      <c r="T388" s="68">
        <f t="shared" si="25"/>
        <v>55523</v>
      </c>
      <c r="U388" s="77">
        <f t="shared" si="26"/>
        <v>864.41</v>
      </c>
      <c r="V388" s="72">
        <f t="shared" si="29"/>
        <v>-1602.49</v>
      </c>
      <c r="W388" s="69">
        <f>D_Emprunts!$U388-D_Emprunts!$V388</f>
        <v>2466.9</v>
      </c>
      <c r="X388" s="70">
        <f>X387-D_Emprunts!$W388</f>
        <v>-545675.89999999991</v>
      </c>
      <c r="Y388">
        <v>381</v>
      </c>
      <c r="Z388" t="str">
        <f t="shared" si="27"/>
        <v>Investissement</v>
      </c>
      <c r="AA388" t="str">
        <f t="shared" si="28"/>
        <v>travaux magasin</v>
      </c>
    </row>
    <row r="389" spans="20:27" x14ac:dyDescent="0.25">
      <c r="T389" s="71">
        <f t="shared" si="25"/>
        <v>55554</v>
      </c>
      <c r="U389" s="77">
        <f t="shared" si="26"/>
        <v>864.41</v>
      </c>
      <c r="V389" s="72">
        <f t="shared" si="29"/>
        <v>-1609.77</v>
      </c>
      <c r="W389" s="72">
        <f>D_Emprunts!$U389-D_Emprunts!$V389</f>
        <v>2474.1799999999998</v>
      </c>
      <c r="X389" s="73">
        <f>X388-D_Emprunts!$W389</f>
        <v>-548150.07999999996</v>
      </c>
      <c r="Y389">
        <v>382</v>
      </c>
      <c r="Z389" t="str">
        <f t="shared" si="27"/>
        <v>Investissement</v>
      </c>
      <c r="AA389" t="str">
        <f t="shared" si="28"/>
        <v>travaux magasin</v>
      </c>
    </row>
    <row r="390" spans="20:27" x14ac:dyDescent="0.25">
      <c r="T390" s="68">
        <f t="shared" si="25"/>
        <v>55583</v>
      </c>
      <c r="U390" s="77">
        <f t="shared" si="26"/>
        <v>864.41</v>
      </c>
      <c r="V390" s="72">
        <f t="shared" si="29"/>
        <v>-1617.07</v>
      </c>
      <c r="W390" s="69">
        <f>D_Emprunts!$U390-D_Emprunts!$V390</f>
        <v>2481.48</v>
      </c>
      <c r="X390" s="70">
        <f>X389-D_Emprunts!$W390</f>
        <v>-550631.55999999994</v>
      </c>
      <c r="Y390">
        <v>383</v>
      </c>
      <c r="Z390" t="str">
        <f t="shared" si="27"/>
        <v>Investissement</v>
      </c>
      <c r="AA390" t="str">
        <f t="shared" si="28"/>
        <v>travaux magasin</v>
      </c>
    </row>
    <row r="391" spans="20:27" x14ac:dyDescent="0.25">
      <c r="T391" s="71">
        <f t="shared" si="25"/>
        <v>55614</v>
      </c>
      <c r="U391" s="77">
        <f t="shared" si="26"/>
        <v>864.41</v>
      </c>
      <c r="V391" s="72">
        <f t="shared" si="29"/>
        <v>-1624.39</v>
      </c>
      <c r="W391" s="72">
        <f>D_Emprunts!$U391-D_Emprunts!$V391</f>
        <v>2488.8000000000002</v>
      </c>
      <c r="X391" s="73">
        <f>X390-D_Emprunts!$W391</f>
        <v>-553120.36</v>
      </c>
      <c r="Y391">
        <v>384</v>
      </c>
      <c r="Z391" t="str">
        <f t="shared" si="27"/>
        <v>Investissement</v>
      </c>
      <c r="AA391" t="str">
        <f t="shared" si="28"/>
        <v>travaux magasin</v>
      </c>
    </row>
    <row r="392" spans="20:27" x14ac:dyDescent="0.25">
      <c r="T392" s="68">
        <f t="shared" ref="T392:T455" si="30">EDATE(T391,1)</f>
        <v>55644</v>
      </c>
      <c r="U392" s="77">
        <f t="shared" si="26"/>
        <v>864.41</v>
      </c>
      <c r="V392" s="72">
        <f t="shared" si="29"/>
        <v>-1631.73</v>
      </c>
      <c r="W392" s="69">
        <f>D_Emprunts!$U392-D_Emprunts!$V392</f>
        <v>2496.14</v>
      </c>
      <c r="X392" s="70">
        <f>X391-D_Emprunts!$W392</f>
        <v>-555616.5</v>
      </c>
      <c r="Y392">
        <v>385</v>
      </c>
      <c r="Z392" t="str">
        <f t="shared" si="27"/>
        <v>Investissement</v>
      </c>
      <c r="AA392" t="str">
        <f t="shared" si="28"/>
        <v>travaux magasin</v>
      </c>
    </row>
    <row r="393" spans="20:27" x14ac:dyDescent="0.25">
      <c r="T393" s="71">
        <f t="shared" si="30"/>
        <v>55675</v>
      </c>
      <c r="U393" s="77">
        <f t="shared" ref="U393:U456" si="31">$X$4</f>
        <v>864.41</v>
      </c>
      <c r="V393" s="72">
        <f t="shared" si="29"/>
        <v>-1639.1</v>
      </c>
      <c r="W393" s="72">
        <f>D_Emprunts!$U393-D_Emprunts!$V393</f>
        <v>2503.5099999999998</v>
      </c>
      <c r="X393" s="73">
        <f>X392-D_Emprunts!$W393</f>
        <v>-558120.01</v>
      </c>
      <c r="Y393">
        <v>386</v>
      </c>
      <c r="Z393" t="str">
        <f t="shared" ref="Z393:Z456" si="32">$Y$4</f>
        <v>Investissement</v>
      </c>
      <c r="AA393" t="str">
        <f t="shared" ref="AA393:AA456" si="33">$Z$4</f>
        <v>travaux magasin</v>
      </c>
    </row>
    <row r="394" spans="20:27" x14ac:dyDescent="0.25">
      <c r="T394" s="68">
        <f t="shared" si="30"/>
        <v>55705</v>
      </c>
      <c r="U394" s="77">
        <f t="shared" si="31"/>
        <v>864.41</v>
      </c>
      <c r="V394" s="72">
        <f t="shared" ref="V394:V457" si="34">ROUND(X393*$V$4/12,2)</f>
        <v>-1646.48</v>
      </c>
      <c r="W394" s="69">
        <f>D_Emprunts!$U394-D_Emprunts!$V394</f>
        <v>2510.89</v>
      </c>
      <c r="X394" s="70">
        <f>X393-D_Emprunts!$W394</f>
        <v>-560630.9</v>
      </c>
      <c r="Y394">
        <v>387</v>
      </c>
      <c r="Z394" t="str">
        <f t="shared" si="32"/>
        <v>Investissement</v>
      </c>
      <c r="AA394" t="str">
        <f t="shared" si="33"/>
        <v>travaux magasin</v>
      </c>
    </row>
    <row r="395" spans="20:27" x14ac:dyDescent="0.25">
      <c r="T395" s="71">
        <f t="shared" si="30"/>
        <v>55736</v>
      </c>
      <c r="U395" s="77">
        <f t="shared" si="31"/>
        <v>864.41</v>
      </c>
      <c r="V395" s="72">
        <f t="shared" si="34"/>
        <v>-1653.89</v>
      </c>
      <c r="W395" s="72">
        <f>D_Emprunts!$U395-D_Emprunts!$V395</f>
        <v>2518.3000000000002</v>
      </c>
      <c r="X395" s="73">
        <f>X394-D_Emprunts!$W395</f>
        <v>-563149.20000000007</v>
      </c>
      <c r="Y395">
        <v>388</v>
      </c>
      <c r="Z395" t="str">
        <f t="shared" si="32"/>
        <v>Investissement</v>
      </c>
      <c r="AA395" t="str">
        <f t="shared" si="33"/>
        <v>travaux magasin</v>
      </c>
    </row>
    <row r="396" spans="20:27" x14ac:dyDescent="0.25">
      <c r="T396" s="68">
        <f t="shared" si="30"/>
        <v>55767</v>
      </c>
      <c r="U396" s="77">
        <f t="shared" si="31"/>
        <v>864.41</v>
      </c>
      <c r="V396" s="72">
        <f t="shared" si="34"/>
        <v>-1661.32</v>
      </c>
      <c r="W396" s="69">
        <f>D_Emprunts!$U396-D_Emprunts!$V396</f>
        <v>2525.73</v>
      </c>
      <c r="X396" s="70">
        <f>X395-D_Emprunts!$W396</f>
        <v>-565674.93000000005</v>
      </c>
      <c r="Y396">
        <v>389</v>
      </c>
      <c r="Z396" t="str">
        <f t="shared" si="32"/>
        <v>Investissement</v>
      </c>
      <c r="AA396" t="str">
        <f t="shared" si="33"/>
        <v>travaux magasin</v>
      </c>
    </row>
    <row r="397" spans="20:27" x14ac:dyDescent="0.25">
      <c r="T397" s="71">
        <f t="shared" si="30"/>
        <v>55797</v>
      </c>
      <c r="U397" s="77">
        <f t="shared" si="31"/>
        <v>864.41</v>
      </c>
      <c r="V397" s="72">
        <f t="shared" si="34"/>
        <v>-1668.77</v>
      </c>
      <c r="W397" s="72">
        <f>D_Emprunts!$U397-D_Emprunts!$V397</f>
        <v>2533.1799999999998</v>
      </c>
      <c r="X397" s="73">
        <f>X396-D_Emprunts!$W397</f>
        <v>-568208.1100000001</v>
      </c>
      <c r="Y397">
        <v>390</v>
      </c>
      <c r="Z397" t="str">
        <f t="shared" si="32"/>
        <v>Investissement</v>
      </c>
      <c r="AA397" t="str">
        <f t="shared" si="33"/>
        <v>travaux magasin</v>
      </c>
    </row>
    <row r="398" spans="20:27" x14ac:dyDescent="0.25">
      <c r="T398" s="68">
        <f t="shared" si="30"/>
        <v>55828</v>
      </c>
      <c r="U398" s="77">
        <f t="shared" si="31"/>
        <v>864.41</v>
      </c>
      <c r="V398" s="72">
        <f t="shared" si="34"/>
        <v>-1676.24</v>
      </c>
      <c r="W398" s="69">
        <f>D_Emprunts!$U398-D_Emprunts!$V398</f>
        <v>2540.65</v>
      </c>
      <c r="X398" s="70">
        <f>X397-D_Emprunts!$W398</f>
        <v>-570748.76000000013</v>
      </c>
      <c r="Y398">
        <v>391</v>
      </c>
      <c r="Z398" t="str">
        <f t="shared" si="32"/>
        <v>Investissement</v>
      </c>
      <c r="AA398" t="str">
        <f t="shared" si="33"/>
        <v>travaux magasin</v>
      </c>
    </row>
    <row r="399" spans="20:27" x14ac:dyDescent="0.25">
      <c r="T399" s="71">
        <f t="shared" si="30"/>
        <v>55858</v>
      </c>
      <c r="U399" s="77">
        <f t="shared" si="31"/>
        <v>864.41</v>
      </c>
      <c r="V399" s="72">
        <f t="shared" si="34"/>
        <v>-1683.74</v>
      </c>
      <c r="W399" s="72">
        <f>D_Emprunts!$U399-D_Emprunts!$V399</f>
        <v>2548.15</v>
      </c>
      <c r="X399" s="73">
        <f>X398-D_Emprunts!$W399</f>
        <v>-573296.91000000015</v>
      </c>
      <c r="Y399">
        <v>392</v>
      </c>
      <c r="Z399" t="str">
        <f t="shared" si="32"/>
        <v>Investissement</v>
      </c>
      <c r="AA399" t="str">
        <f t="shared" si="33"/>
        <v>travaux magasin</v>
      </c>
    </row>
    <row r="400" spans="20:27" x14ac:dyDescent="0.25">
      <c r="T400" s="68">
        <f t="shared" si="30"/>
        <v>55889</v>
      </c>
      <c r="U400" s="77">
        <f t="shared" si="31"/>
        <v>864.41</v>
      </c>
      <c r="V400" s="72">
        <f t="shared" si="34"/>
        <v>-1691.26</v>
      </c>
      <c r="W400" s="69">
        <f>D_Emprunts!$U400-D_Emprunts!$V400</f>
        <v>2555.67</v>
      </c>
      <c r="X400" s="70">
        <f>X399-D_Emprunts!$W400</f>
        <v>-575852.58000000019</v>
      </c>
      <c r="Y400">
        <v>393</v>
      </c>
      <c r="Z400" t="str">
        <f t="shared" si="32"/>
        <v>Investissement</v>
      </c>
      <c r="AA400" t="str">
        <f t="shared" si="33"/>
        <v>travaux magasin</v>
      </c>
    </row>
    <row r="401" spans="20:27" x14ac:dyDescent="0.25">
      <c r="T401" s="71">
        <f t="shared" si="30"/>
        <v>55920</v>
      </c>
      <c r="U401" s="77">
        <f t="shared" si="31"/>
        <v>864.41</v>
      </c>
      <c r="V401" s="72">
        <f t="shared" si="34"/>
        <v>-1698.79</v>
      </c>
      <c r="W401" s="72">
        <f>D_Emprunts!$U401-D_Emprunts!$V401</f>
        <v>2563.1999999999998</v>
      </c>
      <c r="X401" s="73">
        <f>X400-D_Emprunts!$W401</f>
        <v>-578415.78000000014</v>
      </c>
      <c r="Y401">
        <v>394</v>
      </c>
      <c r="Z401" t="str">
        <f t="shared" si="32"/>
        <v>Investissement</v>
      </c>
      <c r="AA401" t="str">
        <f t="shared" si="33"/>
        <v>travaux magasin</v>
      </c>
    </row>
    <row r="402" spans="20:27" x14ac:dyDescent="0.25">
      <c r="T402" s="68">
        <f t="shared" si="30"/>
        <v>55948</v>
      </c>
      <c r="U402" s="77">
        <f t="shared" si="31"/>
        <v>864.41</v>
      </c>
      <c r="V402" s="72">
        <f t="shared" si="34"/>
        <v>-1706.36</v>
      </c>
      <c r="W402" s="69">
        <f>D_Emprunts!$U402-D_Emprunts!$V402</f>
        <v>2570.77</v>
      </c>
      <c r="X402" s="70">
        <f>X401-D_Emprunts!$W402</f>
        <v>-580986.55000000016</v>
      </c>
      <c r="Y402">
        <v>395</v>
      </c>
      <c r="Z402" t="str">
        <f t="shared" si="32"/>
        <v>Investissement</v>
      </c>
      <c r="AA402" t="str">
        <f t="shared" si="33"/>
        <v>travaux magasin</v>
      </c>
    </row>
    <row r="403" spans="20:27" x14ac:dyDescent="0.25">
      <c r="T403" s="71">
        <f t="shared" si="30"/>
        <v>55979</v>
      </c>
      <c r="U403" s="77">
        <f t="shared" si="31"/>
        <v>864.41</v>
      </c>
      <c r="V403" s="72">
        <f t="shared" si="34"/>
        <v>-1713.94</v>
      </c>
      <c r="W403" s="72">
        <f>D_Emprunts!$U403-D_Emprunts!$V403</f>
        <v>2578.35</v>
      </c>
      <c r="X403" s="73">
        <f>X402-D_Emprunts!$W403</f>
        <v>-583564.90000000014</v>
      </c>
      <c r="Y403">
        <v>396</v>
      </c>
      <c r="Z403" t="str">
        <f t="shared" si="32"/>
        <v>Investissement</v>
      </c>
      <c r="AA403" t="str">
        <f t="shared" si="33"/>
        <v>travaux magasin</v>
      </c>
    </row>
    <row r="404" spans="20:27" x14ac:dyDescent="0.25">
      <c r="T404" s="68">
        <f t="shared" si="30"/>
        <v>56009</v>
      </c>
      <c r="U404" s="77">
        <f t="shared" si="31"/>
        <v>864.41</v>
      </c>
      <c r="V404" s="72">
        <f t="shared" si="34"/>
        <v>-1721.55</v>
      </c>
      <c r="W404" s="69">
        <f>D_Emprunts!$U404-D_Emprunts!$V404</f>
        <v>2585.96</v>
      </c>
      <c r="X404" s="70">
        <f>X403-D_Emprunts!$W404</f>
        <v>-586150.8600000001</v>
      </c>
      <c r="Y404">
        <v>397</v>
      </c>
      <c r="Z404" t="str">
        <f t="shared" si="32"/>
        <v>Investissement</v>
      </c>
      <c r="AA404" t="str">
        <f t="shared" si="33"/>
        <v>travaux magasin</v>
      </c>
    </row>
    <row r="405" spans="20:27" x14ac:dyDescent="0.25">
      <c r="T405" s="71">
        <f t="shared" si="30"/>
        <v>56040</v>
      </c>
      <c r="U405" s="77">
        <f t="shared" si="31"/>
        <v>864.41</v>
      </c>
      <c r="V405" s="72">
        <f t="shared" si="34"/>
        <v>-1729.18</v>
      </c>
      <c r="W405" s="72">
        <f>D_Emprunts!$U405-D_Emprunts!$V405</f>
        <v>2593.59</v>
      </c>
      <c r="X405" s="73">
        <f>X404-D_Emprunts!$W405</f>
        <v>-588744.45000000007</v>
      </c>
      <c r="Y405">
        <v>398</v>
      </c>
      <c r="Z405" t="str">
        <f t="shared" si="32"/>
        <v>Investissement</v>
      </c>
      <c r="AA405" t="str">
        <f t="shared" si="33"/>
        <v>travaux magasin</v>
      </c>
    </row>
    <row r="406" spans="20:27" x14ac:dyDescent="0.25">
      <c r="T406" s="68">
        <f t="shared" si="30"/>
        <v>56070</v>
      </c>
      <c r="U406" s="77">
        <f t="shared" si="31"/>
        <v>864.41</v>
      </c>
      <c r="V406" s="72">
        <f t="shared" si="34"/>
        <v>-1736.83</v>
      </c>
      <c r="W406" s="69">
        <f>D_Emprunts!$U406-D_Emprunts!$V406</f>
        <v>2601.2399999999998</v>
      </c>
      <c r="X406" s="70">
        <f>X405-D_Emprunts!$W406</f>
        <v>-591345.69000000006</v>
      </c>
      <c r="Y406">
        <v>399</v>
      </c>
      <c r="Z406" t="str">
        <f t="shared" si="32"/>
        <v>Investissement</v>
      </c>
      <c r="AA406" t="str">
        <f t="shared" si="33"/>
        <v>travaux magasin</v>
      </c>
    </row>
    <row r="407" spans="20:27" x14ac:dyDescent="0.25">
      <c r="T407" s="71">
        <f t="shared" si="30"/>
        <v>56101</v>
      </c>
      <c r="U407" s="77">
        <f t="shared" si="31"/>
        <v>864.41</v>
      </c>
      <c r="V407" s="72">
        <f t="shared" si="34"/>
        <v>-1744.5</v>
      </c>
      <c r="W407" s="72">
        <f>D_Emprunts!$U407-D_Emprunts!$V407</f>
        <v>2608.91</v>
      </c>
      <c r="X407" s="73">
        <f>X406-D_Emprunts!$W407</f>
        <v>-593954.60000000009</v>
      </c>
      <c r="Y407">
        <v>400</v>
      </c>
      <c r="Z407" t="str">
        <f t="shared" si="32"/>
        <v>Investissement</v>
      </c>
      <c r="AA407" t="str">
        <f t="shared" si="33"/>
        <v>travaux magasin</v>
      </c>
    </row>
    <row r="408" spans="20:27" x14ac:dyDescent="0.25">
      <c r="T408" s="68">
        <f t="shared" si="30"/>
        <v>56132</v>
      </c>
      <c r="U408" s="77">
        <f t="shared" si="31"/>
        <v>864.41</v>
      </c>
      <c r="V408" s="72">
        <f t="shared" si="34"/>
        <v>-1752.2</v>
      </c>
      <c r="W408" s="69">
        <f>D_Emprunts!$U408-D_Emprunts!$V408</f>
        <v>2616.61</v>
      </c>
      <c r="X408" s="70">
        <f>X407-D_Emprunts!$W408</f>
        <v>-596571.21000000008</v>
      </c>
      <c r="Y408">
        <v>401</v>
      </c>
      <c r="Z408" t="str">
        <f t="shared" si="32"/>
        <v>Investissement</v>
      </c>
      <c r="AA408" t="str">
        <f t="shared" si="33"/>
        <v>travaux magasin</v>
      </c>
    </row>
    <row r="409" spans="20:27" x14ac:dyDescent="0.25">
      <c r="T409" s="71">
        <f t="shared" si="30"/>
        <v>56162</v>
      </c>
      <c r="U409" s="77">
        <f t="shared" si="31"/>
        <v>864.41</v>
      </c>
      <c r="V409" s="72">
        <f t="shared" si="34"/>
        <v>-1759.92</v>
      </c>
      <c r="W409" s="72">
        <f>D_Emprunts!$U409-D_Emprunts!$V409</f>
        <v>2624.33</v>
      </c>
      <c r="X409" s="73">
        <f>X408-D_Emprunts!$W409</f>
        <v>-599195.54</v>
      </c>
      <c r="Y409">
        <v>402</v>
      </c>
      <c r="Z409" t="str">
        <f t="shared" si="32"/>
        <v>Investissement</v>
      </c>
      <c r="AA409" t="str">
        <f t="shared" si="33"/>
        <v>travaux magasin</v>
      </c>
    </row>
    <row r="410" spans="20:27" x14ac:dyDescent="0.25">
      <c r="T410" s="68">
        <f t="shared" si="30"/>
        <v>56193</v>
      </c>
      <c r="U410" s="77">
        <f t="shared" si="31"/>
        <v>864.41</v>
      </c>
      <c r="V410" s="72">
        <f t="shared" si="34"/>
        <v>-1767.66</v>
      </c>
      <c r="W410" s="69">
        <f>D_Emprunts!$U410-D_Emprunts!$V410</f>
        <v>2632.07</v>
      </c>
      <c r="X410" s="70">
        <f>X409-D_Emprunts!$W410</f>
        <v>-601827.61</v>
      </c>
      <c r="Y410">
        <v>403</v>
      </c>
      <c r="Z410" t="str">
        <f t="shared" si="32"/>
        <v>Investissement</v>
      </c>
      <c r="AA410" t="str">
        <f t="shared" si="33"/>
        <v>travaux magasin</v>
      </c>
    </row>
    <row r="411" spans="20:27" x14ac:dyDescent="0.25">
      <c r="T411" s="71">
        <f t="shared" si="30"/>
        <v>56223</v>
      </c>
      <c r="U411" s="77">
        <f t="shared" si="31"/>
        <v>864.41</v>
      </c>
      <c r="V411" s="72">
        <f t="shared" si="34"/>
        <v>-1775.42</v>
      </c>
      <c r="W411" s="72">
        <f>D_Emprunts!$U411-D_Emprunts!$V411</f>
        <v>2639.83</v>
      </c>
      <c r="X411" s="73">
        <f>X410-D_Emprunts!$W411</f>
        <v>-604467.43999999994</v>
      </c>
      <c r="Y411">
        <v>404</v>
      </c>
      <c r="Z411" t="str">
        <f t="shared" si="32"/>
        <v>Investissement</v>
      </c>
      <c r="AA411" t="str">
        <f t="shared" si="33"/>
        <v>travaux magasin</v>
      </c>
    </row>
    <row r="412" spans="20:27" x14ac:dyDescent="0.25">
      <c r="T412" s="68">
        <f t="shared" si="30"/>
        <v>56254</v>
      </c>
      <c r="U412" s="77">
        <f t="shared" si="31"/>
        <v>864.41</v>
      </c>
      <c r="V412" s="72">
        <f t="shared" si="34"/>
        <v>-1783.21</v>
      </c>
      <c r="W412" s="69">
        <f>D_Emprunts!$U412-D_Emprunts!$V412</f>
        <v>2647.62</v>
      </c>
      <c r="X412" s="70">
        <f>X411-D_Emprunts!$W412</f>
        <v>-607115.05999999994</v>
      </c>
      <c r="Y412">
        <v>405</v>
      </c>
      <c r="Z412" t="str">
        <f t="shared" si="32"/>
        <v>Investissement</v>
      </c>
      <c r="AA412" t="str">
        <f t="shared" si="33"/>
        <v>travaux magasin</v>
      </c>
    </row>
    <row r="413" spans="20:27" x14ac:dyDescent="0.25">
      <c r="T413" s="71">
        <f t="shared" si="30"/>
        <v>56285</v>
      </c>
      <c r="U413" s="77">
        <f t="shared" si="31"/>
        <v>864.41</v>
      </c>
      <c r="V413" s="72">
        <f t="shared" si="34"/>
        <v>-1791.02</v>
      </c>
      <c r="W413" s="72">
        <f>D_Emprunts!$U413-D_Emprunts!$V413</f>
        <v>2655.43</v>
      </c>
      <c r="X413" s="73">
        <f>X412-D_Emprunts!$W413</f>
        <v>-609770.49</v>
      </c>
      <c r="Y413">
        <v>406</v>
      </c>
      <c r="Z413" t="str">
        <f t="shared" si="32"/>
        <v>Investissement</v>
      </c>
      <c r="AA413" t="str">
        <f t="shared" si="33"/>
        <v>travaux magasin</v>
      </c>
    </row>
    <row r="414" spans="20:27" x14ac:dyDescent="0.25">
      <c r="T414" s="68">
        <f t="shared" si="30"/>
        <v>56313</v>
      </c>
      <c r="U414" s="77">
        <f t="shared" si="31"/>
        <v>864.41</v>
      </c>
      <c r="V414" s="72">
        <f t="shared" si="34"/>
        <v>-1798.85</v>
      </c>
      <c r="W414" s="69">
        <f>D_Emprunts!$U414-D_Emprunts!$V414</f>
        <v>2663.2599999999998</v>
      </c>
      <c r="X414" s="70">
        <f>X413-D_Emprunts!$W414</f>
        <v>-612433.75</v>
      </c>
      <c r="Y414">
        <v>407</v>
      </c>
      <c r="Z414" t="str">
        <f t="shared" si="32"/>
        <v>Investissement</v>
      </c>
      <c r="AA414" t="str">
        <f t="shared" si="33"/>
        <v>travaux magasin</v>
      </c>
    </row>
    <row r="415" spans="20:27" x14ac:dyDescent="0.25">
      <c r="T415" s="71">
        <f t="shared" si="30"/>
        <v>56344</v>
      </c>
      <c r="U415" s="77">
        <f t="shared" si="31"/>
        <v>864.41</v>
      </c>
      <c r="V415" s="72">
        <f t="shared" si="34"/>
        <v>-1806.71</v>
      </c>
      <c r="W415" s="72">
        <f>D_Emprunts!$U415-D_Emprunts!$V415</f>
        <v>2671.12</v>
      </c>
      <c r="X415" s="73">
        <f>X414-D_Emprunts!$W415</f>
        <v>-615104.87</v>
      </c>
      <c r="Y415">
        <v>408</v>
      </c>
      <c r="Z415" t="str">
        <f t="shared" si="32"/>
        <v>Investissement</v>
      </c>
      <c r="AA415" t="str">
        <f t="shared" si="33"/>
        <v>travaux magasin</v>
      </c>
    </row>
    <row r="416" spans="20:27" x14ac:dyDescent="0.25">
      <c r="T416" s="68">
        <f t="shared" si="30"/>
        <v>56374</v>
      </c>
      <c r="U416" s="77">
        <f t="shared" si="31"/>
        <v>864.41</v>
      </c>
      <c r="V416" s="72">
        <f t="shared" si="34"/>
        <v>-1814.59</v>
      </c>
      <c r="W416" s="69">
        <f>D_Emprunts!$U416-D_Emprunts!$V416</f>
        <v>2679</v>
      </c>
      <c r="X416" s="70">
        <f>X415-D_Emprunts!$W416</f>
        <v>-617783.87</v>
      </c>
      <c r="Y416">
        <v>409</v>
      </c>
      <c r="Z416" t="str">
        <f t="shared" si="32"/>
        <v>Investissement</v>
      </c>
      <c r="AA416" t="str">
        <f t="shared" si="33"/>
        <v>travaux magasin</v>
      </c>
    </row>
    <row r="417" spans="20:27" x14ac:dyDescent="0.25">
      <c r="T417" s="71">
        <f t="shared" si="30"/>
        <v>56405</v>
      </c>
      <c r="U417" s="77">
        <f t="shared" si="31"/>
        <v>864.41</v>
      </c>
      <c r="V417" s="72">
        <f t="shared" si="34"/>
        <v>-1822.49</v>
      </c>
      <c r="W417" s="72">
        <f>D_Emprunts!$U417-D_Emprunts!$V417</f>
        <v>2686.9</v>
      </c>
      <c r="X417" s="73">
        <f>X416-D_Emprunts!$W417</f>
        <v>-620470.77</v>
      </c>
      <c r="Y417">
        <v>410</v>
      </c>
      <c r="Z417" t="str">
        <f t="shared" si="32"/>
        <v>Investissement</v>
      </c>
      <c r="AA417" t="str">
        <f t="shared" si="33"/>
        <v>travaux magasin</v>
      </c>
    </row>
    <row r="418" spans="20:27" x14ac:dyDescent="0.25">
      <c r="T418" s="68">
        <f t="shared" si="30"/>
        <v>56435</v>
      </c>
      <c r="U418" s="77">
        <f t="shared" si="31"/>
        <v>864.41</v>
      </c>
      <c r="V418" s="72">
        <f t="shared" si="34"/>
        <v>-1830.42</v>
      </c>
      <c r="W418" s="69">
        <f>D_Emprunts!$U418-D_Emprunts!$V418</f>
        <v>2694.83</v>
      </c>
      <c r="X418" s="70">
        <f>X417-D_Emprunts!$W418</f>
        <v>-623165.6</v>
      </c>
      <c r="Y418">
        <v>411</v>
      </c>
      <c r="Z418" t="str">
        <f t="shared" si="32"/>
        <v>Investissement</v>
      </c>
      <c r="AA418" t="str">
        <f t="shared" si="33"/>
        <v>travaux magasin</v>
      </c>
    </row>
    <row r="419" spans="20:27" x14ac:dyDescent="0.25">
      <c r="T419" s="71">
        <f t="shared" si="30"/>
        <v>56466</v>
      </c>
      <c r="U419" s="77">
        <f t="shared" si="31"/>
        <v>864.41</v>
      </c>
      <c r="V419" s="72">
        <f t="shared" si="34"/>
        <v>-1838.37</v>
      </c>
      <c r="W419" s="72">
        <f>D_Emprunts!$U419-D_Emprunts!$V419</f>
        <v>2702.7799999999997</v>
      </c>
      <c r="X419" s="73">
        <f>X418-D_Emprunts!$W419</f>
        <v>-625868.38</v>
      </c>
      <c r="Y419">
        <v>412</v>
      </c>
      <c r="Z419" t="str">
        <f t="shared" si="32"/>
        <v>Investissement</v>
      </c>
      <c r="AA419" t="str">
        <f t="shared" si="33"/>
        <v>travaux magasin</v>
      </c>
    </row>
    <row r="420" spans="20:27" x14ac:dyDescent="0.25">
      <c r="T420" s="68">
        <f t="shared" si="30"/>
        <v>56497</v>
      </c>
      <c r="U420" s="77">
        <f t="shared" si="31"/>
        <v>864.41</v>
      </c>
      <c r="V420" s="72">
        <f t="shared" si="34"/>
        <v>-1846.34</v>
      </c>
      <c r="W420" s="69">
        <f>D_Emprunts!$U420-D_Emprunts!$V420</f>
        <v>2710.75</v>
      </c>
      <c r="X420" s="70">
        <f>X419-D_Emprunts!$W420</f>
        <v>-628579.13</v>
      </c>
      <c r="Y420">
        <v>413</v>
      </c>
      <c r="Z420" t="str">
        <f t="shared" si="32"/>
        <v>Investissement</v>
      </c>
      <c r="AA420" t="str">
        <f t="shared" si="33"/>
        <v>travaux magasin</v>
      </c>
    </row>
    <row r="421" spans="20:27" x14ac:dyDescent="0.25">
      <c r="T421" s="71">
        <f t="shared" si="30"/>
        <v>56527</v>
      </c>
      <c r="U421" s="77">
        <f t="shared" si="31"/>
        <v>864.41</v>
      </c>
      <c r="V421" s="72">
        <f t="shared" si="34"/>
        <v>-1854.34</v>
      </c>
      <c r="W421" s="72">
        <f>D_Emprunts!$U421-D_Emprunts!$V421</f>
        <v>2718.75</v>
      </c>
      <c r="X421" s="73">
        <f>X420-D_Emprunts!$W421</f>
        <v>-631297.88</v>
      </c>
      <c r="Y421">
        <v>414</v>
      </c>
      <c r="Z421" t="str">
        <f t="shared" si="32"/>
        <v>Investissement</v>
      </c>
      <c r="AA421" t="str">
        <f t="shared" si="33"/>
        <v>travaux magasin</v>
      </c>
    </row>
    <row r="422" spans="20:27" x14ac:dyDescent="0.25">
      <c r="T422" s="68">
        <f t="shared" si="30"/>
        <v>56558</v>
      </c>
      <c r="U422" s="77">
        <f t="shared" si="31"/>
        <v>864.41</v>
      </c>
      <c r="V422" s="72">
        <f t="shared" si="34"/>
        <v>-1862.36</v>
      </c>
      <c r="W422" s="69">
        <f>D_Emprunts!$U422-D_Emprunts!$V422</f>
        <v>2726.77</v>
      </c>
      <c r="X422" s="70">
        <f>X421-D_Emprunts!$W422</f>
        <v>-634024.65</v>
      </c>
      <c r="Y422">
        <v>415</v>
      </c>
      <c r="Z422" t="str">
        <f t="shared" si="32"/>
        <v>Investissement</v>
      </c>
      <c r="AA422" t="str">
        <f t="shared" si="33"/>
        <v>travaux magasin</v>
      </c>
    </row>
    <row r="423" spans="20:27" x14ac:dyDescent="0.25">
      <c r="T423" s="71">
        <f t="shared" si="30"/>
        <v>56588</v>
      </c>
      <c r="U423" s="77">
        <f t="shared" si="31"/>
        <v>864.41</v>
      </c>
      <c r="V423" s="72">
        <f t="shared" si="34"/>
        <v>-1870.41</v>
      </c>
      <c r="W423" s="72">
        <f>D_Emprunts!$U423-D_Emprunts!$V423</f>
        <v>2734.82</v>
      </c>
      <c r="X423" s="73">
        <f>X422-D_Emprunts!$W423</f>
        <v>-636759.47</v>
      </c>
      <c r="Y423">
        <v>416</v>
      </c>
      <c r="Z423" t="str">
        <f t="shared" si="32"/>
        <v>Investissement</v>
      </c>
      <c r="AA423" t="str">
        <f t="shared" si="33"/>
        <v>travaux magasin</v>
      </c>
    </row>
    <row r="424" spans="20:27" x14ac:dyDescent="0.25">
      <c r="T424" s="68">
        <f t="shared" si="30"/>
        <v>56619</v>
      </c>
      <c r="U424" s="77">
        <f t="shared" si="31"/>
        <v>864.41</v>
      </c>
      <c r="V424" s="72">
        <f t="shared" si="34"/>
        <v>-1878.47</v>
      </c>
      <c r="W424" s="69">
        <f>D_Emprunts!$U424-D_Emprunts!$V424</f>
        <v>2742.88</v>
      </c>
      <c r="X424" s="70">
        <f>X423-D_Emprunts!$W424</f>
        <v>-639502.35</v>
      </c>
      <c r="Y424">
        <v>417</v>
      </c>
      <c r="Z424" t="str">
        <f t="shared" si="32"/>
        <v>Investissement</v>
      </c>
      <c r="AA424" t="str">
        <f t="shared" si="33"/>
        <v>travaux magasin</v>
      </c>
    </row>
    <row r="425" spans="20:27" x14ac:dyDescent="0.25">
      <c r="T425" s="71">
        <f t="shared" si="30"/>
        <v>56650</v>
      </c>
      <c r="U425" s="77">
        <f t="shared" si="31"/>
        <v>864.41</v>
      </c>
      <c r="V425" s="72">
        <f t="shared" si="34"/>
        <v>-1886.56</v>
      </c>
      <c r="W425" s="72">
        <f>D_Emprunts!$U425-D_Emprunts!$V425</f>
        <v>2750.97</v>
      </c>
      <c r="X425" s="73">
        <f>X424-D_Emprunts!$W425</f>
        <v>-642253.31999999995</v>
      </c>
      <c r="Y425">
        <v>418</v>
      </c>
      <c r="Z425" t="str">
        <f t="shared" si="32"/>
        <v>Investissement</v>
      </c>
      <c r="AA425" t="str">
        <f t="shared" si="33"/>
        <v>travaux magasin</v>
      </c>
    </row>
    <row r="426" spans="20:27" x14ac:dyDescent="0.25">
      <c r="T426" s="68">
        <f t="shared" si="30"/>
        <v>56678</v>
      </c>
      <c r="U426" s="77">
        <f t="shared" si="31"/>
        <v>864.41</v>
      </c>
      <c r="V426" s="72">
        <f t="shared" si="34"/>
        <v>-1894.68</v>
      </c>
      <c r="W426" s="69">
        <f>D_Emprunts!$U426-D_Emprunts!$V426</f>
        <v>2759.09</v>
      </c>
      <c r="X426" s="70">
        <f>X425-D_Emprunts!$W426</f>
        <v>-645012.40999999992</v>
      </c>
      <c r="Y426">
        <v>419</v>
      </c>
      <c r="Z426" t="str">
        <f t="shared" si="32"/>
        <v>Investissement</v>
      </c>
      <c r="AA426" t="str">
        <f t="shared" si="33"/>
        <v>travaux magasin</v>
      </c>
    </row>
    <row r="427" spans="20:27" x14ac:dyDescent="0.25">
      <c r="T427" s="71">
        <f t="shared" si="30"/>
        <v>56709</v>
      </c>
      <c r="U427" s="77">
        <f t="shared" si="31"/>
        <v>864.41</v>
      </c>
      <c r="V427" s="72">
        <f t="shared" si="34"/>
        <v>-1902.82</v>
      </c>
      <c r="W427" s="72">
        <f>D_Emprunts!$U427-D_Emprunts!$V427</f>
        <v>2767.23</v>
      </c>
      <c r="X427" s="73">
        <f>X426-D_Emprunts!$W427</f>
        <v>-647779.6399999999</v>
      </c>
      <c r="Y427">
        <v>420</v>
      </c>
      <c r="Z427" t="str">
        <f t="shared" si="32"/>
        <v>Investissement</v>
      </c>
      <c r="AA427" t="str">
        <f t="shared" si="33"/>
        <v>travaux magasin</v>
      </c>
    </row>
    <row r="428" spans="20:27" x14ac:dyDescent="0.25">
      <c r="T428" s="68">
        <f t="shared" si="30"/>
        <v>56739</v>
      </c>
      <c r="U428" s="77">
        <f t="shared" si="31"/>
        <v>864.41</v>
      </c>
      <c r="V428" s="72">
        <f t="shared" si="34"/>
        <v>-1910.98</v>
      </c>
      <c r="W428" s="69">
        <f>D_Emprunts!$U428-D_Emprunts!$V428</f>
        <v>2775.39</v>
      </c>
      <c r="X428" s="70">
        <f>X427-D_Emprunts!$W428</f>
        <v>-650555.02999999991</v>
      </c>
      <c r="Y428">
        <v>421</v>
      </c>
      <c r="Z428" t="str">
        <f t="shared" si="32"/>
        <v>Investissement</v>
      </c>
      <c r="AA428" t="str">
        <f t="shared" si="33"/>
        <v>travaux magasin</v>
      </c>
    </row>
    <row r="429" spans="20:27" x14ac:dyDescent="0.25">
      <c r="T429" s="71">
        <f t="shared" si="30"/>
        <v>56770</v>
      </c>
      <c r="U429" s="77">
        <f t="shared" si="31"/>
        <v>864.41</v>
      </c>
      <c r="V429" s="72">
        <f t="shared" si="34"/>
        <v>-1919.17</v>
      </c>
      <c r="W429" s="72">
        <f>D_Emprunts!$U429-D_Emprunts!$V429</f>
        <v>2783.58</v>
      </c>
      <c r="X429" s="73">
        <f>X428-D_Emprunts!$W429</f>
        <v>-653338.60999999987</v>
      </c>
      <c r="Y429">
        <v>422</v>
      </c>
      <c r="Z429" t="str">
        <f t="shared" si="32"/>
        <v>Investissement</v>
      </c>
      <c r="AA429" t="str">
        <f t="shared" si="33"/>
        <v>travaux magasin</v>
      </c>
    </row>
    <row r="430" spans="20:27" x14ac:dyDescent="0.25">
      <c r="T430" s="68">
        <f t="shared" si="30"/>
        <v>56800</v>
      </c>
      <c r="U430" s="77">
        <f t="shared" si="31"/>
        <v>864.41</v>
      </c>
      <c r="V430" s="72">
        <f t="shared" si="34"/>
        <v>-1927.38</v>
      </c>
      <c r="W430" s="69">
        <f>D_Emprunts!$U430-D_Emprunts!$V430</f>
        <v>2791.79</v>
      </c>
      <c r="X430" s="70">
        <f>X429-D_Emprunts!$W430</f>
        <v>-656130.39999999991</v>
      </c>
      <c r="Y430">
        <v>423</v>
      </c>
      <c r="Z430" t="str">
        <f t="shared" si="32"/>
        <v>Investissement</v>
      </c>
      <c r="AA430" t="str">
        <f t="shared" si="33"/>
        <v>travaux magasin</v>
      </c>
    </row>
    <row r="431" spans="20:27" x14ac:dyDescent="0.25">
      <c r="T431" s="71">
        <f t="shared" si="30"/>
        <v>56831</v>
      </c>
      <c r="U431" s="77">
        <f t="shared" si="31"/>
        <v>864.41</v>
      </c>
      <c r="V431" s="72">
        <f t="shared" si="34"/>
        <v>-1935.62</v>
      </c>
      <c r="W431" s="72">
        <f>D_Emprunts!$U431-D_Emprunts!$V431</f>
        <v>2800.0299999999997</v>
      </c>
      <c r="X431" s="73">
        <f>X430-D_Emprunts!$W431</f>
        <v>-658930.42999999993</v>
      </c>
      <c r="Y431">
        <v>424</v>
      </c>
      <c r="Z431" t="str">
        <f t="shared" si="32"/>
        <v>Investissement</v>
      </c>
      <c r="AA431" t="str">
        <f t="shared" si="33"/>
        <v>travaux magasin</v>
      </c>
    </row>
    <row r="432" spans="20:27" x14ac:dyDescent="0.25">
      <c r="T432" s="68">
        <f t="shared" si="30"/>
        <v>56862</v>
      </c>
      <c r="U432" s="77">
        <f t="shared" si="31"/>
        <v>864.41</v>
      </c>
      <c r="V432" s="72">
        <f t="shared" si="34"/>
        <v>-1943.88</v>
      </c>
      <c r="W432" s="69">
        <f>D_Emprunts!$U432-D_Emprunts!$V432</f>
        <v>2808.29</v>
      </c>
      <c r="X432" s="70">
        <f>X431-D_Emprunts!$W432</f>
        <v>-661738.72</v>
      </c>
      <c r="Y432">
        <v>425</v>
      </c>
      <c r="Z432" t="str">
        <f t="shared" si="32"/>
        <v>Investissement</v>
      </c>
      <c r="AA432" t="str">
        <f t="shared" si="33"/>
        <v>travaux magasin</v>
      </c>
    </row>
    <row r="433" spans="20:27" x14ac:dyDescent="0.25">
      <c r="T433" s="71">
        <f t="shared" si="30"/>
        <v>56892</v>
      </c>
      <c r="U433" s="77">
        <f t="shared" si="31"/>
        <v>864.41</v>
      </c>
      <c r="V433" s="72">
        <f t="shared" si="34"/>
        <v>-1952.16</v>
      </c>
      <c r="W433" s="72">
        <f>D_Emprunts!$U433-D_Emprunts!$V433</f>
        <v>2816.57</v>
      </c>
      <c r="X433" s="73">
        <f>X432-D_Emprunts!$W433</f>
        <v>-664555.28999999992</v>
      </c>
      <c r="Y433">
        <v>426</v>
      </c>
      <c r="Z433" t="str">
        <f t="shared" si="32"/>
        <v>Investissement</v>
      </c>
      <c r="AA433" t="str">
        <f t="shared" si="33"/>
        <v>travaux magasin</v>
      </c>
    </row>
    <row r="434" spans="20:27" x14ac:dyDescent="0.25">
      <c r="T434" s="68">
        <f t="shared" si="30"/>
        <v>56923</v>
      </c>
      <c r="U434" s="77">
        <f t="shared" si="31"/>
        <v>864.41</v>
      </c>
      <c r="V434" s="72">
        <f t="shared" si="34"/>
        <v>-1960.47</v>
      </c>
      <c r="W434" s="69">
        <f>D_Emprunts!$U434-D_Emprunts!$V434</f>
        <v>2824.88</v>
      </c>
      <c r="X434" s="70">
        <f>X433-D_Emprunts!$W434</f>
        <v>-667380.16999999993</v>
      </c>
      <c r="Y434">
        <v>427</v>
      </c>
      <c r="Z434" t="str">
        <f t="shared" si="32"/>
        <v>Investissement</v>
      </c>
      <c r="AA434" t="str">
        <f t="shared" si="33"/>
        <v>travaux magasin</v>
      </c>
    </row>
    <row r="435" spans="20:27" x14ac:dyDescent="0.25">
      <c r="T435" s="71">
        <f t="shared" si="30"/>
        <v>56953</v>
      </c>
      <c r="U435" s="77">
        <f t="shared" si="31"/>
        <v>864.41</v>
      </c>
      <c r="V435" s="72">
        <f t="shared" si="34"/>
        <v>-1968.81</v>
      </c>
      <c r="W435" s="72">
        <f>D_Emprunts!$U435-D_Emprunts!$V435</f>
        <v>2833.22</v>
      </c>
      <c r="X435" s="73">
        <f>X434-D_Emprunts!$W435</f>
        <v>-670213.3899999999</v>
      </c>
      <c r="Y435">
        <v>428</v>
      </c>
      <c r="Z435" t="str">
        <f t="shared" si="32"/>
        <v>Investissement</v>
      </c>
      <c r="AA435" t="str">
        <f t="shared" si="33"/>
        <v>travaux magasin</v>
      </c>
    </row>
    <row r="436" spans="20:27" x14ac:dyDescent="0.25">
      <c r="T436" s="68">
        <f t="shared" si="30"/>
        <v>56984</v>
      </c>
      <c r="U436" s="77">
        <f t="shared" si="31"/>
        <v>864.41</v>
      </c>
      <c r="V436" s="72">
        <f t="shared" si="34"/>
        <v>-1977.16</v>
      </c>
      <c r="W436" s="69">
        <f>D_Emprunts!$U436-D_Emprunts!$V436</f>
        <v>2841.57</v>
      </c>
      <c r="X436" s="70">
        <f>X435-D_Emprunts!$W436</f>
        <v>-673054.95999999985</v>
      </c>
      <c r="Y436">
        <v>429</v>
      </c>
      <c r="Z436" t="str">
        <f t="shared" si="32"/>
        <v>Investissement</v>
      </c>
      <c r="AA436" t="str">
        <f t="shared" si="33"/>
        <v>travaux magasin</v>
      </c>
    </row>
    <row r="437" spans="20:27" x14ac:dyDescent="0.25">
      <c r="T437" s="71">
        <f t="shared" si="30"/>
        <v>57015</v>
      </c>
      <c r="U437" s="77">
        <f t="shared" si="31"/>
        <v>864.41</v>
      </c>
      <c r="V437" s="72">
        <f t="shared" si="34"/>
        <v>-1985.55</v>
      </c>
      <c r="W437" s="72">
        <f>D_Emprunts!$U437-D_Emprunts!$V437</f>
        <v>2849.96</v>
      </c>
      <c r="X437" s="73">
        <f>X436-D_Emprunts!$W437</f>
        <v>-675904.91999999981</v>
      </c>
      <c r="Y437">
        <v>430</v>
      </c>
      <c r="Z437" t="str">
        <f t="shared" si="32"/>
        <v>Investissement</v>
      </c>
      <c r="AA437" t="str">
        <f t="shared" si="33"/>
        <v>travaux magasin</v>
      </c>
    </row>
    <row r="438" spans="20:27" x14ac:dyDescent="0.25">
      <c r="T438" s="68">
        <f t="shared" si="30"/>
        <v>57044</v>
      </c>
      <c r="U438" s="77">
        <f t="shared" si="31"/>
        <v>864.41</v>
      </c>
      <c r="V438" s="72">
        <f t="shared" si="34"/>
        <v>-1993.95</v>
      </c>
      <c r="W438" s="69">
        <f>D_Emprunts!$U438-D_Emprunts!$V438</f>
        <v>2858.36</v>
      </c>
      <c r="X438" s="70">
        <f>X437-D_Emprunts!$W438</f>
        <v>-678763.2799999998</v>
      </c>
      <c r="Y438">
        <v>431</v>
      </c>
      <c r="Z438" t="str">
        <f t="shared" si="32"/>
        <v>Investissement</v>
      </c>
      <c r="AA438" t="str">
        <f t="shared" si="33"/>
        <v>travaux magasin</v>
      </c>
    </row>
    <row r="439" spans="20:27" x14ac:dyDescent="0.25">
      <c r="T439" s="71">
        <f t="shared" si="30"/>
        <v>57075</v>
      </c>
      <c r="U439" s="77">
        <f t="shared" si="31"/>
        <v>864.41</v>
      </c>
      <c r="V439" s="72">
        <f t="shared" si="34"/>
        <v>-2002.39</v>
      </c>
      <c r="W439" s="72">
        <f>D_Emprunts!$U439-D_Emprunts!$V439</f>
        <v>2866.8</v>
      </c>
      <c r="X439" s="73">
        <f>X438-D_Emprunts!$W439</f>
        <v>-681630.07999999984</v>
      </c>
      <c r="Y439">
        <v>432</v>
      </c>
      <c r="Z439" t="str">
        <f t="shared" si="32"/>
        <v>Investissement</v>
      </c>
      <c r="AA439" t="str">
        <f t="shared" si="33"/>
        <v>travaux magasin</v>
      </c>
    </row>
    <row r="440" spans="20:27" x14ac:dyDescent="0.25">
      <c r="T440" s="68">
        <f t="shared" si="30"/>
        <v>57105</v>
      </c>
      <c r="U440" s="77">
        <f t="shared" si="31"/>
        <v>864.41</v>
      </c>
      <c r="V440" s="72">
        <f t="shared" si="34"/>
        <v>-2010.84</v>
      </c>
      <c r="W440" s="69">
        <f>D_Emprunts!$U440-D_Emprunts!$V440</f>
        <v>2875.25</v>
      </c>
      <c r="X440" s="70">
        <f>X439-D_Emprunts!$W440</f>
        <v>-684505.32999999984</v>
      </c>
      <c r="Y440">
        <v>433</v>
      </c>
      <c r="Z440" t="str">
        <f t="shared" si="32"/>
        <v>Investissement</v>
      </c>
      <c r="AA440" t="str">
        <f t="shared" si="33"/>
        <v>travaux magasin</v>
      </c>
    </row>
    <row r="441" spans="20:27" x14ac:dyDescent="0.25">
      <c r="T441" s="71">
        <f t="shared" si="30"/>
        <v>57136</v>
      </c>
      <c r="U441" s="77">
        <f t="shared" si="31"/>
        <v>864.41</v>
      </c>
      <c r="V441" s="72">
        <f t="shared" si="34"/>
        <v>-2019.33</v>
      </c>
      <c r="W441" s="72">
        <f>D_Emprunts!$U441-D_Emprunts!$V441</f>
        <v>2883.74</v>
      </c>
      <c r="X441" s="73">
        <f>X440-D_Emprunts!$W441</f>
        <v>-687389.06999999983</v>
      </c>
      <c r="Y441">
        <v>434</v>
      </c>
      <c r="Z441" t="str">
        <f t="shared" si="32"/>
        <v>Investissement</v>
      </c>
      <c r="AA441" t="str">
        <f t="shared" si="33"/>
        <v>travaux magasin</v>
      </c>
    </row>
    <row r="442" spans="20:27" x14ac:dyDescent="0.25">
      <c r="T442" s="68">
        <f t="shared" si="30"/>
        <v>57166</v>
      </c>
      <c r="U442" s="77">
        <f t="shared" si="31"/>
        <v>864.41</v>
      </c>
      <c r="V442" s="72">
        <f t="shared" si="34"/>
        <v>-2027.83</v>
      </c>
      <c r="W442" s="69">
        <f>D_Emprunts!$U442-D_Emprunts!$V442</f>
        <v>2892.24</v>
      </c>
      <c r="X442" s="70">
        <f>X441-D_Emprunts!$W442</f>
        <v>-690281.30999999982</v>
      </c>
      <c r="Y442">
        <v>435</v>
      </c>
      <c r="Z442" t="str">
        <f t="shared" si="32"/>
        <v>Investissement</v>
      </c>
      <c r="AA442" t="str">
        <f t="shared" si="33"/>
        <v>travaux magasin</v>
      </c>
    </row>
    <row r="443" spans="20:27" x14ac:dyDescent="0.25">
      <c r="T443" s="71">
        <f t="shared" si="30"/>
        <v>57197</v>
      </c>
      <c r="U443" s="77">
        <f t="shared" si="31"/>
        <v>864.41</v>
      </c>
      <c r="V443" s="72">
        <f t="shared" si="34"/>
        <v>-2036.37</v>
      </c>
      <c r="W443" s="72">
        <f>D_Emprunts!$U443-D_Emprunts!$V443</f>
        <v>2900.7799999999997</v>
      </c>
      <c r="X443" s="73">
        <f>X442-D_Emprunts!$W443</f>
        <v>-693182.08999999985</v>
      </c>
      <c r="Y443">
        <v>436</v>
      </c>
      <c r="Z443" t="str">
        <f t="shared" si="32"/>
        <v>Investissement</v>
      </c>
      <c r="AA443" t="str">
        <f t="shared" si="33"/>
        <v>travaux magasin</v>
      </c>
    </row>
    <row r="444" spans="20:27" x14ac:dyDescent="0.25">
      <c r="T444" s="68">
        <f t="shared" si="30"/>
        <v>57228</v>
      </c>
      <c r="U444" s="77">
        <f t="shared" si="31"/>
        <v>864.41</v>
      </c>
      <c r="V444" s="72">
        <f t="shared" si="34"/>
        <v>-2044.92</v>
      </c>
      <c r="W444" s="69">
        <f>D_Emprunts!$U444-D_Emprunts!$V444</f>
        <v>2909.33</v>
      </c>
      <c r="X444" s="70">
        <f>X443-D_Emprunts!$W444</f>
        <v>-696091.41999999981</v>
      </c>
      <c r="Y444">
        <v>437</v>
      </c>
      <c r="Z444" t="str">
        <f t="shared" si="32"/>
        <v>Investissement</v>
      </c>
      <c r="AA444" t="str">
        <f t="shared" si="33"/>
        <v>travaux magasin</v>
      </c>
    </row>
    <row r="445" spans="20:27" x14ac:dyDescent="0.25">
      <c r="T445" s="71">
        <f t="shared" si="30"/>
        <v>57258</v>
      </c>
      <c r="U445" s="77">
        <f t="shared" si="31"/>
        <v>864.41</v>
      </c>
      <c r="V445" s="72">
        <f t="shared" si="34"/>
        <v>-2053.5100000000002</v>
      </c>
      <c r="W445" s="72">
        <f>D_Emprunts!$U445-D_Emprunts!$V445</f>
        <v>2917.92</v>
      </c>
      <c r="X445" s="73">
        <f>X444-D_Emprunts!$W445</f>
        <v>-699009.33999999985</v>
      </c>
      <c r="Y445">
        <v>438</v>
      </c>
      <c r="Z445" t="str">
        <f t="shared" si="32"/>
        <v>Investissement</v>
      </c>
      <c r="AA445" t="str">
        <f t="shared" si="33"/>
        <v>travaux magasin</v>
      </c>
    </row>
    <row r="446" spans="20:27" x14ac:dyDescent="0.25">
      <c r="T446" s="68">
        <f t="shared" si="30"/>
        <v>57289</v>
      </c>
      <c r="U446" s="77">
        <f t="shared" si="31"/>
        <v>864.41</v>
      </c>
      <c r="V446" s="72">
        <f t="shared" si="34"/>
        <v>-2062.11</v>
      </c>
      <c r="W446" s="69">
        <f>D_Emprunts!$U446-D_Emprunts!$V446</f>
        <v>2926.52</v>
      </c>
      <c r="X446" s="70">
        <f>X445-D_Emprunts!$W446</f>
        <v>-701935.85999999987</v>
      </c>
      <c r="Y446">
        <v>439</v>
      </c>
      <c r="Z446" t="str">
        <f t="shared" si="32"/>
        <v>Investissement</v>
      </c>
      <c r="AA446" t="str">
        <f t="shared" si="33"/>
        <v>travaux magasin</v>
      </c>
    </row>
    <row r="447" spans="20:27" x14ac:dyDescent="0.25">
      <c r="T447" s="71">
        <f t="shared" si="30"/>
        <v>57319</v>
      </c>
      <c r="U447" s="77">
        <f t="shared" si="31"/>
        <v>864.41</v>
      </c>
      <c r="V447" s="72">
        <f t="shared" si="34"/>
        <v>-2070.75</v>
      </c>
      <c r="W447" s="72">
        <f>D_Emprunts!$U447-D_Emprunts!$V447</f>
        <v>2935.16</v>
      </c>
      <c r="X447" s="73">
        <f>X446-D_Emprunts!$W447</f>
        <v>-704871.0199999999</v>
      </c>
      <c r="Y447">
        <v>440</v>
      </c>
      <c r="Z447" t="str">
        <f t="shared" si="32"/>
        <v>Investissement</v>
      </c>
      <c r="AA447" t="str">
        <f t="shared" si="33"/>
        <v>travaux magasin</v>
      </c>
    </row>
    <row r="448" spans="20:27" x14ac:dyDescent="0.25">
      <c r="T448" s="68">
        <f t="shared" si="30"/>
        <v>57350</v>
      </c>
      <c r="U448" s="77">
        <f t="shared" si="31"/>
        <v>864.41</v>
      </c>
      <c r="V448" s="72">
        <f t="shared" si="34"/>
        <v>-2079.41</v>
      </c>
      <c r="W448" s="69">
        <f>D_Emprunts!$U448-D_Emprunts!$V448</f>
        <v>2943.8199999999997</v>
      </c>
      <c r="X448" s="70">
        <f>X447-D_Emprunts!$W448</f>
        <v>-707814.83999999985</v>
      </c>
      <c r="Y448">
        <v>441</v>
      </c>
      <c r="Z448" t="str">
        <f t="shared" si="32"/>
        <v>Investissement</v>
      </c>
      <c r="AA448" t="str">
        <f t="shared" si="33"/>
        <v>travaux magasin</v>
      </c>
    </row>
    <row r="449" spans="20:27" x14ac:dyDescent="0.25">
      <c r="T449" s="71">
        <f t="shared" si="30"/>
        <v>57381</v>
      </c>
      <c r="U449" s="77">
        <f t="shared" si="31"/>
        <v>864.41</v>
      </c>
      <c r="V449" s="72">
        <f t="shared" si="34"/>
        <v>-2088.09</v>
      </c>
      <c r="W449" s="72">
        <f>D_Emprunts!$U449-D_Emprunts!$V449</f>
        <v>2952.5</v>
      </c>
      <c r="X449" s="73">
        <f>X448-D_Emprunts!$W449</f>
        <v>-710767.33999999985</v>
      </c>
      <c r="Y449">
        <v>442</v>
      </c>
      <c r="Z449" t="str">
        <f t="shared" si="32"/>
        <v>Investissement</v>
      </c>
      <c r="AA449" t="str">
        <f t="shared" si="33"/>
        <v>travaux magasin</v>
      </c>
    </row>
    <row r="450" spans="20:27" x14ac:dyDescent="0.25">
      <c r="T450" s="68">
        <f t="shared" si="30"/>
        <v>57409</v>
      </c>
      <c r="U450" s="77">
        <f t="shared" si="31"/>
        <v>864.41</v>
      </c>
      <c r="V450" s="72">
        <f t="shared" si="34"/>
        <v>-2096.8000000000002</v>
      </c>
      <c r="W450" s="69">
        <f>D_Emprunts!$U450-D_Emprunts!$V450</f>
        <v>2961.21</v>
      </c>
      <c r="X450" s="70">
        <f>X449-D_Emprunts!$W450</f>
        <v>-713728.54999999981</v>
      </c>
      <c r="Y450">
        <v>443</v>
      </c>
      <c r="Z450" t="str">
        <f t="shared" si="32"/>
        <v>Investissement</v>
      </c>
      <c r="AA450" t="str">
        <f t="shared" si="33"/>
        <v>travaux magasin</v>
      </c>
    </row>
    <row r="451" spans="20:27" x14ac:dyDescent="0.25">
      <c r="T451" s="71">
        <f t="shared" si="30"/>
        <v>57440</v>
      </c>
      <c r="U451" s="77">
        <f t="shared" si="31"/>
        <v>864.41</v>
      </c>
      <c r="V451" s="72">
        <f t="shared" si="34"/>
        <v>-2105.54</v>
      </c>
      <c r="W451" s="72">
        <f>D_Emprunts!$U451-D_Emprunts!$V451</f>
        <v>2969.95</v>
      </c>
      <c r="X451" s="73">
        <f>X450-D_Emprunts!$W451</f>
        <v>-716698.49999999977</v>
      </c>
      <c r="Y451">
        <v>444</v>
      </c>
      <c r="Z451" t="str">
        <f t="shared" si="32"/>
        <v>Investissement</v>
      </c>
      <c r="AA451" t="str">
        <f t="shared" si="33"/>
        <v>travaux magasin</v>
      </c>
    </row>
    <row r="452" spans="20:27" x14ac:dyDescent="0.25">
      <c r="T452" s="68">
        <f t="shared" si="30"/>
        <v>57470</v>
      </c>
      <c r="U452" s="77">
        <f t="shared" si="31"/>
        <v>864.41</v>
      </c>
      <c r="V452" s="72">
        <f t="shared" si="34"/>
        <v>-2114.3000000000002</v>
      </c>
      <c r="W452" s="69">
        <f>D_Emprunts!$U452-D_Emprunts!$V452</f>
        <v>2978.71</v>
      </c>
      <c r="X452" s="70">
        <f>X451-D_Emprunts!$W452</f>
        <v>-719677.20999999973</v>
      </c>
      <c r="Y452">
        <v>445</v>
      </c>
      <c r="Z452" t="str">
        <f t="shared" si="32"/>
        <v>Investissement</v>
      </c>
      <c r="AA452" t="str">
        <f t="shared" si="33"/>
        <v>travaux magasin</v>
      </c>
    </row>
    <row r="453" spans="20:27" x14ac:dyDescent="0.25">
      <c r="T453" s="71">
        <f t="shared" si="30"/>
        <v>57501</v>
      </c>
      <c r="U453" s="77">
        <f t="shared" si="31"/>
        <v>864.41</v>
      </c>
      <c r="V453" s="72">
        <f t="shared" si="34"/>
        <v>-2123.08</v>
      </c>
      <c r="W453" s="72">
        <f>D_Emprunts!$U453-D_Emprunts!$V453</f>
        <v>2987.49</v>
      </c>
      <c r="X453" s="73">
        <f>X452-D_Emprunts!$W453</f>
        <v>-722664.69999999972</v>
      </c>
      <c r="Y453">
        <v>446</v>
      </c>
      <c r="Z453" t="str">
        <f t="shared" si="32"/>
        <v>Investissement</v>
      </c>
      <c r="AA453" t="str">
        <f t="shared" si="33"/>
        <v>travaux magasin</v>
      </c>
    </row>
    <row r="454" spans="20:27" x14ac:dyDescent="0.25">
      <c r="T454" s="68">
        <f t="shared" si="30"/>
        <v>57531</v>
      </c>
      <c r="U454" s="77">
        <f t="shared" si="31"/>
        <v>864.41</v>
      </c>
      <c r="V454" s="72">
        <f t="shared" si="34"/>
        <v>-2131.9</v>
      </c>
      <c r="W454" s="69">
        <f>D_Emprunts!$U454-D_Emprunts!$V454</f>
        <v>2996.31</v>
      </c>
      <c r="X454" s="70">
        <f>X453-D_Emprunts!$W454</f>
        <v>-725661.00999999978</v>
      </c>
      <c r="Y454">
        <v>447</v>
      </c>
      <c r="Z454" t="str">
        <f t="shared" si="32"/>
        <v>Investissement</v>
      </c>
      <c r="AA454" t="str">
        <f t="shared" si="33"/>
        <v>travaux magasin</v>
      </c>
    </row>
    <row r="455" spans="20:27" x14ac:dyDescent="0.25">
      <c r="T455" s="71">
        <f t="shared" si="30"/>
        <v>57562</v>
      </c>
      <c r="U455" s="77">
        <f t="shared" si="31"/>
        <v>864.41</v>
      </c>
      <c r="V455" s="72">
        <f t="shared" si="34"/>
        <v>-2140.7399999999998</v>
      </c>
      <c r="W455" s="72">
        <f>D_Emprunts!$U455-D_Emprunts!$V455</f>
        <v>3005.1499999999996</v>
      </c>
      <c r="X455" s="73">
        <f>X454-D_Emprunts!$W455</f>
        <v>-728666.1599999998</v>
      </c>
      <c r="Y455">
        <v>448</v>
      </c>
      <c r="Z455" t="str">
        <f t="shared" si="32"/>
        <v>Investissement</v>
      </c>
      <c r="AA455" t="str">
        <f t="shared" si="33"/>
        <v>travaux magasin</v>
      </c>
    </row>
    <row r="456" spans="20:27" x14ac:dyDescent="0.25">
      <c r="T456" s="68">
        <f t="shared" ref="T456:T519" si="35">EDATE(T455,1)</f>
        <v>57593</v>
      </c>
      <c r="U456" s="77">
        <f t="shared" si="31"/>
        <v>864.41</v>
      </c>
      <c r="V456" s="72">
        <f t="shared" si="34"/>
        <v>-2149.6</v>
      </c>
      <c r="W456" s="69">
        <f>D_Emprunts!$U456-D_Emprunts!$V456</f>
        <v>3014.0099999999998</v>
      </c>
      <c r="X456" s="70">
        <f>X455-D_Emprunts!$W456</f>
        <v>-731680.16999999981</v>
      </c>
      <c r="Y456">
        <v>449</v>
      </c>
      <c r="Z456" t="str">
        <f t="shared" si="32"/>
        <v>Investissement</v>
      </c>
      <c r="AA456" t="str">
        <f t="shared" si="33"/>
        <v>travaux magasin</v>
      </c>
    </row>
    <row r="457" spans="20:27" x14ac:dyDescent="0.25">
      <c r="T457" s="71">
        <f t="shared" si="35"/>
        <v>57623</v>
      </c>
      <c r="U457" s="77">
        <f t="shared" ref="U457:U520" si="36">$X$4</f>
        <v>864.41</v>
      </c>
      <c r="V457" s="72">
        <f t="shared" si="34"/>
        <v>-2158.4899999999998</v>
      </c>
      <c r="W457" s="72">
        <f>D_Emprunts!$U457-D_Emprunts!$V457</f>
        <v>3022.8999999999996</v>
      </c>
      <c r="X457" s="73">
        <f>X456-D_Emprunts!$W457</f>
        <v>-734703.06999999983</v>
      </c>
      <c r="Y457">
        <v>450</v>
      </c>
      <c r="Z457" t="str">
        <f t="shared" ref="Z457:Z520" si="37">$Y$4</f>
        <v>Investissement</v>
      </c>
      <c r="AA457" t="str">
        <f t="shared" ref="AA457:AA520" si="38">$Z$4</f>
        <v>travaux magasin</v>
      </c>
    </row>
    <row r="458" spans="20:27" x14ac:dyDescent="0.25">
      <c r="T458" s="68">
        <f t="shared" si="35"/>
        <v>57654</v>
      </c>
      <c r="U458" s="77">
        <f t="shared" si="36"/>
        <v>864.41</v>
      </c>
      <c r="V458" s="72">
        <f t="shared" ref="V458:V521" si="39">ROUND(X457*$V$4/12,2)</f>
        <v>-2167.41</v>
      </c>
      <c r="W458" s="69">
        <f>D_Emprunts!$U458-D_Emprunts!$V458</f>
        <v>3031.8199999999997</v>
      </c>
      <c r="X458" s="70">
        <f>X457-D_Emprunts!$W458</f>
        <v>-737734.88999999978</v>
      </c>
      <c r="Y458">
        <v>451</v>
      </c>
      <c r="Z458" t="str">
        <f t="shared" si="37"/>
        <v>Investissement</v>
      </c>
      <c r="AA458" t="str">
        <f t="shared" si="38"/>
        <v>travaux magasin</v>
      </c>
    </row>
    <row r="459" spans="20:27" x14ac:dyDescent="0.25">
      <c r="T459" s="71">
        <f t="shared" si="35"/>
        <v>57684</v>
      </c>
      <c r="U459" s="77">
        <f t="shared" si="36"/>
        <v>864.41</v>
      </c>
      <c r="V459" s="72">
        <f t="shared" si="39"/>
        <v>-2176.36</v>
      </c>
      <c r="W459" s="72">
        <f>D_Emprunts!$U459-D_Emprunts!$V459</f>
        <v>3040.77</v>
      </c>
      <c r="X459" s="73">
        <f>X458-D_Emprunts!$W459</f>
        <v>-740775.6599999998</v>
      </c>
      <c r="Y459">
        <v>452</v>
      </c>
      <c r="Z459" t="str">
        <f t="shared" si="37"/>
        <v>Investissement</v>
      </c>
      <c r="AA459" t="str">
        <f t="shared" si="38"/>
        <v>travaux magasin</v>
      </c>
    </row>
    <row r="460" spans="20:27" x14ac:dyDescent="0.25">
      <c r="T460" s="68">
        <f t="shared" si="35"/>
        <v>57715</v>
      </c>
      <c r="U460" s="77">
        <f t="shared" si="36"/>
        <v>864.41</v>
      </c>
      <c r="V460" s="72">
        <f t="shared" si="39"/>
        <v>-2185.33</v>
      </c>
      <c r="W460" s="69">
        <f>D_Emprunts!$U460-D_Emprunts!$V460</f>
        <v>3049.74</v>
      </c>
      <c r="X460" s="70">
        <f>X459-D_Emprunts!$W460</f>
        <v>-743825.39999999979</v>
      </c>
      <c r="Y460">
        <v>453</v>
      </c>
      <c r="Z460" t="str">
        <f t="shared" si="37"/>
        <v>Investissement</v>
      </c>
      <c r="AA460" t="str">
        <f t="shared" si="38"/>
        <v>travaux magasin</v>
      </c>
    </row>
    <row r="461" spans="20:27" x14ac:dyDescent="0.25">
      <c r="T461" s="71">
        <f t="shared" si="35"/>
        <v>57746</v>
      </c>
      <c r="U461" s="77">
        <f t="shared" si="36"/>
        <v>864.41</v>
      </c>
      <c r="V461" s="72">
        <f t="shared" si="39"/>
        <v>-2194.3200000000002</v>
      </c>
      <c r="W461" s="72">
        <f>D_Emprunts!$U461-D_Emprunts!$V461</f>
        <v>3058.73</v>
      </c>
      <c r="X461" s="73">
        <f>X460-D_Emprunts!$W461</f>
        <v>-746884.12999999977</v>
      </c>
      <c r="Y461">
        <v>454</v>
      </c>
      <c r="Z461" t="str">
        <f t="shared" si="37"/>
        <v>Investissement</v>
      </c>
      <c r="AA461" t="str">
        <f t="shared" si="38"/>
        <v>travaux magasin</v>
      </c>
    </row>
    <row r="462" spans="20:27" x14ac:dyDescent="0.25">
      <c r="T462" s="68">
        <f t="shared" si="35"/>
        <v>57774</v>
      </c>
      <c r="U462" s="77">
        <f t="shared" si="36"/>
        <v>864.41</v>
      </c>
      <c r="V462" s="72">
        <f t="shared" si="39"/>
        <v>-2203.35</v>
      </c>
      <c r="W462" s="69">
        <f>D_Emprunts!$U462-D_Emprunts!$V462</f>
        <v>3067.7599999999998</v>
      </c>
      <c r="X462" s="70">
        <f>X461-D_Emprunts!$W462</f>
        <v>-749951.88999999978</v>
      </c>
      <c r="Y462">
        <v>455</v>
      </c>
      <c r="Z462" t="str">
        <f t="shared" si="37"/>
        <v>Investissement</v>
      </c>
      <c r="AA462" t="str">
        <f t="shared" si="38"/>
        <v>travaux magasin</v>
      </c>
    </row>
    <row r="463" spans="20:27" x14ac:dyDescent="0.25">
      <c r="T463" s="71">
        <f t="shared" si="35"/>
        <v>57805</v>
      </c>
      <c r="U463" s="77">
        <f t="shared" si="36"/>
        <v>864.41</v>
      </c>
      <c r="V463" s="72">
        <f t="shared" si="39"/>
        <v>-2212.4</v>
      </c>
      <c r="W463" s="72">
        <f>D_Emprunts!$U463-D_Emprunts!$V463</f>
        <v>3076.81</v>
      </c>
      <c r="X463" s="73">
        <f>X462-D_Emprunts!$W463</f>
        <v>-753028.69999999984</v>
      </c>
      <c r="Y463">
        <v>456</v>
      </c>
      <c r="Z463" t="str">
        <f t="shared" si="37"/>
        <v>Investissement</v>
      </c>
      <c r="AA463" t="str">
        <f t="shared" si="38"/>
        <v>travaux magasin</v>
      </c>
    </row>
    <row r="464" spans="20:27" x14ac:dyDescent="0.25">
      <c r="T464" s="68">
        <f t="shared" si="35"/>
        <v>57835</v>
      </c>
      <c r="U464" s="77">
        <f t="shared" si="36"/>
        <v>864.41</v>
      </c>
      <c r="V464" s="72">
        <f t="shared" si="39"/>
        <v>-2221.4699999999998</v>
      </c>
      <c r="W464" s="69">
        <f>D_Emprunts!$U464-D_Emprunts!$V464</f>
        <v>3085.8799999999997</v>
      </c>
      <c r="X464" s="70">
        <f>X463-D_Emprunts!$W464</f>
        <v>-756114.57999999984</v>
      </c>
      <c r="Y464">
        <v>457</v>
      </c>
      <c r="Z464" t="str">
        <f t="shared" si="37"/>
        <v>Investissement</v>
      </c>
      <c r="AA464" t="str">
        <f t="shared" si="38"/>
        <v>travaux magasin</v>
      </c>
    </row>
    <row r="465" spans="20:27" x14ac:dyDescent="0.25">
      <c r="T465" s="71">
        <f t="shared" si="35"/>
        <v>57866</v>
      </c>
      <c r="U465" s="77">
        <f t="shared" si="36"/>
        <v>864.41</v>
      </c>
      <c r="V465" s="72">
        <f t="shared" si="39"/>
        <v>-2230.58</v>
      </c>
      <c r="W465" s="72">
        <f>D_Emprunts!$U465-D_Emprunts!$V465</f>
        <v>3094.99</v>
      </c>
      <c r="X465" s="73">
        <f>X464-D_Emprunts!$W465</f>
        <v>-759209.56999999983</v>
      </c>
      <c r="Y465">
        <v>458</v>
      </c>
      <c r="Z465" t="str">
        <f t="shared" si="37"/>
        <v>Investissement</v>
      </c>
      <c r="AA465" t="str">
        <f t="shared" si="38"/>
        <v>travaux magasin</v>
      </c>
    </row>
    <row r="466" spans="20:27" x14ac:dyDescent="0.25">
      <c r="T466" s="68">
        <f t="shared" si="35"/>
        <v>57896</v>
      </c>
      <c r="U466" s="77">
        <f t="shared" si="36"/>
        <v>864.41</v>
      </c>
      <c r="V466" s="72">
        <f t="shared" si="39"/>
        <v>-2239.71</v>
      </c>
      <c r="W466" s="69">
        <f>D_Emprunts!$U466-D_Emprunts!$V466</f>
        <v>3104.12</v>
      </c>
      <c r="X466" s="70">
        <f>X465-D_Emprunts!$W466</f>
        <v>-762313.68999999983</v>
      </c>
      <c r="Y466">
        <v>459</v>
      </c>
      <c r="Z466" t="str">
        <f t="shared" si="37"/>
        <v>Investissement</v>
      </c>
      <c r="AA466" t="str">
        <f t="shared" si="38"/>
        <v>travaux magasin</v>
      </c>
    </row>
    <row r="467" spans="20:27" x14ac:dyDescent="0.25">
      <c r="T467" s="71">
        <f t="shared" si="35"/>
        <v>57927</v>
      </c>
      <c r="U467" s="77">
        <f t="shared" si="36"/>
        <v>864.41</v>
      </c>
      <c r="V467" s="72">
        <f t="shared" si="39"/>
        <v>-2248.86</v>
      </c>
      <c r="W467" s="72">
        <f>D_Emprunts!$U467-D_Emprunts!$V467</f>
        <v>3113.27</v>
      </c>
      <c r="X467" s="73">
        <f>X466-D_Emprunts!$W467</f>
        <v>-765426.95999999985</v>
      </c>
      <c r="Y467">
        <v>460</v>
      </c>
      <c r="Z467" t="str">
        <f t="shared" si="37"/>
        <v>Investissement</v>
      </c>
      <c r="AA467" t="str">
        <f t="shared" si="38"/>
        <v>travaux magasin</v>
      </c>
    </row>
    <row r="468" spans="20:27" x14ac:dyDescent="0.25">
      <c r="T468" s="68">
        <f t="shared" si="35"/>
        <v>57958</v>
      </c>
      <c r="U468" s="77">
        <f t="shared" si="36"/>
        <v>864.41</v>
      </c>
      <c r="V468" s="72">
        <f t="shared" si="39"/>
        <v>-2258.0500000000002</v>
      </c>
      <c r="W468" s="69">
        <f>D_Emprunts!$U468-D_Emprunts!$V468</f>
        <v>3122.46</v>
      </c>
      <c r="X468" s="70">
        <f>X467-D_Emprunts!$W468</f>
        <v>-768549.41999999981</v>
      </c>
      <c r="Y468">
        <v>461</v>
      </c>
      <c r="Z468" t="str">
        <f t="shared" si="37"/>
        <v>Investissement</v>
      </c>
      <c r="AA468" t="str">
        <f t="shared" si="38"/>
        <v>travaux magasin</v>
      </c>
    </row>
    <row r="469" spans="20:27" x14ac:dyDescent="0.25">
      <c r="T469" s="71">
        <f t="shared" si="35"/>
        <v>57988</v>
      </c>
      <c r="U469" s="77">
        <f t="shared" si="36"/>
        <v>864.41</v>
      </c>
      <c r="V469" s="72">
        <f t="shared" si="39"/>
        <v>-2267.2600000000002</v>
      </c>
      <c r="W469" s="72">
        <f>D_Emprunts!$U469-D_Emprunts!$V469</f>
        <v>3131.67</v>
      </c>
      <c r="X469" s="73">
        <f>X468-D_Emprunts!$W469</f>
        <v>-771681.08999999985</v>
      </c>
      <c r="Y469">
        <v>462</v>
      </c>
      <c r="Z469" t="str">
        <f t="shared" si="37"/>
        <v>Investissement</v>
      </c>
      <c r="AA469" t="str">
        <f t="shared" si="38"/>
        <v>travaux magasin</v>
      </c>
    </row>
    <row r="470" spans="20:27" x14ac:dyDescent="0.25">
      <c r="T470" s="68">
        <f t="shared" si="35"/>
        <v>58019</v>
      </c>
      <c r="U470" s="77">
        <f t="shared" si="36"/>
        <v>864.41</v>
      </c>
      <c r="V470" s="72">
        <f t="shared" si="39"/>
        <v>-2276.5</v>
      </c>
      <c r="W470" s="69">
        <f>D_Emprunts!$U470-D_Emprunts!$V470</f>
        <v>3140.91</v>
      </c>
      <c r="X470" s="70">
        <f>X469-D_Emprunts!$W470</f>
        <v>-774821.99999999988</v>
      </c>
      <c r="Y470">
        <v>463</v>
      </c>
      <c r="Z470" t="str">
        <f t="shared" si="37"/>
        <v>Investissement</v>
      </c>
      <c r="AA470" t="str">
        <f t="shared" si="38"/>
        <v>travaux magasin</v>
      </c>
    </row>
    <row r="471" spans="20:27" x14ac:dyDescent="0.25">
      <c r="T471" s="71">
        <f t="shared" si="35"/>
        <v>58049</v>
      </c>
      <c r="U471" s="77">
        <f t="shared" si="36"/>
        <v>864.41</v>
      </c>
      <c r="V471" s="72">
        <f t="shared" si="39"/>
        <v>-2285.7600000000002</v>
      </c>
      <c r="W471" s="72">
        <f>D_Emprunts!$U471-D_Emprunts!$V471</f>
        <v>3150.17</v>
      </c>
      <c r="X471" s="73">
        <f>X470-D_Emprunts!$W471</f>
        <v>-777972.16999999993</v>
      </c>
      <c r="Y471">
        <v>464</v>
      </c>
      <c r="Z471" t="str">
        <f t="shared" si="37"/>
        <v>Investissement</v>
      </c>
      <c r="AA471" t="str">
        <f t="shared" si="38"/>
        <v>travaux magasin</v>
      </c>
    </row>
    <row r="472" spans="20:27" x14ac:dyDescent="0.25">
      <c r="T472" s="68">
        <f t="shared" si="35"/>
        <v>58080</v>
      </c>
      <c r="U472" s="77">
        <f t="shared" si="36"/>
        <v>864.41</v>
      </c>
      <c r="V472" s="72">
        <f t="shared" si="39"/>
        <v>-2295.06</v>
      </c>
      <c r="W472" s="69">
        <f>D_Emprunts!$U472-D_Emprunts!$V472</f>
        <v>3159.47</v>
      </c>
      <c r="X472" s="70">
        <f>X471-D_Emprunts!$W472</f>
        <v>-781131.6399999999</v>
      </c>
      <c r="Y472">
        <v>465</v>
      </c>
      <c r="Z472" t="str">
        <f t="shared" si="37"/>
        <v>Investissement</v>
      </c>
      <c r="AA472" t="str">
        <f t="shared" si="38"/>
        <v>travaux magasin</v>
      </c>
    </row>
    <row r="473" spans="20:27" x14ac:dyDescent="0.25">
      <c r="T473" s="71">
        <f t="shared" si="35"/>
        <v>58111</v>
      </c>
      <c r="U473" s="77">
        <f t="shared" si="36"/>
        <v>864.41</v>
      </c>
      <c r="V473" s="72">
        <f t="shared" si="39"/>
        <v>-2304.38</v>
      </c>
      <c r="W473" s="72">
        <f>D_Emprunts!$U473-D_Emprunts!$V473</f>
        <v>3168.79</v>
      </c>
      <c r="X473" s="73">
        <f>X472-D_Emprunts!$W473</f>
        <v>-784300.42999999993</v>
      </c>
      <c r="Y473">
        <v>466</v>
      </c>
      <c r="Z473" t="str">
        <f t="shared" si="37"/>
        <v>Investissement</v>
      </c>
      <c r="AA473" t="str">
        <f t="shared" si="38"/>
        <v>travaux magasin</v>
      </c>
    </row>
    <row r="474" spans="20:27" x14ac:dyDescent="0.25">
      <c r="T474" s="68">
        <f t="shared" si="35"/>
        <v>58139</v>
      </c>
      <c r="U474" s="77">
        <f t="shared" si="36"/>
        <v>864.41</v>
      </c>
      <c r="V474" s="72">
        <f t="shared" si="39"/>
        <v>-2313.73</v>
      </c>
      <c r="W474" s="69">
        <f>D_Emprunts!$U474-D_Emprunts!$V474</f>
        <v>3178.14</v>
      </c>
      <c r="X474" s="70">
        <f>X473-D_Emprunts!$W474</f>
        <v>-787478.57</v>
      </c>
      <c r="Y474">
        <v>467</v>
      </c>
      <c r="Z474" t="str">
        <f t="shared" si="37"/>
        <v>Investissement</v>
      </c>
      <c r="AA474" t="str">
        <f t="shared" si="38"/>
        <v>travaux magasin</v>
      </c>
    </row>
    <row r="475" spans="20:27" x14ac:dyDescent="0.25">
      <c r="T475" s="71">
        <f t="shared" si="35"/>
        <v>58170</v>
      </c>
      <c r="U475" s="77">
        <f t="shared" si="36"/>
        <v>864.41</v>
      </c>
      <c r="V475" s="72">
        <f t="shared" si="39"/>
        <v>-2323.1</v>
      </c>
      <c r="W475" s="72">
        <f>D_Emprunts!$U475-D_Emprunts!$V475</f>
        <v>3187.5099999999998</v>
      </c>
      <c r="X475" s="73">
        <f>X474-D_Emprunts!$W475</f>
        <v>-790666.08</v>
      </c>
      <c r="Y475">
        <v>468</v>
      </c>
      <c r="Z475" t="str">
        <f t="shared" si="37"/>
        <v>Investissement</v>
      </c>
      <c r="AA475" t="str">
        <f t="shared" si="38"/>
        <v>travaux magasin</v>
      </c>
    </row>
    <row r="476" spans="20:27" x14ac:dyDescent="0.25">
      <c r="T476" s="68">
        <f t="shared" si="35"/>
        <v>58200</v>
      </c>
      <c r="U476" s="77">
        <f t="shared" si="36"/>
        <v>864.41</v>
      </c>
      <c r="V476" s="72">
        <f t="shared" si="39"/>
        <v>-2332.5100000000002</v>
      </c>
      <c r="W476" s="69">
        <f>D_Emprunts!$U476-D_Emprunts!$V476</f>
        <v>3196.92</v>
      </c>
      <c r="X476" s="70">
        <f>X475-D_Emprunts!$W476</f>
        <v>-793863</v>
      </c>
      <c r="Y476">
        <v>469</v>
      </c>
      <c r="Z476" t="str">
        <f t="shared" si="37"/>
        <v>Investissement</v>
      </c>
      <c r="AA476" t="str">
        <f t="shared" si="38"/>
        <v>travaux magasin</v>
      </c>
    </row>
    <row r="477" spans="20:27" x14ac:dyDescent="0.25">
      <c r="T477" s="71">
        <f t="shared" si="35"/>
        <v>58231</v>
      </c>
      <c r="U477" s="77">
        <f t="shared" si="36"/>
        <v>864.41</v>
      </c>
      <c r="V477" s="72">
        <f t="shared" si="39"/>
        <v>-2341.94</v>
      </c>
      <c r="W477" s="72">
        <f>D_Emprunts!$U477-D_Emprunts!$V477</f>
        <v>3206.35</v>
      </c>
      <c r="X477" s="73">
        <f>X476-D_Emprunts!$W477</f>
        <v>-797069.35</v>
      </c>
      <c r="Y477">
        <v>470</v>
      </c>
      <c r="Z477" t="str">
        <f t="shared" si="37"/>
        <v>Investissement</v>
      </c>
      <c r="AA477" t="str">
        <f t="shared" si="38"/>
        <v>travaux magasin</v>
      </c>
    </row>
    <row r="478" spans="20:27" x14ac:dyDescent="0.25">
      <c r="T478" s="68">
        <f t="shared" si="35"/>
        <v>58261</v>
      </c>
      <c r="U478" s="77">
        <f t="shared" si="36"/>
        <v>864.41</v>
      </c>
      <c r="V478" s="72">
        <f t="shared" si="39"/>
        <v>-2351.4</v>
      </c>
      <c r="W478" s="69">
        <f>D_Emprunts!$U478-D_Emprunts!$V478</f>
        <v>3215.81</v>
      </c>
      <c r="X478" s="70">
        <f>X477-D_Emprunts!$W478</f>
        <v>-800285.16</v>
      </c>
      <c r="Y478">
        <v>471</v>
      </c>
      <c r="Z478" t="str">
        <f t="shared" si="37"/>
        <v>Investissement</v>
      </c>
      <c r="AA478" t="str">
        <f t="shared" si="38"/>
        <v>travaux magasin</v>
      </c>
    </row>
    <row r="479" spans="20:27" x14ac:dyDescent="0.25">
      <c r="T479" s="71">
        <f t="shared" si="35"/>
        <v>58292</v>
      </c>
      <c r="U479" s="77">
        <f t="shared" si="36"/>
        <v>864.41</v>
      </c>
      <c r="V479" s="72">
        <f t="shared" si="39"/>
        <v>-2360.88</v>
      </c>
      <c r="W479" s="72">
        <f>D_Emprunts!$U479-D_Emprunts!$V479</f>
        <v>3225.29</v>
      </c>
      <c r="X479" s="73">
        <f>X478-D_Emprunts!$W479</f>
        <v>-803510.45000000007</v>
      </c>
      <c r="Y479">
        <v>472</v>
      </c>
      <c r="Z479" t="str">
        <f t="shared" si="37"/>
        <v>Investissement</v>
      </c>
      <c r="AA479" t="str">
        <f t="shared" si="38"/>
        <v>travaux magasin</v>
      </c>
    </row>
    <row r="480" spans="20:27" x14ac:dyDescent="0.25">
      <c r="T480" s="68">
        <f t="shared" si="35"/>
        <v>58323</v>
      </c>
      <c r="U480" s="77">
        <f t="shared" si="36"/>
        <v>864.41</v>
      </c>
      <c r="V480" s="72">
        <f t="shared" si="39"/>
        <v>-2370.4</v>
      </c>
      <c r="W480" s="69">
        <f>D_Emprunts!$U480-D_Emprunts!$V480</f>
        <v>3234.81</v>
      </c>
      <c r="X480" s="70">
        <f>X479-D_Emprunts!$W480</f>
        <v>-806745.26000000013</v>
      </c>
      <c r="Y480">
        <v>473</v>
      </c>
      <c r="Z480" t="str">
        <f t="shared" si="37"/>
        <v>Investissement</v>
      </c>
      <c r="AA480" t="str">
        <f t="shared" si="38"/>
        <v>travaux magasin</v>
      </c>
    </row>
    <row r="481" spans="20:27" x14ac:dyDescent="0.25">
      <c r="T481" s="71">
        <f t="shared" si="35"/>
        <v>58353</v>
      </c>
      <c r="U481" s="77">
        <f t="shared" si="36"/>
        <v>864.41</v>
      </c>
      <c r="V481" s="72">
        <f t="shared" si="39"/>
        <v>-2379.94</v>
      </c>
      <c r="W481" s="72">
        <f>D_Emprunts!$U481-D_Emprunts!$V481</f>
        <v>3244.35</v>
      </c>
      <c r="X481" s="73">
        <f>X480-D_Emprunts!$W481</f>
        <v>-809989.6100000001</v>
      </c>
      <c r="Y481">
        <v>474</v>
      </c>
      <c r="Z481" t="str">
        <f t="shared" si="37"/>
        <v>Investissement</v>
      </c>
      <c r="AA481" t="str">
        <f t="shared" si="38"/>
        <v>travaux magasin</v>
      </c>
    </row>
    <row r="482" spans="20:27" x14ac:dyDescent="0.25">
      <c r="T482" s="68">
        <f t="shared" si="35"/>
        <v>58384</v>
      </c>
      <c r="U482" s="77">
        <f t="shared" si="36"/>
        <v>864.41</v>
      </c>
      <c r="V482" s="72">
        <f t="shared" si="39"/>
        <v>-2389.5100000000002</v>
      </c>
      <c r="W482" s="69">
        <f>D_Emprunts!$U482-D_Emprunts!$V482</f>
        <v>3253.92</v>
      </c>
      <c r="X482" s="70">
        <f>X481-D_Emprunts!$W482</f>
        <v>-813243.53000000014</v>
      </c>
      <c r="Y482">
        <v>475</v>
      </c>
      <c r="Z482" t="str">
        <f t="shared" si="37"/>
        <v>Investissement</v>
      </c>
      <c r="AA482" t="str">
        <f t="shared" si="38"/>
        <v>travaux magasin</v>
      </c>
    </row>
    <row r="483" spans="20:27" x14ac:dyDescent="0.25">
      <c r="T483" s="71">
        <f t="shared" si="35"/>
        <v>58414</v>
      </c>
      <c r="U483" s="77">
        <f t="shared" si="36"/>
        <v>864.41</v>
      </c>
      <c r="V483" s="72">
        <f t="shared" si="39"/>
        <v>-2399.11</v>
      </c>
      <c r="W483" s="72">
        <f>D_Emprunts!$U483-D_Emprunts!$V483</f>
        <v>3263.52</v>
      </c>
      <c r="X483" s="73">
        <f>X482-D_Emprunts!$W483</f>
        <v>-816507.05000000016</v>
      </c>
      <c r="Y483">
        <v>476</v>
      </c>
      <c r="Z483" t="str">
        <f t="shared" si="37"/>
        <v>Investissement</v>
      </c>
      <c r="AA483" t="str">
        <f t="shared" si="38"/>
        <v>travaux magasin</v>
      </c>
    </row>
    <row r="484" spans="20:27" x14ac:dyDescent="0.25">
      <c r="T484" s="68">
        <f t="shared" si="35"/>
        <v>58445</v>
      </c>
      <c r="U484" s="77">
        <f t="shared" si="36"/>
        <v>864.41</v>
      </c>
      <c r="V484" s="72">
        <f t="shared" si="39"/>
        <v>-2408.7399999999998</v>
      </c>
      <c r="W484" s="69">
        <f>D_Emprunts!$U484-D_Emprunts!$V484</f>
        <v>3273.1499999999996</v>
      </c>
      <c r="X484" s="70">
        <f>X483-D_Emprunts!$W484</f>
        <v>-819780.20000000019</v>
      </c>
      <c r="Y484">
        <v>477</v>
      </c>
      <c r="Z484" t="str">
        <f t="shared" si="37"/>
        <v>Investissement</v>
      </c>
      <c r="AA484" t="str">
        <f t="shared" si="38"/>
        <v>travaux magasin</v>
      </c>
    </row>
    <row r="485" spans="20:27" x14ac:dyDescent="0.25">
      <c r="T485" s="71">
        <f t="shared" si="35"/>
        <v>58476</v>
      </c>
      <c r="U485" s="77">
        <f t="shared" si="36"/>
        <v>864.41</v>
      </c>
      <c r="V485" s="72">
        <f t="shared" si="39"/>
        <v>-2418.39</v>
      </c>
      <c r="W485" s="72">
        <f>D_Emprunts!$U485-D_Emprunts!$V485</f>
        <v>3282.7999999999997</v>
      </c>
      <c r="X485" s="73">
        <f>X484-D_Emprunts!$W485</f>
        <v>-823063.00000000023</v>
      </c>
      <c r="Y485">
        <v>478</v>
      </c>
      <c r="Z485" t="str">
        <f t="shared" si="37"/>
        <v>Investissement</v>
      </c>
      <c r="AA485" t="str">
        <f t="shared" si="38"/>
        <v>travaux magasin</v>
      </c>
    </row>
    <row r="486" spans="20:27" x14ac:dyDescent="0.25">
      <c r="T486" s="68">
        <f t="shared" si="35"/>
        <v>58505</v>
      </c>
      <c r="U486" s="77">
        <f t="shared" si="36"/>
        <v>864.41</v>
      </c>
      <c r="V486" s="72">
        <f t="shared" si="39"/>
        <v>-2428.08</v>
      </c>
      <c r="W486" s="69">
        <f>D_Emprunts!$U486-D_Emprunts!$V486</f>
        <v>3292.49</v>
      </c>
      <c r="X486" s="70">
        <f>X485-D_Emprunts!$W486</f>
        <v>-826355.49000000022</v>
      </c>
      <c r="Y486">
        <v>479</v>
      </c>
      <c r="Z486" t="str">
        <f t="shared" si="37"/>
        <v>Investissement</v>
      </c>
      <c r="AA486" t="str">
        <f t="shared" si="38"/>
        <v>travaux magasin</v>
      </c>
    </row>
    <row r="487" spans="20:27" x14ac:dyDescent="0.25">
      <c r="T487" s="71">
        <f t="shared" si="35"/>
        <v>58536</v>
      </c>
      <c r="U487" s="77">
        <f t="shared" si="36"/>
        <v>864.41</v>
      </c>
      <c r="V487" s="72">
        <f t="shared" si="39"/>
        <v>-2437.79</v>
      </c>
      <c r="W487" s="72">
        <f>D_Emprunts!$U487-D_Emprunts!$V487</f>
        <v>3302.2</v>
      </c>
      <c r="X487" s="73">
        <f>X486-D_Emprunts!$W487</f>
        <v>-829657.69000000018</v>
      </c>
      <c r="Y487">
        <v>480</v>
      </c>
      <c r="Z487" t="str">
        <f t="shared" si="37"/>
        <v>Investissement</v>
      </c>
      <c r="AA487" t="str">
        <f t="shared" si="38"/>
        <v>travaux magasin</v>
      </c>
    </row>
    <row r="488" spans="20:27" x14ac:dyDescent="0.25">
      <c r="T488" s="68">
        <f t="shared" si="35"/>
        <v>58566</v>
      </c>
      <c r="U488" s="77">
        <f t="shared" si="36"/>
        <v>864.41</v>
      </c>
      <c r="V488" s="72">
        <f t="shared" si="39"/>
        <v>-2447.5300000000002</v>
      </c>
      <c r="W488" s="69">
        <f>D_Emprunts!$U488-D_Emprunts!$V488</f>
        <v>3311.94</v>
      </c>
      <c r="X488" s="70">
        <f>X487-D_Emprunts!$W488</f>
        <v>-832969.63000000012</v>
      </c>
      <c r="Y488">
        <v>481</v>
      </c>
      <c r="Z488" t="str">
        <f t="shared" si="37"/>
        <v>Investissement</v>
      </c>
      <c r="AA488" t="str">
        <f t="shared" si="38"/>
        <v>travaux magasin</v>
      </c>
    </row>
    <row r="489" spans="20:27" x14ac:dyDescent="0.25">
      <c r="T489" s="71">
        <f t="shared" si="35"/>
        <v>58597</v>
      </c>
      <c r="U489" s="77">
        <f t="shared" si="36"/>
        <v>864.41</v>
      </c>
      <c r="V489" s="72">
        <f t="shared" si="39"/>
        <v>-2457.3000000000002</v>
      </c>
      <c r="W489" s="72">
        <f>D_Emprunts!$U489-D_Emprunts!$V489</f>
        <v>3321.71</v>
      </c>
      <c r="X489" s="73">
        <f>X488-D_Emprunts!$W489</f>
        <v>-836291.34000000008</v>
      </c>
      <c r="Y489">
        <v>482</v>
      </c>
      <c r="Z489" t="str">
        <f t="shared" si="37"/>
        <v>Investissement</v>
      </c>
      <c r="AA489" t="str">
        <f t="shared" si="38"/>
        <v>travaux magasin</v>
      </c>
    </row>
    <row r="490" spans="20:27" x14ac:dyDescent="0.25">
      <c r="T490" s="68">
        <f t="shared" si="35"/>
        <v>58627</v>
      </c>
      <c r="U490" s="77">
        <f t="shared" si="36"/>
        <v>864.41</v>
      </c>
      <c r="V490" s="72">
        <f t="shared" si="39"/>
        <v>-2467.1</v>
      </c>
      <c r="W490" s="69">
        <f>D_Emprunts!$U490-D_Emprunts!$V490</f>
        <v>3331.5099999999998</v>
      </c>
      <c r="X490" s="70">
        <f>X489-D_Emprunts!$W490</f>
        <v>-839622.85000000009</v>
      </c>
      <c r="Y490">
        <v>483</v>
      </c>
      <c r="Z490" t="str">
        <f t="shared" si="37"/>
        <v>Investissement</v>
      </c>
      <c r="AA490" t="str">
        <f t="shared" si="38"/>
        <v>travaux magasin</v>
      </c>
    </row>
    <row r="491" spans="20:27" x14ac:dyDescent="0.25">
      <c r="T491" s="71">
        <f t="shared" si="35"/>
        <v>58658</v>
      </c>
      <c r="U491" s="77">
        <f t="shared" si="36"/>
        <v>864.41</v>
      </c>
      <c r="V491" s="72">
        <f t="shared" si="39"/>
        <v>-2476.9299999999998</v>
      </c>
      <c r="W491" s="72">
        <f>D_Emprunts!$U491-D_Emprunts!$V491</f>
        <v>3341.3399999999997</v>
      </c>
      <c r="X491" s="73">
        <f>X490-D_Emprunts!$W491</f>
        <v>-842964.19000000006</v>
      </c>
      <c r="Y491">
        <v>484</v>
      </c>
      <c r="Z491" t="str">
        <f t="shared" si="37"/>
        <v>Investissement</v>
      </c>
      <c r="AA491" t="str">
        <f t="shared" si="38"/>
        <v>travaux magasin</v>
      </c>
    </row>
    <row r="492" spans="20:27" x14ac:dyDescent="0.25">
      <c r="T492" s="68">
        <f t="shared" si="35"/>
        <v>58689</v>
      </c>
      <c r="U492" s="77">
        <f t="shared" si="36"/>
        <v>864.41</v>
      </c>
      <c r="V492" s="72">
        <f t="shared" si="39"/>
        <v>-2486.79</v>
      </c>
      <c r="W492" s="69">
        <f>D_Emprunts!$U492-D_Emprunts!$V492</f>
        <v>3351.2</v>
      </c>
      <c r="X492" s="70">
        <f>X491-D_Emprunts!$W492</f>
        <v>-846315.39</v>
      </c>
      <c r="Y492">
        <v>485</v>
      </c>
      <c r="Z492" t="str">
        <f t="shared" si="37"/>
        <v>Investissement</v>
      </c>
      <c r="AA492" t="str">
        <f t="shared" si="38"/>
        <v>travaux magasin</v>
      </c>
    </row>
    <row r="493" spans="20:27" x14ac:dyDescent="0.25">
      <c r="T493" s="71">
        <f t="shared" si="35"/>
        <v>58719</v>
      </c>
      <c r="U493" s="77">
        <f t="shared" si="36"/>
        <v>864.41</v>
      </c>
      <c r="V493" s="72">
        <f t="shared" si="39"/>
        <v>-2496.67</v>
      </c>
      <c r="W493" s="72">
        <f>D_Emprunts!$U493-D_Emprunts!$V493</f>
        <v>3361.08</v>
      </c>
      <c r="X493" s="73">
        <f>X492-D_Emprunts!$W493</f>
        <v>-849676.47</v>
      </c>
      <c r="Y493">
        <v>486</v>
      </c>
      <c r="Z493" t="str">
        <f t="shared" si="37"/>
        <v>Investissement</v>
      </c>
      <c r="AA493" t="str">
        <f t="shared" si="38"/>
        <v>travaux magasin</v>
      </c>
    </row>
    <row r="494" spans="20:27" x14ac:dyDescent="0.25">
      <c r="T494" s="68">
        <f t="shared" si="35"/>
        <v>58750</v>
      </c>
      <c r="U494" s="77">
        <f t="shared" si="36"/>
        <v>864.41</v>
      </c>
      <c r="V494" s="72">
        <f t="shared" si="39"/>
        <v>-2506.59</v>
      </c>
      <c r="W494" s="69">
        <f>D_Emprunts!$U494-D_Emprunts!$V494</f>
        <v>3371</v>
      </c>
      <c r="X494" s="70">
        <f>X493-D_Emprunts!$W494</f>
        <v>-853047.47</v>
      </c>
      <c r="Y494">
        <v>487</v>
      </c>
      <c r="Z494" t="str">
        <f t="shared" si="37"/>
        <v>Investissement</v>
      </c>
      <c r="AA494" t="str">
        <f t="shared" si="38"/>
        <v>travaux magasin</v>
      </c>
    </row>
    <row r="495" spans="20:27" x14ac:dyDescent="0.25">
      <c r="T495" s="71">
        <f t="shared" si="35"/>
        <v>58780</v>
      </c>
      <c r="U495" s="77">
        <f t="shared" si="36"/>
        <v>864.41</v>
      </c>
      <c r="V495" s="72">
        <f t="shared" si="39"/>
        <v>-2516.5300000000002</v>
      </c>
      <c r="W495" s="72">
        <f>D_Emprunts!$U495-D_Emprunts!$V495</f>
        <v>3380.94</v>
      </c>
      <c r="X495" s="73">
        <f>X494-D_Emprunts!$W495</f>
        <v>-856428.40999999992</v>
      </c>
      <c r="Y495">
        <v>488</v>
      </c>
      <c r="Z495" t="str">
        <f t="shared" si="37"/>
        <v>Investissement</v>
      </c>
      <c r="AA495" t="str">
        <f t="shared" si="38"/>
        <v>travaux magasin</v>
      </c>
    </row>
    <row r="496" spans="20:27" x14ac:dyDescent="0.25">
      <c r="T496" s="68">
        <f t="shared" si="35"/>
        <v>58811</v>
      </c>
      <c r="U496" s="77">
        <f t="shared" si="36"/>
        <v>864.41</v>
      </c>
      <c r="V496" s="72">
        <f t="shared" si="39"/>
        <v>-2526.5100000000002</v>
      </c>
      <c r="W496" s="69">
        <f>D_Emprunts!$U496-D_Emprunts!$V496</f>
        <v>3390.92</v>
      </c>
      <c r="X496" s="70">
        <f>X495-D_Emprunts!$W496</f>
        <v>-859819.33</v>
      </c>
      <c r="Y496">
        <v>489</v>
      </c>
      <c r="Z496" t="str">
        <f t="shared" si="37"/>
        <v>Investissement</v>
      </c>
      <c r="AA496" t="str">
        <f t="shared" si="38"/>
        <v>travaux magasin</v>
      </c>
    </row>
    <row r="497" spans="20:27" x14ac:dyDescent="0.25">
      <c r="T497" s="71">
        <f t="shared" si="35"/>
        <v>58842</v>
      </c>
      <c r="U497" s="77">
        <f t="shared" si="36"/>
        <v>864.41</v>
      </c>
      <c r="V497" s="72">
        <f t="shared" si="39"/>
        <v>-2536.5100000000002</v>
      </c>
      <c r="W497" s="72">
        <f>D_Emprunts!$U497-D_Emprunts!$V497</f>
        <v>3400.92</v>
      </c>
      <c r="X497" s="73">
        <f>X496-D_Emprunts!$W497</f>
        <v>-863220.25</v>
      </c>
      <c r="Y497">
        <v>490</v>
      </c>
      <c r="Z497" t="str">
        <f t="shared" si="37"/>
        <v>Investissement</v>
      </c>
      <c r="AA497" t="str">
        <f t="shared" si="38"/>
        <v>travaux magasin</v>
      </c>
    </row>
    <row r="498" spans="20:27" x14ac:dyDescent="0.25">
      <c r="T498" s="68">
        <f t="shared" si="35"/>
        <v>58870</v>
      </c>
      <c r="U498" s="77">
        <f t="shared" si="36"/>
        <v>864.41</v>
      </c>
      <c r="V498" s="72">
        <f t="shared" si="39"/>
        <v>-2546.54</v>
      </c>
      <c r="W498" s="69">
        <f>D_Emprunts!$U498-D_Emprunts!$V498</f>
        <v>3410.95</v>
      </c>
      <c r="X498" s="70">
        <f>X497-D_Emprunts!$W498</f>
        <v>-866631.2</v>
      </c>
      <c r="Y498">
        <v>491</v>
      </c>
      <c r="Z498" t="str">
        <f t="shared" si="37"/>
        <v>Investissement</v>
      </c>
      <c r="AA498" t="str">
        <f t="shared" si="38"/>
        <v>travaux magasin</v>
      </c>
    </row>
    <row r="499" spans="20:27" x14ac:dyDescent="0.25">
      <c r="T499" s="71">
        <f t="shared" si="35"/>
        <v>58901</v>
      </c>
      <c r="U499" s="77">
        <f t="shared" si="36"/>
        <v>864.41</v>
      </c>
      <c r="V499" s="72">
        <f t="shared" si="39"/>
        <v>-2556.61</v>
      </c>
      <c r="W499" s="72">
        <f>D_Emprunts!$U499-D_Emprunts!$V499</f>
        <v>3421.02</v>
      </c>
      <c r="X499" s="73">
        <f>X498-D_Emprunts!$W499</f>
        <v>-870052.22</v>
      </c>
      <c r="Y499">
        <v>492</v>
      </c>
      <c r="Z499" t="str">
        <f t="shared" si="37"/>
        <v>Investissement</v>
      </c>
      <c r="AA499" t="str">
        <f t="shared" si="38"/>
        <v>travaux magasin</v>
      </c>
    </row>
    <row r="500" spans="20:27" x14ac:dyDescent="0.25">
      <c r="T500" s="68">
        <f t="shared" si="35"/>
        <v>58931</v>
      </c>
      <c r="U500" s="77">
        <f t="shared" si="36"/>
        <v>864.41</v>
      </c>
      <c r="V500" s="72">
        <f t="shared" si="39"/>
        <v>-2566.6999999999998</v>
      </c>
      <c r="W500" s="69">
        <f>D_Emprunts!$U500-D_Emprunts!$V500</f>
        <v>3431.1099999999997</v>
      </c>
      <c r="X500" s="70">
        <f>X499-D_Emprunts!$W500</f>
        <v>-873483.33</v>
      </c>
      <c r="Y500">
        <v>493</v>
      </c>
      <c r="Z500" t="str">
        <f t="shared" si="37"/>
        <v>Investissement</v>
      </c>
      <c r="AA500" t="str">
        <f t="shared" si="38"/>
        <v>travaux magasin</v>
      </c>
    </row>
    <row r="501" spans="20:27" x14ac:dyDescent="0.25">
      <c r="T501" s="71">
        <f t="shared" si="35"/>
        <v>58962</v>
      </c>
      <c r="U501" s="77">
        <f t="shared" si="36"/>
        <v>864.41</v>
      </c>
      <c r="V501" s="72">
        <f t="shared" si="39"/>
        <v>-2576.8200000000002</v>
      </c>
      <c r="W501" s="72">
        <f>D_Emprunts!$U501-D_Emprunts!$V501</f>
        <v>3441.23</v>
      </c>
      <c r="X501" s="73">
        <f>X500-D_Emprunts!$W501</f>
        <v>-876924.55999999994</v>
      </c>
      <c r="Y501">
        <v>494</v>
      </c>
      <c r="Z501" t="str">
        <f t="shared" si="37"/>
        <v>Investissement</v>
      </c>
      <c r="AA501" t="str">
        <f t="shared" si="38"/>
        <v>travaux magasin</v>
      </c>
    </row>
    <row r="502" spans="20:27" x14ac:dyDescent="0.25">
      <c r="T502" s="68">
        <f t="shared" si="35"/>
        <v>58992</v>
      </c>
      <c r="U502" s="77">
        <f t="shared" si="36"/>
        <v>864.41</v>
      </c>
      <c r="V502" s="72">
        <f t="shared" si="39"/>
        <v>-2586.9699999999998</v>
      </c>
      <c r="W502" s="69">
        <f>D_Emprunts!$U502-D_Emprunts!$V502</f>
        <v>3451.3799999999997</v>
      </c>
      <c r="X502" s="70">
        <f>X501-D_Emprunts!$W502</f>
        <v>-880375.94</v>
      </c>
      <c r="Y502">
        <v>495</v>
      </c>
      <c r="Z502" t="str">
        <f t="shared" si="37"/>
        <v>Investissement</v>
      </c>
      <c r="AA502" t="str">
        <f t="shared" si="38"/>
        <v>travaux magasin</v>
      </c>
    </row>
    <row r="503" spans="20:27" x14ac:dyDescent="0.25">
      <c r="T503" s="71">
        <f t="shared" si="35"/>
        <v>59023</v>
      </c>
      <c r="U503" s="77">
        <f t="shared" si="36"/>
        <v>864.41</v>
      </c>
      <c r="V503" s="72">
        <f t="shared" si="39"/>
        <v>-2597.15</v>
      </c>
      <c r="W503" s="72">
        <f>D_Emprunts!$U503-D_Emprunts!$V503</f>
        <v>3461.56</v>
      </c>
      <c r="X503" s="73">
        <f>X502-D_Emprunts!$W503</f>
        <v>-883837.5</v>
      </c>
      <c r="Y503">
        <v>496</v>
      </c>
      <c r="Z503" t="str">
        <f t="shared" si="37"/>
        <v>Investissement</v>
      </c>
      <c r="AA503" t="str">
        <f t="shared" si="38"/>
        <v>travaux magasin</v>
      </c>
    </row>
    <row r="504" spans="20:27" x14ac:dyDescent="0.25">
      <c r="T504" s="68">
        <f t="shared" si="35"/>
        <v>59054</v>
      </c>
      <c r="U504" s="77">
        <f t="shared" si="36"/>
        <v>864.41</v>
      </c>
      <c r="V504" s="72">
        <f t="shared" si="39"/>
        <v>-2607.37</v>
      </c>
      <c r="W504" s="69">
        <f>D_Emprunts!$U504-D_Emprunts!$V504</f>
        <v>3471.7799999999997</v>
      </c>
      <c r="X504" s="70">
        <f>X503-D_Emprunts!$W504</f>
        <v>-887309.28</v>
      </c>
      <c r="Y504">
        <v>497</v>
      </c>
      <c r="Z504" t="str">
        <f t="shared" si="37"/>
        <v>Investissement</v>
      </c>
      <c r="AA504" t="str">
        <f t="shared" si="38"/>
        <v>travaux magasin</v>
      </c>
    </row>
    <row r="505" spans="20:27" x14ac:dyDescent="0.25">
      <c r="T505" s="71">
        <f t="shared" si="35"/>
        <v>59084</v>
      </c>
      <c r="U505" s="77">
        <f t="shared" si="36"/>
        <v>864.41</v>
      </c>
      <c r="V505" s="72">
        <f t="shared" si="39"/>
        <v>-2617.61</v>
      </c>
      <c r="W505" s="72">
        <f>D_Emprunts!$U505-D_Emprunts!$V505</f>
        <v>3482.02</v>
      </c>
      <c r="X505" s="73">
        <f>X504-D_Emprunts!$W505</f>
        <v>-890791.3</v>
      </c>
      <c r="Y505">
        <v>498</v>
      </c>
      <c r="Z505" t="str">
        <f t="shared" si="37"/>
        <v>Investissement</v>
      </c>
      <c r="AA505" t="str">
        <f t="shared" si="38"/>
        <v>travaux magasin</v>
      </c>
    </row>
    <row r="506" spans="20:27" x14ac:dyDescent="0.25">
      <c r="T506" s="68">
        <f t="shared" si="35"/>
        <v>59115</v>
      </c>
      <c r="U506" s="77">
        <f t="shared" si="36"/>
        <v>864.41</v>
      </c>
      <c r="V506" s="72">
        <f t="shared" si="39"/>
        <v>-2627.88</v>
      </c>
      <c r="W506" s="69">
        <f>D_Emprunts!$U506-D_Emprunts!$V506</f>
        <v>3492.29</v>
      </c>
      <c r="X506" s="70">
        <f>X505-D_Emprunts!$W506</f>
        <v>-894283.59000000008</v>
      </c>
      <c r="Y506">
        <v>499</v>
      </c>
      <c r="Z506" t="str">
        <f t="shared" si="37"/>
        <v>Investissement</v>
      </c>
      <c r="AA506" t="str">
        <f t="shared" si="38"/>
        <v>travaux magasin</v>
      </c>
    </row>
    <row r="507" spans="20:27" x14ac:dyDescent="0.25">
      <c r="T507" s="71">
        <f t="shared" si="35"/>
        <v>59145</v>
      </c>
      <c r="U507" s="77">
        <f t="shared" si="36"/>
        <v>864.41</v>
      </c>
      <c r="V507" s="72">
        <f t="shared" si="39"/>
        <v>-2638.18</v>
      </c>
      <c r="W507" s="72">
        <f>D_Emprunts!$U507-D_Emprunts!$V507</f>
        <v>3502.5899999999997</v>
      </c>
      <c r="X507" s="73">
        <f>X506-D_Emprunts!$W507</f>
        <v>-897786.18</v>
      </c>
      <c r="Y507">
        <v>500</v>
      </c>
      <c r="Z507" t="str">
        <f t="shared" si="37"/>
        <v>Investissement</v>
      </c>
      <c r="AA507" t="str">
        <f t="shared" si="38"/>
        <v>travaux magasin</v>
      </c>
    </row>
    <row r="508" spans="20:27" x14ac:dyDescent="0.25">
      <c r="T508" s="68">
        <f t="shared" si="35"/>
        <v>59176</v>
      </c>
      <c r="U508" s="77">
        <f t="shared" si="36"/>
        <v>864.41</v>
      </c>
      <c r="V508" s="72">
        <f t="shared" si="39"/>
        <v>-2648.52</v>
      </c>
      <c r="W508" s="69">
        <f>D_Emprunts!$U508-D_Emprunts!$V508</f>
        <v>3512.93</v>
      </c>
      <c r="X508" s="70">
        <f>X507-D_Emprunts!$W508</f>
        <v>-901299.1100000001</v>
      </c>
      <c r="Y508">
        <v>501</v>
      </c>
      <c r="Z508" t="str">
        <f t="shared" si="37"/>
        <v>Investissement</v>
      </c>
      <c r="AA508" t="str">
        <f t="shared" si="38"/>
        <v>travaux magasin</v>
      </c>
    </row>
    <row r="509" spans="20:27" x14ac:dyDescent="0.25">
      <c r="T509" s="71">
        <f t="shared" si="35"/>
        <v>59207</v>
      </c>
      <c r="U509" s="77">
        <f t="shared" si="36"/>
        <v>864.41</v>
      </c>
      <c r="V509" s="72">
        <f t="shared" si="39"/>
        <v>-2658.88</v>
      </c>
      <c r="W509" s="72">
        <f>D_Emprunts!$U509-D_Emprunts!$V509</f>
        <v>3523.29</v>
      </c>
      <c r="X509" s="73">
        <f>X508-D_Emprunts!$W509</f>
        <v>-904822.40000000014</v>
      </c>
      <c r="Y509">
        <v>502</v>
      </c>
      <c r="Z509" t="str">
        <f t="shared" si="37"/>
        <v>Investissement</v>
      </c>
      <c r="AA509" t="str">
        <f t="shared" si="38"/>
        <v>travaux magasin</v>
      </c>
    </row>
    <row r="510" spans="20:27" x14ac:dyDescent="0.25">
      <c r="T510" s="68">
        <f t="shared" si="35"/>
        <v>59235</v>
      </c>
      <c r="U510" s="77">
        <f t="shared" si="36"/>
        <v>864.41</v>
      </c>
      <c r="V510" s="72">
        <f t="shared" si="39"/>
        <v>-2669.27</v>
      </c>
      <c r="W510" s="69">
        <f>D_Emprunts!$U510-D_Emprunts!$V510</f>
        <v>3533.68</v>
      </c>
      <c r="X510" s="70">
        <f>X509-D_Emprunts!$W510</f>
        <v>-908356.08000000019</v>
      </c>
      <c r="Y510">
        <v>503</v>
      </c>
      <c r="Z510" t="str">
        <f t="shared" si="37"/>
        <v>Investissement</v>
      </c>
      <c r="AA510" t="str">
        <f t="shared" si="38"/>
        <v>travaux magasin</v>
      </c>
    </row>
    <row r="511" spans="20:27" x14ac:dyDescent="0.25">
      <c r="T511" s="71">
        <f t="shared" si="35"/>
        <v>59266</v>
      </c>
      <c r="U511" s="77">
        <f t="shared" si="36"/>
        <v>864.41</v>
      </c>
      <c r="V511" s="72">
        <f t="shared" si="39"/>
        <v>-2679.7</v>
      </c>
      <c r="W511" s="72">
        <f>D_Emprunts!$U511-D_Emprunts!$V511</f>
        <v>3544.1099999999997</v>
      </c>
      <c r="X511" s="73">
        <f>X510-D_Emprunts!$W511</f>
        <v>-911900.19000000018</v>
      </c>
      <c r="Y511">
        <v>504</v>
      </c>
      <c r="Z511" t="str">
        <f t="shared" si="37"/>
        <v>Investissement</v>
      </c>
      <c r="AA511" t="str">
        <f t="shared" si="38"/>
        <v>travaux magasin</v>
      </c>
    </row>
    <row r="512" spans="20:27" x14ac:dyDescent="0.25">
      <c r="T512" s="68">
        <f t="shared" si="35"/>
        <v>59296</v>
      </c>
      <c r="U512" s="77">
        <f t="shared" si="36"/>
        <v>864.41</v>
      </c>
      <c r="V512" s="72">
        <f t="shared" si="39"/>
        <v>-2690.15</v>
      </c>
      <c r="W512" s="69">
        <f>D_Emprunts!$U512-D_Emprunts!$V512</f>
        <v>3554.56</v>
      </c>
      <c r="X512" s="70">
        <f>X511-D_Emprunts!$W512</f>
        <v>-915454.75000000023</v>
      </c>
      <c r="Y512">
        <v>505</v>
      </c>
      <c r="Z512" t="str">
        <f t="shared" si="37"/>
        <v>Investissement</v>
      </c>
      <c r="AA512" t="str">
        <f t="shared" si="38"/>
        <v>travaux magasin</v>
      </c>
    </row>
    <row r="513" spans="20:27" x14ac:dyDescent="0.25">
      <c r="T513" s="71">
        <f t="shared" si="35"/>
        <v>59327</v>
      </c>
      <c r="U513" s="77">
        <f t="shared" si="36"/>
        <v>864.41</v>
      </c>
      <c r="V513" s="72">
        <f t="shared" si="39"/>
        <v>-2700.64</v>
      </c>
      <c r="W513" s="72">
        <f>D_Emprunts!$U513-D_Emprunts!$V513</f>
        <v>3565.0499999999997</v>
      </c>
      <c r="X513" s="73">
        <f>X512-D_Emprunts!$W513</f>
        <v>-919019.80000000028</v>
      </c>
      <c r="Y513">
        <v>506</v>
      </c>
      <c r="Z513" t="str">
        <f t="shared" si="37"/>
        <v>Investissement</v>
      </c>
      <c r="AA513" t="str">
        <f t="shared" si="38"/>
        <v>travaux magasin</v>
      </c>
    </row>
    <row r="514" spans="20:27" x14ac:dyDescent="0.25">
      <c r="T514" s="68">
        <f t="shared" si="35"/>
        <v>59357</v>
      </c>
      <c r="U514" s="77">
        <f t="shared" si="36"/>
        <v>864.41</v>
      </c>
      <c r="V514" s="72">
        <f t="shared" si="39"/>
        <v>-2711.16</v>
      </c>
      <c r="W514" s="69">
        <f>D_Emprunts!$U514-D_Emprunts!$V514</f>
        <v>3575.5699999999997</v>
      </c>
      <c r="X514" s="70">
        <f>X513-D_Emprunts!$W514</f>
        <v>-922595.37000000023</v>
      </c>
      <c r="Y514">
        <v>507</v>
      </c>
      <c r="Z514" t="str">
        <f t="shared" si="37"/>
        <v>Investissement</v>
      </c>
      <c r="AA514" t="str">
        <f t="shared" si="38"/>
        <v>travaux magasin</v>
      </c>
    </row>
    <row r="515" spans="20:27" x14ac:dyDescent="0.25">
      <c r="T515" s="71">
        <f t="shared" si="35"/>
        <v>59388</v>
      </c>
      <c r="U515" s="77">
        <f t="shared" si="36"/>
        <v>864.41</v>
      </c>
      <c r="V515" s="72">
        <f t="shared" si="39"/>
        <v>-2721.7</v>
      </c>
      <c r="W515" s="72">
        <f>D_Emprunts!$U515-D_Emprunts!$V515</f>
        <v>3586.1099999999997</v>
      </c>
      <c r="X515" s="73">
        <f>X514-D_Emprunts!$W515</f>
        <v>-926181.48000000021</v>
      </c>
      <c r="Y515">
        <v>508</v>
      </c>
      <c r="Z515" t="str">
        <f t="shared" si="37"/>
        <v>Investissement</v>
      </c>
      <c r="AA515" t="str">
        <f t="shared" si="38"/>
        <v>travaux magasin</v>
      </c>
    </row>
    <row r="516" spans="20:27" x14ac:dyDescent="0.25">
      <c r="T516" s="68">
        <f t="shared" si="35"/>
        <v>59419</v>
      </c>
      <c r="U516" s="77">
        <f t="shared" si="36"/>
        <v>864.41</v>
      </c>
      <c r="V516" s="72">
        <f t="shared" si="39"/>
        <v>-2732.28</v>
      </c>
      <c r="W516" s="69">
        <f>D_Emprunts!$U516-D_Emprunts!$V516</f>
        <v>3596.69</v>
      </c>
      <c r="X516" s="70">
        <f>X515-D_Emprunts!$W516</f>
        <v>-929778.17000000016</v>
      </c>
      <c r="Y516">
        <v>509</v>
      </c>
      <c r="Z516" t="str">
        <f t="shared" si="37"/>
        <v>Investissement</v>
      </c>
      <c r="AA516" t="str">
        <f t="shared" si="38"/>
        <v>travaux magasin</v>
      </c>
    </row>
    <row r="517" spans="20:27" x14ac:dyDescent="0.25">
      <c r="T517" s="71">
        <f t="shared" si="35"/>
        <v>59449</v>
      </c>
      <c r="U517" s="77">
        <f t="shared" si="36"/>
        <v>864.41</v>
      </c>
      <c r="V517" s="72">
        <f t="shared" si="39"/>
        <v>-2742.89</v>
      </c>
      <c r="W517" s="72">
        <f>D_Emprunts!$U517-D_Emprunts!$V517</f>
        <v>3607.2999999999997</v>
      </c>
      <c r="X517" s="73">
        <f>X516-D_Emprunts!$W517</f>
        <v>-933385.4700000002</v>
      </c>
      <c r="Y517">
        <v>510</v>
      </c>
      <c r="Z517" t="str">
        <f t="shared" si="37"/>
        <v>Investissement</v>
      </c>
      <c r="AA517" t="str">
        <f t="shared" si="38"/>
        <v>travaux magasin</v>
      </c>
    </row>
    <row r="518" spans="20:27" x14ac:dyDescent="0.25">
      <c r="T518" s="68">
        <f t="shared" si="35"/>
        <v>59480</v>
      </c>
      <c r="U518" s="77">
        <f t="shared" si="36"/>
        <v>864.41</v>
      </c>
      <c r="V518" s="72">
        <f t="shared" si="39"/>
        <v>-2753.53</v>
      </c>
      <c r="W518" s="69">
        <f>D_Emprunts!$U518-D_Emprunts!$V518</f>
        <v>3617.94</v>
      </c>
      <c r="X518" s="70">
        <f>X517-D_Emprunts!$W518</f>
        <v>-937003.41000000015</v>
      </c>
      <c r="Y518">
        <v>511</v>
      </c>
      <c r="Z518" t="str">
        <f t="shared" si="37"/>
        <v>Investissement</v>
      </c>
      <c r="AA518" t="str">
        <f t="shared" si="38"/>
        <v>travaux magasin</v>
      </c>
    </row>
    <row r="519" spans="20:27" x14ac:dyDescent="0.25">
      <c r="T519" s="71">
        <f t="shared" si="35"/>
        <v>59510</v>
      </c>
      <c r="U519" s="77">
        <f t="shared" si="36"/>
        <v>864.41</v>
      </c>
      <c r="V519" s="72">
        <f t="shared" si="39"/>
        <v>-2764.21</v>
      </c>
      <c r="W519" s="72">
        <f>D_Emprunts!$U519-D_Emprunts!$V519</f>
        <v>3628.62</v>
      </c>
      <c r="X519" s="73">
        <f>X518-D_Emprunts!$W519</f>
        <v>-940632.03000000014</v>
      </c>
      <c r="Y519">
        <v>512</v>
      </c>
      <c r="Z519" t="str">
        <f t="shared" si="37"/>
        <v>Investissement</v>
      </c>
      <c r="AA519" t="str">
        <f t="shared" si="38"/>
        <v>travaux magasin</v>
      </c>
    </row>
    <row r="520" spans="20:27" x14ac:dyDescent="0.25">
      <c r="T520" s="68">
        <f t="shared" ref="T520:T583" si="40">EDATE(T519,1)</f>
        <v>59541</v>
      </c>
      <c r="U520" s="77">
        <f t="shared" si="36"/>
        <v>864.41</v>
      </c>
      <c r="V520" s="72">
        <f t="shared" si="39"/>
        <v>-2774.91</v>
      </c>
      <c r="W520" s="69">
        <f>D_Emprunts!$U520-D_Emprunts!$V520</f>
        <v>3639.3199999999997</v>
      </c>
      <c r="X520" s="70">
        <f>X519-D_Emprunts!$W520</f>
        <v>-944271.35000000009</v>
      </c>
      <c r="Y520">
        <v>513</v>
      </c>
      <c r="Z520" t="str">
        <f t="shared" si="37"/>
        <v>Investissement</v>
      </c>
      <c r="AA520" t="str">
        <f t="shared" si="38"/>
        <v>travaux magasin</v>
      </c>
    </row>
    <row r="521" spans="20:27" x14ac:dyDescent="0.25">
      <c r="T521" s="71">
        <f t="shared" si="40"/>
        <v>59572</v>
      </c>
      <c r="U521" s="77">
        <f t="shared" ref="U521:U584" si="41">$X$4</f>
        <v>864.41</v>
      </c>
      <c r="V521" s="72">
        <f t="shared" si="39"/>
        <v>-2785.65</v>
      </c>
      <c r="W521" s="72">
        <f>D_Emprunts!$U521-D_Emprunts!$V521</f>
        <v>3650.06</v>
      </c>
      <c r="X521" s="73">
        <f>X520-D_Emprunts!$W521</f>
        <v>-947921.41000000015</v>
      </c>
      <c r="Y521">
        <v>514</v>
      </c>
      <c r="Z521" t="str">
        <f t="shared" ref="Z521:Z584" si="42">$Y$4</f>
        <v>Investissement</v>
      </c>
      <c r="AA521" t="str">
        <f t="shared" ref="AA521:AA584" si="43">$Z$4</f>
        <v>travaux magasin</v>
      </c>
    </row>
    <row r="522" spans="20:27" x14ac:dyDescent="0.25">
      <c r="T522" s="68">
        <f t="shared" si="40"/>
        <v>59600</v>
      </c>
      <c r="U522" s="77">
        <f t="shared" si="41"/>
        <v>864.41</v>
      </c>
      <c r="V522" s="72">
        <f t="shared" ref="V522:V585" si="44">ROUND(X521*$V$4/12,2)</f>
        <v>-2796.42</v>
      </c>
      <c r="W522" s="69">
        <f>D_Emprunts!$U522-D_Emprunts!$V522</f>
        <v>3660.83</v>
      </c>
      <c r="X522" s="70">
        <f>X521-D_Emprunts!$W522</f>
        <v>-951582.24000000011</v>
      </c>
      <c r="Y522">
        <v>515</v>
      </c>
      <c r="Z522" t="str">
        <f t="shared" si="42"/>
        <v>Investissement</v>
      </c>
      <c r="AA522" t="str">
        <f t="shared" si="43"/>
        <v>travaux magasin</v>
      </c>
    </row>
    <row r="523" spans="20:27" x14ac:dyDescent="0.25">
      <c r="T523" s="71">
        <f t="shared" si="40"/>
        <v>59631</v>
      </c>
      <c r="U523" s="77">
        <f t="shared" si="41"/>
        <v>864.41</v>
      </c>
      <c r="V523" s="72">
        <f t="shared" si="44"/>
        <v>-2807.22</v>
      </c>
      <c r="W523" s="72">
        <f>D_Emprunts!$U523-D_Emprunts!$V523</f>
        <v>3671.6299999999997</v>
      </c>
      <c r="X523" s="73">
        <f>X522-D_Emprunts!$W523</f>
        <v>-955253.87000000011</v>
      </c>
      <c r="Y523">
        <v>516</v>
      </c>
      <c r="Z523" t="str">
        <f t="shared" si="42"/>
        <v>Investissement</v>
      </c>
      <c r="AA523" t="str">
        <f t="shared" si="43"/>
        <v>travaux magasin</v>
      </c>
    </row>
    <row r="524" spans="20:27" x14ac:dyDescent="0.25">
      <c r="T524" s="68">
        <f t="shared" si="40"/>
        <v>59661</v>
      </c>
      <c r="U524" s="77">
        <f t="shared" si="41"/>
        <v>864.41</v>
      </c>
      <c r="V524" s="72">
        <f t="shared" si="44"/>
        <v>-2818.05</v>
      </c>
      <c r="W524" s="69">
        <f>D_Emprunts!$U524-D_Emprunts!$V524</f>
        <v>3682.46</v>
      </c>
      <c r="X524" s="70">
        <f>X523-D_Emprunts!$W524</f>
        <v>-958936.33000000007</v>
      </c>
      <c r="Y524">
        <v>517</v>
      </c>
      <c r="Z524" t="str">
        <f t="shared" si="42"/>
        <v>Investissement</v>
      </c>
      <c r="AA524" t="str">
        <f t="shared" si="43"/>
        <v>travaux magasin</v>
      </c>
    </row>
    <row r="525" spans="20:27" x14ac:dyDescent="0.25">
      <c r="T525" s="71">
        <f t="shared" si="40"/>
        <v>59692</v>
      </c>
      <c r="U525" s="77">
        <f t="shared" si="41"/>
        <v>864.41</v>
      </c>
      <c r="V525" s="72">
        <f t="shared" si="44"/>
        <v>-2828.91</v>
      </c>
      <c r="W525" s="72">
        <f>D_Emprunts!$U525-D_Emprunts!$V525</f>
        <v>3693.3199999999997</v>
      </c>
      <c r="X525" s="73">
        <f>X524-D_Emprunts!$W525</f>
        <v>-962629.65</v>
      </c>
      <c r="Y525">
        <v>518</v>
      </c>
      <c r="Z525" t="str">
        <f t="shared" si="42"/>
        <v>Investissement</v>
      </c>
      <c r="AA525" t="str">
        <f t="shared" si="43"/>
        <v>travaux magasin</v>
      </c>
    </row>
    <row r="526" spans="20:27" x14ac:dyDescent="0.25">
      <c r="T526" s="68">
        <f t="shared" si="40"/>
        <v>59722</v>
      </c>
      <c r="U526" s="77">
        <f t="shared" si="41"/>
        <v>864.41</v>
      </c>
      <c r="V526" s="72">
        <f t="shared" si="44"/>
        <v>-2839.81</v>
      </c>
      <c r="W526" s="69">
        <f>D_Emprunts!$U526-D_Emprunts!$V526</f>
        <v>3704.22</v>
      </c>
      <c r="X526" s="70">
        <f>X525-D_Emprunts!$W526</f>
        <v>-966333.87</v>
      </c>
      <c r="Y526">
        <v>519</v>
      </c>
      <c r="Z526" t="str">
        <f t="shared" si="42"/>
        <v>Investissement</v>
      </c>
      <c r="AA526" t="str">
        <f t="shared" si="43"/>
        <v>travaux magasin</v>
      </c>
    </row>
    <row r="527" spans="20:27" x14ac:dyDescent="0.25">
      <c r="T527" s="71">
        <f t="shared" si="40"/>
        <v>59753</v>
      </c>
      <c r="U527" s="77">
        <f t="shared" si="41"/>
        <v>864.41</v>
      </c>
      <c r="V527" s="72">
        <f t="shared" si="44"/>
        <v>-2850.73</v>
      </c>
      <c r="W527" s="72">
        <f>D_Emprunts!$U527-D_Emprunts!$V527</f>
        <v>3715.14</v>
      </c>
      <c r="X527" s="73">
        <f>X526-D_Emprunts!$W527</f>
        <v>-970049.01</v>
      </c>
      <c r="Y527">
        <v>520</v>
      </c>
      <c r="Z527" t="str">
        <f t="shared" si="42"/>
        <v>Investissement</v>
      </c>
      <c r="AA527" t="str">
        <f t="shared" si="43"/>
        <v>travaux magasin</v>
      </c>
    </row>
    <row r="528" spans="20:27" x14ac:dyDescent="0.25">
      <c r="T528" s="68">
        <f t="shared" si="40"/>
        <v>59784</v>
      </c>
      <c r="U528" s="77">
        <f t="shared" si="41"/>
        <v>864.41</v>
      </c>
      <c r="V528" s="72">
        <f t="shared" si="44"/>
        <v>-2861.69</v>
      </c>
      <c r="W528" s="69">
        <f>D_Emprunts!$U528-D_Emprunts!$V528</f>
        <v>3726.1</v>
      </c>
      <c r="X528" s="70">
        <f>X527-D_Emprunts!$W528</f>
        <v>-973775.11</v>
      </c>
      <c r="Y528">
        <v>521</v>
      </c>
      <c r="Z528" t="str">
        <f t="shared" si="42"/>
        <v>Investissement</v>
      </c>
      <c r="AA528" t="str">
        <f t="shared" si="43"/>
        <v>travaux magasin</v>
      </c>
    </row>
    <row r="529" spans="20:27" x14ac:dyDescent="0.25">
      <c r="T529" s="71">
        <f t="shared" si="40"/>
        <v>59814</v>
      </c>
      <c r="U529" s="77">
        <f t="shared" si="41"/>
        <v>864.41</v>
      </c>
      <c r="V529" s="72">
        <f t="shared" si="44"/>
        <v>-2872.69</v>
      </c>
      <c r="W529" s="72">
        <f>D_Emprunts!$U529-D_Emprunts!$V529</f>
        <v>3737.1</v>
      </c>
      <c r="X529" s="73">
        <f>X528-D_Emprunts!$W529</f>
        <v>-977512.21</v>
      </c>
      <c r="Y529">
        <v>522</v>
      </c>
      <c r="Z529" t="str">
        <f t="shared" si="42"/>
        <v>Investissement</v>
      </c>
      <c r="AA529" t="str">
        <f t="shared" si="43"/>
        <v>travaux magasin</v>
      </c>
    </row>
    <row r="530" spans="20:27" x14ac:dyDescent="0.25">
      <c r="T530" s="68">
        <f t="shared" si="40"/>
        <v>59845</v>
      </c>
      <c r="U530" s="77">
        <f t="shared" si="41"/>
        <v>864.41</v>
      </c>
      <c r="V530" s="72">
        <f t="shared" si="44"/>
        <v>-2883.71</v>
      </c>
      <c r="W530" s="69">
        <f>D_Emprunts!$U530-D_Emprunts!$V530</f>
        <v>3748.12</v>
      </c>
      <c r="X530" s="70">
        <f>X529-D_Emprunts!$W530</f>
        <v>-981260.33</v>
      </c>
      <c r="Y530">
        <v>523</v>
      </c>
      <c r="Z530" t="str">
        <f t="shared" si="42"/>
        <v>Investissement</v>
      </c>
      <c r="AA530" t="str">
        <f t="shared" si="43"/>
        <v>travaux magasin</v>
      </c>
    </row>
    <row r="531" spans="20:27" x14ac:dyDescent="0.25">
      <c r="T531" s="71">
        <f t="shared" si="40"/>
        <v>59875</v>
      </c>
      <c r="U531" s="77">
        <f t="shared" si="41"/>
        <v>864.41</v>
      </c>
      <c r="V531" s="72">
        <f t="shared" si="44"/>
        <v>-2894.77</v>
      </c>
      <c r="W531" s="72">
        <f>D_Emprunts!$U531-D_Emprunts!$V531</f>
        <v>3759.18</v>
      </c>
      <c r="X531" s="73">
        <f>X530-D_Emprunts!$W531</f>
        <v>-985019.51</v>
      </c>
      <c r="Y531">
        <v>524</v>
      </c>
      <c r="Z531" t="str">
        <f t="shared" si="42"/>
        <v>Investissement</v>
      </c>
      <c r="AA531" t="str">
        <f t="shared" si="43"/>
        <v>travaux magasin</v>
      </c>
    </row>
    <row r="532" spans="20:27" x14ac:dyDescent="0.25">
      <c r="T532" s="68">
        <f t="shared" si="40"/>
        <v>59906</v>
      </c>
      <c r="U532" s="77">
        <f t="shared" si="41"/>
        <v>864.41</v>
      </c>
      <c r="V532" s="72">
        <f t="shared" si="44"/>
        <v>-2905.86</v>
      </c>
      <c r="W532" s="69">
        <f>D_Emprunts!$U532-D_Emprunts!$V532</f>
        <v>3770.27</v>
      </c>
      <c r="X532" s="70">
        <f>X531-D_Emprunts!$W532</f>
        <v>-988789.78</v>
      </c>
      <c r="Y532">
        <v>525</v>
      </c>
      <c r="Z532" t="str">
        <f t="shared" si="42"/>
        <v>Investissement</v>
      </c>
      <c r="AA532" t="str">
        <f t="shared" si="43"/>
        <v>travaux magasin</v>
      </c>
    </row>
    <row r="533" spans="20:27" x14ac:dyDescent="0.25">
      <c r="T533" s="71">
        <f t="shared" si="40"/>
        <v>59937</v>
      </c>
      <c r="U533" s="77">
        <f t="shared" si="41"/>
        <v>864.41</v>
      </c>
      <c r="V533" s="72">
        <f t="shared" si="44"/>
        <v>-2916.98</v>
      </c>
      <c r="W533" s="72">
        <f>D_Emprunts!$U533-D_Emprunts!$V533</f>
        <v>3781.39</v>
      </c>
      <c r="X533" s="73">
        <f>X532-D_Emprunts!$W533</f>
        <v>-992571.17</v>
      </c>
      <c r="Y533">
        <v>526</v>
      </c>
      <c r="Z533" t="str">
        <f t="shared" si="42"/>
        <v>Investissement</v>
      </c>
      <c r="AA533" t="str">
        <f t="shared" si="43"/>
        <v>travaux magasin</v>
      </c>
    </row>
    <row r="534" spans="20:27" x14ac:dyDescent="0.25">
      <c r="T534" s="68">
        <f t="shared" si="40"/>
        <v>59966</v>
      </c>
      <c r="U534" s="77">
        <f t="shared" si="41"/>
        <v>864.41</v>
      </c>
      <c r="V534" s="72">
        <f t="shared" si="44"/>
        <v>-2928.14</v>
      </c>
      <c r="W534" s="69">
        <f>D_Emprunts!$U534-D_Emprunts!$V534</f>
        <v>3792.5499999999997</v>
      </c>
      <c r="X534" s="70">
        <f>X533-D_Emprunts!$W534</f>
        <v>-996363.72000000009</v>
      </c>
      <c r="Y534">
        <v>527</v>
      </c>
      <c r="Z534" t="str">
        <f t="shared" si="42"/>
        <v>Investissement</v>
      </c>
      <c r="AA534" t="str">
        <f t="shared" si="43"/>
        <v>travaux magasin</v>
      </c>
    </row>
    <row r="535" spans="20:27" x14ac:dyDescent="0.25">
      <c r="T535" s="71">
        <f t="shared" si="40"/>
        <v>59997</v>
      </c>
      <c r="U535" s="77">
        <f t="shared" si="41"/>
        <v>864.41</v>
      </c>
      <c r="V535" s="72">
        <f t="shared" si="44"/>
        <v>-2939.32</v>
      </c>
      <c r="W535" s="72">
        <f>D_Emprunts!$U535-D_Emprunts!$V535</f>
        <v>3803.73</v>
      </c>
      <c r="X535" s="73">
        <f>X534-D_Emprunts!$W535</f>
        <v>-1000167.4500000001</v>
      </c>
      <c r="Y535">
        <v>528</v>
      </c>
      <c r="Z535" t="str">
        <f t="shared" si="42"/>
        <v>Investissement</v>
      </c>
      <c r="AA535" t="str">
        <f t="shared" si="43"/>
        <v>travaux magasin</v>
      </c>
    </row>
    <row r="536" spans="20:27" x14ac:dyDescent="0.25">
      <c r="T536" s="68">
        <f t="shared" si="40"/>
        <v>60027</v>
      </c>
      <c r="U536" s="77">
        <f t="shared" si="41"/>
        <v>864.41</v>
      </c>
      <c r="V536" s="72">
        <f t="shared" si="44"/>
        <v>-2950.55</v>
      </c>
      <c r="W536" s="69">
        <f>D_Emprunts!$U536-D_Emprunts!$V536</f>
        <v>3814.96</v>
      </c>
      <c r="X536" s="70">
        <f>X535-D_Emprunts!$W536</f>
        <v>-1003982.41</v>
      </c>
      <c r="Y536">
        <v>529</v>
      </c>
      <c r="Z536" t="str">
        <f t="shared" si="42"/>
        <v>Investissement</v>
      </c>
      <c r="AA536" t="str">
        <f t="shared" si="43"/>
        <v>travaux magasin</v>
      </c>
    </row>
    <row r="537" spans="20:27" x14ac:dyDescent="0.25">
      <c r="T537" s="71">
        <f t="shared" si="40"/>
        <v>60058</v>
      </c>
      <c r="U537" s="77">
        <f t="shared" si="41"/>
        <v>864.41</v>
      </c>
      <c r="V537" s="72">
        <f t="shared" si="44"/>
        <v>-2961.8</v>
      </c>
      <c r="W537" s="72">
        <f>D_Emprunts!$U537-D_Emprunts!$V537</f>
        <v>3826.21</v>
      </c>
      <c r="X537" s="73">
        <f>X536-D_Emprunts!$W537</f>
        <v>-1007808.62</v>
      </c>
      <c r="Y537">
        <v>530</v>
      </c>
      <c r="Z537" t="str">
        <f t="shared" si="42"/>
        <v>Investissement</v>
      </c>
      <c r="AA537" t="str">
        <f t="shared" si="43"/>
        <v>travaux magasin</v>
      </c>
    </row>
    <row r="538" spans="20:27" x14ac:dyDescent="0.25">
      <c r="T538" s="68">
        <f t="shared" si="40"/>
        <v>60088</v>
      </c>
      <c r="U538" s="77">
        <f t="shared" si="41"/>
        <v>864.41</v>
      </c>
      <c r="V538" s="72">
        <f t="shared" si="44"/>
        <v>-2973.09</v>
      </c>
      <c r="W538" s="69">
        <f>D_Emprunts!$U538-D_Emprunts!$V538</f>
        <v>3837.5</v>
      </c>
      <c r="X538" s="70">
        <f>X537-D_Emprunts!$W538</f>
        <v>-1011646.12</v>
      </c>
      <c r="Y538">
        <v>531</v>
      </c>
      <c r="Z538" t="str">
        <f t="shared" si="42"/>
        <v>Investissement</v>
      </c>
      <c r="AA538" t="str">
        <f t="shared" si="43"/>
        <v>travaux magasin</v>
      </c>
    </row>
    <row r="539" spans="20:27" x14ac:dyDescent="0.25">
      <c r="T539" s="71">
        <f t="shared" si="40"/>
        <v>60119</v>
      </c>
      <c r="U539" s="77">
        <f t="shared" si="41"/>
        <v>864.41</v>
      </c>
      <c r="V539" s="72">
        <f t="shared" si="44"/>
        <v>-2984.41</v>
      </c>
      <c r="W539" s="72">
        <f>D_Emprunts!$U539-D_Emprunts!$V539</f>
        <v>3848.8199999999997</v>
      </c>
      <c r="X539" s="73">
        <f>X538-D_Emprunts!$W539</f>
        <v>-1015494.94</v>
      </c>
      <c r="Y539">
        <v>532</v>
      </c>
      <c r="Z539" t="str">
        <f t="shared" si="42"/>
        <v>Investissement</v>
      </c>
      <c r="AA539" t="str">
        <f t="shared" si="43"/>
        <v>travaux magasin</v>
      </c>
    </row>
    <row r="540" spans="20:27" x14ac:dyDescent="0.25">
      <c r="T540" s="68">
        <f t="shared" si="40"/>
        <v>60150</v>
      </c>
      <c r="U540" s="77">
        <f t="shared" si="41"/>
        <v>864.41</v>
      </c>
      <c r="V540" s="72">
        <f t="shared" si="44"/>
        <v>-2995.76</v>
      </c>
      <c r="W540" s="69">
        <f>D_Emprunts!$U540-D_Emprunts!$V540</f>
        <v>3860.17</v>
      </c>
      <c r="X540" s="70">
        <f>X539-D_Emprunts!$W540</f>
        <v>-1019355.11</v>
      </c>
      <c r="Y540">
        <v>533</v>
      </c>
      <c r="Z540" t="str">
        <f t="shared" si="42"/>
        <v>Investissement</v>
      </c>
      <c r="AA540" t="str">
        <f t="shared" si="43"/>
        <v>travaux magasin</v>
      </c>
    </row>
    <row r="541" spans="20:27" x14ac:dyDescent="0.25">
      <c r="T541" s="71">
        <f t="shared" si="40"/>
        <v>60180</v>
      </c>
      <c r="U541" s="77">
        <f t="shared" si="41"/>
        <v>864.41</v>
      </c>
      <c r="V541" s="72">
        <f t="shared" si="44"/>
        <v>-3007.15</v>
      </c>
      <c r="W541" s="72">
        <f>D_Emprunts!$U541-D_Emprunts!$V541</f>
        <v>3871.56</v>
      </c>
      <c r="X541" s="73">
        <f>X540-D_Emprunts!$W541</f>
        <v>-1023226.67</v>
      </c>
      <c r="Y541">
        <v>534</v>
      </c>
      <c r="Z541" t="str">
        <f t="shared" si="42"/>
        <v>Investissement</v>
      </c>
      <c r="AA541" t="str">
        <f t="shared" si="43"/>
        <v>travaux magasin</v>
      </c>
    </row>
    <row r="542" spans="20:27" x14ac:dyDescent="0.25">
      <c r="T542" s="68">
        <f t="shared" si="40"/>
        <v>60211</v>
      </c>
      <c r="U542" s="77">
        <f t="shared" si="41"/>
        <v>864.41</v>
      </c>
      <c r="V542" s="72">
        <f t="shared" si="44"/>
        <v>-3018.57</v>
      </c>
      <c r="W542" s="69">
        <f>D_Emprunts!$U542-D_Emprunts!$V542</f>
        <v>3882.98</v>
      </c>
      <c r="X542" s="70">
        <f>X541-D_Emprunts!$W542</f>
        <v>-1027109.65</v>
      </c>
      <c r="Y542">
        <v>535</v>
      </c>
      <c r="Z542" t="str">
        <f t="shared" si="42"/>
        <v>Investissement</v>
      </c>
      <c r="AA542" t="str">
        <f t="shared" si="43"/>
        <v>travaux magasin</v>
      </c>
    </row>
    <row r="543" spans="20:27" x14ac:dyDescent="0.25">
      <c r="T543" s="71">
        <f t="shared" si="40"/>
        <v>60241</v>
      </c>
      <c r="U543" s="77">
        <f t="shared" si="41"/>
        <v>864.41</v>
      </c>
      <c r="V543" s="72">
        <f t="shared" si="44"/>
        <v>-3030.03</v>
      </c>
      <c r="W543" s="72">
        <f>D_Emprunts!$U543-D_Emprunts!$V543</f>
        <v>3894.44</v>
      </c>
      <c r="X543" s="73">
        <f>X542-D_Emprunts!$W543</f>
        <v>-1031004.09</v>
      </c>
      <c r="Y543">
        <v>536</v>
      </c>
      <c r="Z543" t="str">
        <f t="shared" si="42"/>
        <v>Investissement</v>
      </c>
      <c r="AA543" t="str">
        <f t="shared" si="43"/>
        <v>travaux magasin</v>
      </c>
    </row>
    <row r="544" spans="20:27" x14ac:dyDescent="0.25">
      <c r="T544" s="68">
        <f t="shared" si="40"/>
        <v>60272</v>
      </c>
      <c r="U544" s="77">
        <f t="shared" si="41"/>
        <v>864.41</v>
      </c>
      <c r="V544" s="72">
        <f t="shared" si="44"/>
        <v>-3041.51</v>
      </c>
      <c r="W544" s="69">
        <f>D_Emprunts!$U544-D_Emprunts!$V544</f>
        <v>3905.92</v>
      </c>
      <c r="X544" s="70">
        <f>X543-D_Emprunts!$W544</f>
        <v>-1034910.01</v>
      </c>
      <c r="Y544">
        <v>537</v>
      </c>
      <c r="Z544" t="str">
        <f t="shared" si="42"/>
        <v>Investissement</v>
      </c>
      <c r="AA544" t="str">
        <f t="shared" si="43"/>
        <v>travaux magasin</v>
      </c>
    </row>
    <row r="545" spans="20:27" x14ac:dyDescent="0.25">
      <c r="T545" s="71">
        <f t="shared" si="40"/>
        <v>60303</v>
      </c>
      <c r="U545" s="77">
        <f t="shared" si="41"/>
        <v>864.41</v>
      </c>
      <c r="V545" s="72">
        <f t="shared" si="44"/>
        <v>-3053.04</v>
      </c>
      <c r="W545" s="72">
        <f>D_Emprunts!$U545-D_Emprunts!$V545</f>
        <v>3917.45</v>
      </c>
      <c r="X545" s="73">
        <f>X544-D_Emprunts!$W545</f>
        <v>-1038827.46</v>
      </c>
      <c r="Y545">
        <v>538</v>
      </c>
      <c r="Z545" t="str">
        <f t="shared" si="42"/>
        <v>Investissement</v>
      </c>
      <c r="AA545" t="str">
        <f t="shared" si="43"/>
        <v>travaux magasin</v>
      </c>
    </row>
    <row r="546" spans="20:27" x14ac:dyDescent="0.25">
      <c r="T546" s="68">
        <f t="shared" si="40"/>
        <v>60331</v>
      </c>
      <c r="U546" s="77">
        <f t="shared" si="41"/>
        <v>864.41</v>
      </c>
      <c r="V546" s="72">
        <f t="shared" si="44"/>
        <v>-3064.59</v>
      </c>
      <c r="W546" s="69">
        <f>D_Emprunts!$U546-D_Emprunts!$V546</f>
        <v>3929</v>
      </c>
      <c r="X546" s="70">
        <f>X545-D_Emprunts!$W546</f>
        <v>-1042756.46</v>
      </c>
      <c r="Y546">
        <v>539</v>
      </c>
      <c r="Z546" t="str">
        <f t="shared" si="42"/>
        <v>Investissement</v>
      </c>
      <c r="AA546" t="str">
        <f t="shared" si="43"/>
        <v>travaux magasin</v>
      </c>
    </row>
    <row r="547" spans="20:27" x14ac:dyDescent="0.25">
      <c r="T547" s="71">
        <f t="shared" si="40"/>
        <v>60362</v>
      </c>
      <c r="U547" s="77">
        <f t="shared" si="41"/>
        <v>864.41</v>
      </c>
      <c r="V547" s="72">
        <f t="shared" si="44"/>
        <v>-3076.18</v>
      </c>
      <c r="W547" s="72">
        <f>D_Emprunts!$U547-D_Emprunts!$V547</f>
        <v>3940.5899999999997</v>
      </c>
      <c r="X547" s="73">
        <f>X546-D_Emprunts!$W547</f>
        <v>-1046697.0499999999</v>
      </c>
      <c r="Y547">
        <v>540</v>
      </c>
      <c r="Z547" t="str">
        <f t="shared" si="42"/>
        <v>Investissement</v>
      </c>
      <c r="AA547" t="str">
        <f t="shared" si="43"/>
        <v>travaux magasin</v>
      </c>
    </row>
    <row r="548" spans="20:27" x14ac:dyDescent="0.25">
      <c r="T548" s="68">
        <f t="shared" si="40"/>
        <v>60392</v>
      </c>
      <c r="U548" s="77">
        <f t="shared" si="41"/>
        <v>864.41</v>
      </c>
      <c r="V548" s="72">
        <f t="shared" si="44"/>
        <v>-3087.81</v>
      </c>
      <c r="W548" s="69">
        <f>D_Emprunts!$U548-D_Emprunts!$V548</f>
        <v>3952.22</v>
      </c>
      <c r="X548" s="70">
        <f>X547-D_Emprunts!$W548</f>
        <v>-1050649.27</v>
      </c>
      <c r="Y548">
        <v>541</v>
      </c>
      <c r="Z548" t="str">
        <f t="shared" si="42"/>
        <v>Investissement</v>
      </c>
      <c r="AA548" t="str">
        <f t="shared" si="43"/>
        <v>travaux magasin</v>
      </c>
    </row>
    <row r="549" spans="20:27" x14ac:dyDescent="0.25">
      <c r="T549" s="71">
        <f t="shared" si="40"/>
        <v>60423</v>
      </c>
      <c r="U549" s="77">
        <f t="shared" si="41"/>
        <v>864.41</v>
      </c>
      <c r="V549" s="72">
        <f t="shared" si="44"/>
        <v>-3099.47</v>
      </c>
      <c r="W549" s="72">
        <f>D_Emprunts!$U549-D_Emprunts!$V549</f>
        <v>3963.8799999999997</v>
      </c>
      <c r="X549" s="73">
        <f>X548-D_Emprunts!$W549</f>
        <v>-1054613.1499999999</v>
      </c>
      <c r="Y549">
        <v>542</v>
      </c>
      <c r="Z549" t="str">
        <f t="shared" si="42"/>
        <v>Investissement</v>
      </c>
      <c r="AA549" t="str">
        <f t="shared" si="43"/>
        <v>travaux magasin</v>
      </c>
    </row>
    <row r="550" spans="20:27" x14ac:dyDescent="0.25">
      <c r="T550" s="68">
        <f t="shared" si="40"/>
        <v>60453</v>
      </c>
      <c r="U550" s="77">
        <f t="shared" si="41"/>
        <v>864.41</v>
      </c>
      <c r="V550" s="72">
        <f t="shared" si="44"/>
        <v>-3111.16</v>
      </c>
      <c r="W550" s="69">
        <f>D_Emprunts!$U550-D_Emprunts!$V550</f>
        <v>3975.5699999999997</v>
      </c>
      <c r="X550" s="70">
        <f>X549-D_Emprunts!$W550</f>
        <v>-1058588.72</v>
      </c>
      <c r="Y550">
        <v>543</v>
      </c>
      <c r="Z550" t="str">
        <f t="shared" si="42"/>
        <v>Investissement</v>
      </c>
      <c r="AA550" t="str">
        <f t="shared" si="43"/>
        <v>travaux magasin</v>
      </c>
    </row>
    <row r="551" spans="20:27" x14ac:dyDescent="0.25">
      <c r="T551" s="71">
        <f t="shared" si="40"/>
        <v>60484</v>
      </c>
      <c r="U551" s="77">
        <f t="shared" si="41"/>
        <v>864.41</v>
      </c>
      <c r="V551" s="72">
        <f t="shared" si="44"/>
        <v>-3122.89</v>
      </c>
      <c r="W551" s="72">
        <f>D_Emprunts!$U551-D_Emprunts!$V551</f>
        <v>3987.2999999999997</v>
      </c>
      <c r="X551" s="73">
        <f>X550-D_Emprunts!$W551</f>
        <v>-1062576.02</v>
      </c>
      <c r="Y551">
        <v>544</v>
      </c>
      <c r="Z551" t="str">
        <f t="shared" si="42"/>
        <v>Investissement</v>
      </c>
      <c r="AA551" t="str">
        <f t="shared" si="43"/>
        <v>travaux magasin</v>
      </c>
    </row>
    <row r="552" spans="20:27" x14ac:dyDescent="0.25">
      <c r="T552" s="68">
        <f t="shared" si="40"/>
        <v>60515</v>
      </c>
      <c r="U552" s="77">
        <f t="shared" si="41"/>
        <v>864.41</v>
      </c>
      <c r="V552" s="72">
        <f t="shared" si="44"/>
        <v>-3134.65</v>
      </c>
      <c r="W552" s="69">
        <f>D_Emprunts!$U552-D_Emprunts!$V552</f>
        <v>3999.06</v>
      </c>
      <c r="X552" s="70">
        <f>X551-D_Emprunts!$W552</f>
        <v>-1066575.08</v>
      </c>
      <c r="Y552">
        <v>545</v>
      </c>
      <c r="Z552" t="str">
        <f t="shared" si="42"/>
        <v>Investissement</v>
      </c>
      <c r="AA552" t="str">
        <f t="shared" si="43"/>
        <v>travaux magasin</v>
      </c>
    </row>
    <row r="553" spans="20:27" x14ac:dyDescent="0.25">
      <c r="T553" s="71">
        <f t="shared" si="40"/>
        <v>60545</v>
      </c>
      <c r="U553" s="77">
        <f t="shared" si="41"/>
        <v>864.41</v>
      </c>
      <c r="V553" s="72">
        <f t="shared" si="44"/>
        <v>-3146.45</v>
      </c>
      <c r="W553" s="72">
        <f>D_Emprunts!$U553-D_Emprunts!$V553</f>
        <v>4010.8599999999997</v>
      </c>
      <c r="X553" s="73">
        <f>X552-D_Emprunts!$W553</f>
        <v>-1070585.9400000002</v>
      </c>
      <c r="Y553">
        <v>546</v>
      </c>
      <c r="Z553" t="str">
        <f t="shared" si="42"/>
        <v>Investissement</v>
      </c>
      <c r="AA553" t="str">
        <f t="shared" si="43"/>
        <v>travaux magasin</v>
      </c>
    </row>
    <row r="554" spans="20:27" x14ac:dyDescent="0.25">
      <c r="T554" s="68">
        <f t="shared" si="40"/>
        <v>60576</v>
      </c>
      <c r="U554" s="77">
        <f t="shared" si="41"/>
        <v>864.41</v>
      </c>
      <c r="V554" s="72">
        <f t="shared" si="44"/>
        <v>-3158.28</v>
      </c>
      <c r="W554" s="69">
        <f>D_Emprunts!$U554-D_Emprunts!$V554</f>
        <v>4022.69</v>
      </c>
      <c r="X554" s="70">
        <f>X553-D_Emprunts!$W554</f>
        <v>-1074608.6300000001</v>
      </c>
      <c r="Y554">
        <v>547</v>
      </c>
      <c r="Z554" t="str">
        <f t="shared" si="42"/>
        <v>Investissement</v>
      </c>
      <c r="AA554" t="str">
        <f t="shared" si="43"/>
        <v>travaux magasin</v>
      </c>
    </row>
    <row r="555" spans="20:27" x14ac:dyDescent="0.25">
      <c r="T555" s="71">
        <f t="shared" si="40"/>
        <v>60606</v>
      </c>
      <c r="U555" s="77">
        <f t="shared" si="41"/>
        <v>864.41</v>
      </c>
      <c r="V555" s="72">
        <f t="shared" si="44"/>
        <v>-3170.15</v>
      </c>
      <c r="W555" s="72">
        <f>D_Emprunts!$U555-D_Emprunts!$V555</f>
        <v>4034.56</v>
      </c>
      <c r="X555" s="73">
        <f>X554-D_Emprunts!$W555</f>
        <v>-1078643.1900000002</v>
      </c>
      <c r="Y555">
        <v>548</v>
      </c>
      <c r="Z555" t="str">
        <f t="shared" si="42"/>
        <v>Investissement</v>
      </c>
      <c r="AA555" t="str">
        <f t="shared" si="43"/>
        <v>travaux magasin</v>
      </c>
    </row>
    <row r="556" spans="20:27" x14ac:dyDescent="0.25">
      <c r="T556" s="68">
        <f t="shared" si="40"/>
        <v>60637</v>
      </c>
      <c r="U556" s="77">
        <f t="shared" si="41"/>
        <v>864.41</v>
      </c>
      <c r="V556" s="72">
        <f t="shared" si="44"/>
        <v>-3182.05</v>
      </c>
      <c r="W556" s="69">
        <f>D_Emprunts!$U556-D_Emprunts!$V556</f>
        <v>4046.46</v>
      </c>
      <c r="X556" s="70">
        <f>X555-D_Emprunts!$W556</f>
        <v>-1082689.6500000001</v>
      </c>
      <c r="Y556">
        <v>549</v>
      </c>
      <c r="Z556" t="str">
        <f t="shared" si="42"/>
        <v>Investissement</v>
      </c>
      <c r="AA556" t="str">
        <f t="shared" si="43"/>
        <v>travaux magasin</v>
      </c>
    </row>
    <row r="557" spans="20:27" x14ac:dyDescent="0.25">
      <c r="T557" s="71">
        <f t="shared" si="40"/>
        <v>60668</v>
      </c>
      <c r="U557" s="77">
        <f t="shared" si="41"/>
        <v>864.41</v>
      </c>
      <c r="V557" s="72">
        <f t="shared" si="44"/>
        <v>-3193.99</v>
      </c>
      <c r="W557" s="72">
        <f>D_Emprunts!$U557-D_Emprunts!$V557</f>
        <v>4058.3999999999996</v>
      </c>
      <c r="X557" s="73">
        <f>X556-D_Emprunts!$W557</f>
        <v>-1086748.05</v>
      </c>
      <c r="Y557">
        <v>550</v>
      </c>
      <c r="Z557" t="str">
        <f t="shared" si="42"/>
        <v>Investissement</v>
      </c>
      <c r="AA557" t="str">
        <f t="shared" si="43"/>
        <v>travaux magasin</v>
      </c>
    </row>
    <row r="558" spans="20:27" x14ac:dyDescent="0.25">
      <c r="T558" s="68">
        <f t="shared" si="40"/>
        <v>60696</v>
      </c>
      <c r="U558" s="77">
        <f t="shared" si="41"/>
        <v>864.41</v>
      </c>
      <c r="V558" s="72">
        <f t="shared" si="44"/>
        <v>-3205.96</v>
      </c>
      <c r="W558" s="69">
        <f>D_Emprunts!$U558-D_Emprunts!$V558</f>
        <v>4070.37</v>
      </c>
      <c r="X558" s="70">
        <f>X557-D_Emprunts!$W558</f>
        <v>-1090818.4200000002</v>
      </c>
      <c r="Y558">
        <v>551</v>
      </c>
      <c r="Z558" t="str">
        <f t="shared" si="42"/>
        <v>Investissement</v>
      </c>
      <c r="AA558" t="str">
        <f t="shared" si="43"/>
        <v>travaux magasin</v>
      </c>
    </row>
    <row r="559" spans="20:27" x14ac:dyDescent="0.25">
      <c r="T559" s="71">
        <f t="shared" si="40"/>
        <v>60727</v>
      </c>
      <c r="U559" s="77">
        <f t="shared" si="41"/>
        <v>864.41</v>
      </c>
      <c r="V559" s="72">
        <f t="shared" si="44"/>
        <v>-3217.97</v>
      </c>
      <c r="W559" s="72">
        <f>D_Emprunts!$U559-D_Emprunts!$V559</f>
        <v>4082.3799999999997</v>
      </c>
      <c r="X559" s="73">
        <f>X558-D_Emprunts!$W559</f>
        <v>-1094900.8</v>
      </c>
      <c r="Y559">
        <v>552</v>
      </c>
      <c r="Z559" t="str">
        <f t="shared" si="42"/>
        <v>Investissement</v>
      </c>
      <c r="AA559" t="str">
        <f t="shared" si="43"/>
        <v>travaux magasin</v>
      </c>
    </row>
    <row r="560" spans="20:27" x14ac:dyDescent="0.25">
      <c r="T560" s="68">
        <f t="shared" si="40"/>
        <v>60757</v>
      </c>
      <c r="U560" s="77">
        <f t="shared" si="41"/>
        <v>864.41</v>
      </c>
      <c r="V560" s="72">
        <f t="shared" si="44"/>
        <v>-3230.01</v>
      </c>
      <c r="W560" s="69">
        <f>D_Emprunts!$U560-D_Emprunts!$V560</f>
        <v>4094.42</v>
      </c>
      <c r="X560" s="70">
        <f>X559-D_Emprunts!$W560</f>
        <v>-1098995.22</v>
      </c>
      <c r="Y560">
        <v>553</v>
      </c>
      <c r="Z560" t="str">
        <f t="shared" si="42"/>
        <v>Investissement</v>
      </c>
      <c r="AA560" t="str">
        <f t="shared" si="43"/>
        <v>travaux magasin</v>
      </c>
    </row>
    <row r="561" spans="20:27" x14ac:dyDescent="0.25">
      <c r="T561" s="71">
        <f t="shared" si="40"/>
        <v>60788</v>
      </c>
      <c r="U561" s="77">
        <f t="shared" si="41"/>
        <v>864.41</v>
      </c>
      <c r="V561" s="72">
        <f t="shared" si="44"/>
        <v>-3242.09</v>
      </c>
      <c r="W561" s="72">
        <f>D_Emprunts!$U561-D_Emprunts!$V561</f>
        <v>4106.5</v>
      </c>
      <c r="X561" s="73">
        <f>X560-D_Emprunts!$W561</f>
        <v>-1103101.72</v>
      </c>
      <c r="Y561">
        <v>554</v>
      </c>
      <c r="Z561" t="str">
        <f t="shared" si="42"/>
        <v>Investissement</v>
      </c>
      <c r="AA561" t="str">
        <f t="shared" si="43"/>
        <v>travaux magasin</v>
      </c>
    </row>
    <row r="562" spans="20:27" x14ac:dyDescent="0.25">
      <c r="T562" s="68">
        <f t="shared" si="40"/>
        <v>60818</v>
      </c>
      <c r="U562" s="77">
        <f t="shared" si="41"/>
        <v>864.41</v>
      </c>
      <c r="V562" s="72">
        <f t="shared" si="44"/>
        <v>-3254.21</v>
      </c>
      <c r="W562" s="69">
        <f>D_Emprunts!$U562-D_Emprunts!$V562</f>
        <v>4118.62</v>
      </c>
      <c r="X562" s="70">
        <f>X561-D_Emprunts!$W562</f>
        <v>-1107220.3400000001</v>
      </c>
      <c r="Y562">
        <v>555</v>
      </c>
      <c r="Z562" t="str">
        <f t="shared" si="42"/>
        <v>Investissement</v>
      </c>
      <c r="AA562" t="str">
        <f t="shared" si="43"/>
        <v>travaux magasin</v>
      </c>
    </row>
    <row r="563" spans="20:27" x14ac:dyDescent="0.25">
      <c r="T563" s="71">
        <f t="shared" si="40"/>
        <v>60849</v>
      </c>
      <c r="U563" s="77">
        <f t="shared" si="41"/>
        <v>864.41</v>
      </c>
      <c r="V563" s="72">
        <f t="shared" si="44"/>
        <v>-3266.36</v>
      </c>
      <c r="W563" s="72">
        <f>D_Emprunts!$U563-D_Emprunts!$V563</f>
        <v>4130.7700000000004</v>
      </c>
      <c r="X563" s="73">
        <f>X562-D_Emprunts!$W563</f>
        <v>-1111351.1100000001</v>
      </c>
      <c r="Y563">
        <v>556</v>
      </c>
      <c r="Z563" t="str">
        <f t="shared" si="42"/>
        <v>Investissement</v>
      </c>
      <c r="AA563" t="str">
        <f t="shared" si="43"/>
        <v>travaux magasin</v>
      </c>
    </row>
    <row r="564" spans="20:27" x14ac:dyDescent="0.25">
      <c r="T564" s="68">
        <f t="shared" si="40"/>
        <v>60880</v>
      </c>
      <c r="U564" s="77">
        <f t="shared" si="41"/>
        <v>864.41</v>
      </c>
      <c r="V564" s="72">
        <f t="shared" si="44"/>
        <v>-3278.54</v>
      </c>
      <c r="W564" s="69">
        <f>D_Emprunts!$U564-D_Emprunts!$V564</f>
        <v>4142.95</v>
      </c>
      <c r="X564" s="70">
        <f>X563-D_Emprunts!$W564</f>
        <v>-1115494.06</v>
      </c>
      <c r="Y564">
        <v>557</v>
      </c>
      <c r="Z564" t="str">
        <f t="shared" si="42"/>
        <v>Investissement</v>
      </c>
      <c r="AA564" t="str">
        <f t="shared" si="43"/>
        <v>travaux magasin</v>
      </c>
    </row>
    <row r="565" spans="20:27" x14ac:dyDescent="0.25">
      <c r="T565" s="71">
        <f t="shared" si="40"/>
        <v>60910</v>
      </c>
      <c r="U565" s="77">
        <f t="shared" si="41"/>
        <v>864.41</v>
      </c>
      <c r="V565" s="72">
        <f t="shared" si="44"/>
        <v>-3290.76</v>
      </c>
      <c r="W565" s="72">
        <f>D_Emprunts!$U565-D_Emprunts!$V565</f>
        <v>4155.17</v>
      </c>
      <c r="X565" s="73">
        <f>X564-D_Emprunts!$W565</f>
        <v>-1119649.23</v>
      </c>
      <c r="Y565">
        <v>558</v>
      </c>
      <c r="Z565" t="str">
        <f t="shared" si="42"/>
        <v>Investissement</v>
      </c>
      <c r="AA565" t="str">
        <f t="shared" si="43"/>
        <v>travaux magasin</v>
      </c>
    </row>
    <row r="566" spans="20:27" x14ac:dyDescent="0.25">
      <c r="T566" s="68">
        <f t="shared" si="40"/>
        <v>60941</v>
      </c>
      <c r="U566" s="77">
        <f t="shared" si="41"/>
        <v>864.41</v>
      </c>
      <c r="V566" s="72">
        <f t="shared" si="44"/>
        <v>-3303.02</v>
      </c>
      <c r="W566" s="69">
        <f>D_Emprunts!$U566-D_Emprunts!$V566</f>
        <v>4167.43</v>
      </c>
      <c r="X566" s="70">
        <f>X565-D_Emprunts!$W566</f>
        <v>-1123816.6599999999</v>
      </c>
      <c r="Y566">
        <v>559</v>
      </c>
      <c r="Z566" t="str">
        <f t="shared" si="42"/>
        <v>Investissement</v>
      </c>
      <c r="AA566" t="str">
        <f t="shared" si="43"/>
        <v>travaux magasin</v>
      </c>
    </row>
    <row r="567" spans="20:27" x14ac:dyDescent="0.25">
      <c r="T567" s="71">
        <f t="shared" si="40"/>
        <v>60971</v>
      </c>
      <c r="U567" s="77">
        <f t="shared" si="41"/>
        <v>864.41</v>
      </c>
      <c r="V567" s="72">
        <f t="shared" si="44"/>
        <v>-3315.32</v>
      </c>
      <c r="W567" s="72">
        <f>D_Emprunts!$U567-D_Emprunts!$V567</f>
        <v>4179.7300000000005</v>
      </c>
      <c r="X567" s="73">
        <f>X566-D_Emprunts!$W567</f>
        <v>-1127996.3899999999</v>
      </c>
      <c r="Y567">
        <v>560</v>
      </c>
      <c r="Z567" t="str">
        <f t="shared" si="42"/>
        <v>Investissement</v>
      </c>
      <c r="AA567" t="str">
        <f t="shared" si="43"/>
        <v>travaux magasin</v>
      </c>
    </row>
    <row r="568" spans="20:27" x14ac:dyDescent="0.25">
      <c r="T568" s="68">
        <f t="shared" si="40"/>
        <v>61002</v>
      </c>
      <c r="U568" s="77">
        <f t="shared" si="41"/>
        <v>864.41</v>
      </c>
      <c r="V568" s="72">
        <f t="shared" si="44"/>
        <v>-3327.65</v>
      </c>
      <c r="W568" s="69">
        <f>D_Emprunts!$U568-D_Emprunts!$V568</f>
        <v>4192.0600000000004</v>
      </c>
      <c r="X568" s="70">
        <f>X567-D_Emprunts!$W568</f>
        <v>-1132188.45</v>
      </c>
      <c r="Y568">
        <v>561</v>
      </c>
      <c r="Z568" t="str">
        <f t="shared" si="42"/>
        <v>Investissement</v>
      </c>
      <c r="AA568" t="str">
        <f t="shared" si="43"/>
        <v>travaux magasin</v>
      </c>
    </row>
    <row r="569" spans="20:27" x14ac:dyDescent="0.25">
      <c r="T569" s="71">
        <f t="shared" si="40"/>
        <v>61033</v>
      </c>
      <c r="U569" s="77">
        <f t="shared" si="41"/>
        <v>864.41</v>
      </c>
      <c r="V569" s="72">
        <f t="shared" si="44"/>
        <v>-3340.01</v>
      </c>
      <c r="W569" s="72">
        <f>D_Emprunts!$U569-D_Emprunts!$V569</f>
        <v>4204.42</v>
      </c>
      <c r="X569" s="73">
        <f>X568-D_Emprunts!$W569</f>
        <v>-1136392.8699999999</v>
      </c>
      <c r="Y569">
        <v>562</v>
      </c>
      <c r="Z569" t="str">
        <f t="shared" si="42"/>
        <v>Investissement</v>
      </c>
      <c r="AA569" t="str">
        <f t="shared" si="43"/>
        <v>travaux magasin</v>
      </c>
    </row>
    <row r="570" spans="20:27" x14ac:dyDescent="0.25">
      <c r="T570" s="68">
        <f t="shared" si="40"/>
        <v>61061</v>
      </c>
      <c r="U570" s="77">
        <f t="shared" si="41"/>
        <v>864.41</v>
      </c>
      <c r="V570" s="72">
        <f t="shared" si="44"/>
        <v>-3352.42</v>
      </c>
      <c r="W570" s="69">
        <f>D_Emprunts!$U570-D_Emprunts!$V570</f>
        <v>4216.83</v>
      </c>
      <c r="X570" s="70">
        <f>X569-D_Emprunts!$W570</f>
        <v>-1140609.7</v>
      </c>
      <c r="Y570">
        <v>563</v>
      </c>
      <c r="Z570" t="str">
        <f t="shared" si="42"/>
        <v>Investissement</v>
      </c>
      <c r="AA570" t="str">
        <f t="shared" si="43"/>
        <v>travaux magasin</v>
      </c>
    </row>
    <row r="571" spans="20:27" x14ac:dyDescent="0.25">
      <c r="T571" s="71">
        <f t="shared" si="40"/>
        <v>61092</v>
      </c>
      <c r="U571" s="77">
        <f t="shared" si="41"/>
        <v>864.41</v>
      </c>
      <c r="V571" s="72">
        <f t="shared" si="44"/>
        <v>-3364.86</v>
      </c>
      <c r="W571" s="72">
        <f>D_Emprunts!$U571-D_Emprunts!$V571</f>
        <v>4229.2700000000004</v>
      </c>
      <c r="X571" s="73">
        <f>X570-D_Emprunts!$W571</f>
        <v>-1144838.97</v>
      </c>
      <c r="Y571">
        <v>564</v>
      </c>
      <c r="Z571" t="str">
        <f t="shared" si="42"/>
        <v>Investissement</v>
      </c>
      <c r="AA571" t="str">
        <f t="shared" si="43"/>
        <v>travaux magasin</v>
      </c>
    </row>
    <row r="572" spans="20:27" x14ac:dyDescent="0.25">
      <c r="T572" s="68">
        <f t="shared" si="40"/>
        <v>61122</v>
      </c>
      <c r="U572" s="77">
        <f t="shared" si="41"/>
        <v>864.41</v>
      </c>
      <c r="V572" s="72">
        <f t="shared" si="44"/>
        <v>-3377.33</v>
      </c>
      <c r="W572" s="69">
        <f>D_Emprunts!$U572-D_Emprunts!$V572</f>
        <v>4241.74</v>
      </c>
      <c r="X572" s="70">
        <f>X571-D_Emprunts!$W572</f>
        <v>-1149080.71</v>
      </c>
      <c r="Y572">
        <v>565</v>
      </c>
      <c r="Z572" t="str">
        <f t="shared" si="42"/>
        <v>Investissement</v>
      </c>
      <c r="AA572" t="str">
        <f t="shared" si="43"/>
        <v>travaux magasin</v>
      </c>
    </row>
    <row r="573" spans="20:27" x14ac:dyDescent="0.25">
      <c r="T573" s="71">
        <f t="shared" si="40"/>
        <v>61153</v>
      </c>
      <c r="U573" s="77">
        <f t="shared" si="41"/>
        <v>864.41</v>
      </c>
      <c r="V573" s="72">
        <f t="shared" si="44"/>
        <v>-3389.85</v>
      </c>
      <c r="W573" s="72">
        <f>D_Emprunts!$U573-D_Emprunts!$V573</f>
        <v>4254.26</v>
      </c>
      <c r="X573" s="73">
        <f>X572-D_Emprunts!$W573</f>
        <v>-1153334.97</v>
      </c>
      <c r="Y573">
        <v>566</v>
      </c>
      <c r="Z573" t="str">
        <f t="shared" si="42"/>
        <v>Investissement</v>
      </c>
      <c r="AA573" t="str">
        <f t="shared" si="43"/>
        <v>travaux magasin</v>
      </c>
    </row>
    <row r="574" spans="20:27" x14ac:dyDescent="0.25">
      <c r="T574" s="68">
        <f t="shared" si="40"/>
        <v>61183</v>
      </c>
      <c r="U574" s="77">
        <f t="shared" si="41"/>
        <v>864.41</v>
      </c>
      <c r="V574" s="72">
        <f t="shared" si="44"/>
        <v>-3402.4</v>
      </c>
      <c r="W574" s="69">
        <f>D_Emprunts!$U574-D_Emprunts!$V574</f>
        <v>4266.8100000000004</v>
      </c>
      <c r="X574" s="70">
        <f>X573-D_Emprunts!$W574</f>
        <v>-1157601.78</v>
      </c>
      <c r="Y574">
        <v>567</v>
      </c>
      <c r="Z574" t="str">
        <f t="shared" si="42"/>
        <v>Investissement</v>
      </c>
      <c r="AA574" t="str">
        <f t="shared" si="43"/>
        <v>travaux magasin</v>
      </c>
    </row>
    <row r="575" spans="20:27" x14ac:dyDescent="0.25">
      <c r="T575" s="71">
        <f t="shared" si="40"/>
        <v>61214</v>
      </c>
      <c r="U575" s="77">
        <f t="shared" si="41"/>
        <v>864.41</v>
      </c>
      <c r="V575" s="72">
        <f t="shared" si="44"/>
        <v>-3414.98</v>
      </c>
      <c r="W575" s="72">
        <f>D_Emprunts!$U575-D_Emprunts!$V575</f>
        <v>4279.3900000000003</v>
      </c>
      <c r="X575" s="73">
        <f>X574-D_Emprunts!$W575</f>
        <v>-1161881.17</v>
      </c>
      <c r="Y575">
        <v>568</v>
      </c>
      <c r="Z575" t="str">
        <f t="shared" si="42"/>
        <v>Investissement</v>
      </c>
      <c r="AA575" t="str">
        <f t="shared" si="43"/>
        <v>travaux magasin</v>
      </c>
    </row>
    <row r="576" spans="20:27" x14ac:dyDescent="0.25">
      <c r="T576" s="68">
        <f t="shared" si="40"/>
        <v>61245</v>
      </c>
      <c r="U576" s="77">
        <f t="shared" si="41"/>
        <v>864.41</v>
      </c>
      <c r="V576" s="72">
        <f t="shared" si="44"/>
        <v>-3427.61</v>
      </c>
      <c r="W576" s="69">
        <f>D_Emprunts!$U576-D_Emprunts!$V576</f>
        <v>4292.0200000000004</v>
      </c>
      <c r="X576" s="70">
        <f>X575-D_Emprunts!$W576</f>
        <v>-1166173.19</v>
      </c>
      <c r="Y576">
        <v>569</v>
      </c>
      <c r="Z576" t="str">
        <f t="shared" si="42"/>
        <v>Investissement</v>
      </c>
      <c r="AA576" t="str">
        <f t="shared" si="43"/>
        <v>travaux magasin</v>
      </c>
    </row>
    <row r="577" spans="20:27" x14ac:dyDescent="0.25">
      <c r="T577" s="71">
        <f t="shared" si="40"/>
        <v>61275</v>
      </c>
      <c r="U577" s="77">
        <f t="shared" si="41"/>
        <v>864.41</v>
      </c>
      <c r="V577" s="72">
        <f t="shared" si="44"/>
        <v>-3440.27</v>
      </c>
      <c r="W577" s="72">
        <f>D_Emprunts!$U577-D_Emprunts!$V577</f>
        <v>4304.68</v>
      </c>
      <c r="X577" s="73">
        <f>X576-D_Emprunts!$W577</f>
        <v>-1170477.8699999999</v>
      </c>
      <c r="Y577">
        <v>570</v>
      </c>
      <c r="Z577" t="str">
        <f t="shared" si="42"/>
        <v>Investissement</v>
      </c>
      <c r="AA577" t="str">
        <f t="shared" si="43"/>
        <v>travaux magasin</v>
      </c>
    </row>
    <row r="578" spans="20:27" x14ac:dyDescent="0.25">
      <c r="T578" s="68">
        <f t="shared" si="40"/>
        <v>61306</v>
      </c>
      <c r="U578" s="77">
        <f t="shared" si="41"/>
        <v>864.41</v>
      </c>
      <c r="V578" s="72">
        <f t="shared" si="44"/>
        <v>-3452.97</v>
      </c>
      <c r="W578" s="69">
        <f>D_Emprunts!$U578-D_Emprunts!$V578</f>
        <v>4317.38</v>
      </c>
      <c r="X578" s="70">
        <f>X577-D_Emprunts!$W578</f>
        <v>-1174795.2499999998</v>
      </c>
      <c r="Y578">
        <v>571</v>
      </c>
      <c r="Z578" t="str">
        <f t="shared" si="42"/>
        <v>Investissement</v>
      </c>
      <c r="AA578" t="str">
        <f t="shared" si="43"/>
        <v>travaux magasin</v>
      </c>
    </row>
    <row r="579" spans="20:27" x14ac:dyDescent="0.25">
      <c r="T579" s="71">
        <f t="shared" si="40"/>
        <v>61336</v>
      </c>
      <c r="U579" s="77">
        <f t="shared" si="41"/>
        <v>864.41</v>
      </c>
      <c r="V579" s="72">
        <f t="shared" si="44"/>
        <v>-3465.71</v>
      </c>
      <c r="W579" s="72">
        <f>D_Emprunts!$U579-D_Emprunts!$V579</f>
        <v>4330.12</v>
      </c>
      <c r="X579" s="73">
        <f>X578-D_Emprunts!$W579</f>
        <v>-1179125.3699999999</v>
      </c>
      <c r="Y579">
        <v>572</v>
      </c>
      <c r="Z579" t="str">
        <f t="shared" si="42"/>
        <v>Investissement</v>
      </c>
      <c r="AA579" t="str">
        <f t="shared" si="43"/>
        <v>travaux magasin</v>
      </c>
    </row>
    <row r="580" spans="20:27" x14ac:dyDescent="0.25">
      <c r="T580" s="68">
        <f t="shared" si="40"/>
        <v>61367</v>
      </c>
      <c r="U580" s="77">
        <f t="shared" si="41"/>
        <v>864.41</v>
      </c>
      <c r="V580" s="72">
        <f t="shared" si="44"/>
        <v>-3478.48</v>
      </c>
      <c r="W580" s="69">
        <f>D_Emprunts!$U580-D_Emprunts!$V580</f>
        <v>4342.8900000000003</v>
      </c>
      <c r="X580" s="70">
        <f>X579-D_Emprunts!$W580</f>
        <v>-1183468.2599999998</v>
      </c>
      <c r="Y580">
        <v>573</v>
      </c>
      <c r="Z580" t="str">
        <f t="shared" si="42"/>
        <v>Investissement</v>
      </c>
      <c r="AA580" t="str">
        <f t="shared" si="43"/>
        <v>travaux magasin</v>
      </c>
    </row>
    <row r="581" spans="20:27" x14ac:dyDescent="0.25">
      <c r="T581" s="71">
        <f t="shared" si="40"/>
        <v>61398</v>
      </c>
      <c r="U581" s="77">
        <f t="shared" si="41"/>
        <v>864.41</v>
      </c>
      <c r="V581" s="72">
        <f t="shared" si="44"/>
        <v>-3491.29</v>
      </c>
      <c r="W581" s="72">
        <f>D_Emprunts!$U581-D_Emprunts!$V581</f>
        <v>4355.7</v>
      </c>
      <c r="X581" s="73">
        <f>X580-D_Emprunts!$W581</f>
        <v>-1187823.9599999997</v>
      </c>
      <c r="Y581">
        <v>574</v>
      </c>
      <c r="Z581" t="str">
        <f t="shared" si="42"/>
        <v>Investissement</v>
      </c>
      <c r="AA581" t="str">
        <f t="shared" si="43"/>
        <v>travaux magasin</v>
      </c>
    </row>
    <row r="582" spans="20:27" x14ac:dyDescent="0.25">
      <c r="T582" s="68">
        <f t="shared" si="40"/>
        <v>61427</v>
      </c>
      <c r="U582" s="77">
        <f t="shared" si="41"/>
        <v>864.41</v>
      </c>
      <c r="V582" s="72">
        <f t="shared" si="44"/>
        <v>-3504.14</v>
      </c>
      <c r="W582" s="69">
        <f>D_Emprunts!$U582-D_Emprunts!$V582</f>
        <v>4368.55</v>
      </c>
      <c r="X582" s="70">
        <f>X581-D_Emprunts!$W582</f>
        <v>-1192192.5099999998</v>
      </c>
      <c r="Y582">
        <v>575</v>
      </c>
      <c r="Z582" t="str">
        <f t="shared" si="42"/>
        <v>Investissement</v>
      </c>
      <c r="AA582" t="str">
        <f t="shared" si="43"/>
        <v>travaux magasin</v>
      </c>
    </row>
    <row r="583" spans="20:27" x14ac:dyDescent="0.25">
      <c r="T583" s="71">
        <f t="shared" si="40"/>
        <v>61458</v>
      </c>
      <c r="U583" s="77">
        <f t="shared" si="41"/>
        <v>864.41</v>
      </c>
      <c r="V583" s="72">
        <f t="shared" si="44"/>
        <v>-3517.03</v>
      </c>
      <c r="W583" s="72">
        <f>D_Emprunts!$U583-D_Emprunts!$V583</f>
        <v>4381.4400000000005</v>
      </c>
      <c r="X583" s="73">
        <f>X582-D_Emprunts!$W583</f>
        <v>-1196573.9499999997</v>
      </c>
      <c r="Y583">
        <v>576</v>
      </c>
      <c r="Z583" t="str">
        <f t="shared" si="42"/>
        <v>Investissement</v>
      </c>
      <c r="AA583" t="str">
        <f t="shared" si="43"/>
        <v>travaux magasin</v>
      </c>
    </row>
    <row r="584" spans="20:27" x14ac:dyDescent="0.25">
      <c r="T584" s="68">
        <f t="shared" ref="T584:T647" si="45">EDATE(T583,1)</f>
        <v>61488</v>
      </c>
      <c r="U584" s="77">
        <f t="shared" si="41"/>
        <v>864.41</v>
      </c>
      <c r="V584" s="72">
        <f t="shared" si="44"/>
        <v>-3529.95</v>
      </c>
      <c r="W584" s="69">
        <f>D_Emprunts!$U584-D_Emprunts!$V584</f>
        <v>4394.3599999999997</v>
      </c>
      <c r="X584" s="70">
        <f>X583-D_Emprunts!$W584</f>
        <v>-1200968.3099999998</v>
      </c>
      <c r="Y584">
        <v>577</v>
      </c>
      <c r="Z584" t="str">
        <f t="shared" si="42"/>
        <v>Investissement</v>
      </c>
      <c r="AA584" t="str">
        <f t="shared" si="43"/>
        <v>travaux magasin</v>
      </c>
    </row>
    <row r="585" spans="20:27" x14ac:dyDescent="0.25">
      <c r="T585" s="71">
        <f t="shared" si="45"/>
        <v>61519</v>
      </c>
      <c r="U585" s="77">
        <f t="shared" ref="U585:U648" si="46">$X$4</f>
        <v>864.41</v>
      </c>
      <c r="V585" s="72">
        <f t="shared" si="44"/>
        <v>-3542.92</v>
      </c>
      <c r="W585" s="72">
        <f>D_Emprunts!$U585-D_Emprunts!$V585</f>
        <v>4407.33</v>
      </c>
      <c r="X585" s="73">
        <f>X584-D_Emprunts!$W585</f>
        <v>-1205375.6399999999</v>
      </c>
      <c r="Y585">
        <v>578</v>
      </c>
      <c r="Z585" t="str">
        <f t="shared" ref="Z585:Z648" si="47">$Y$4</f>
        <v>Investissement</v>
      </c>
      <c r="AA585" t="str">
        <f t="shared" ref="AA585:AA648" si="48">$Z$4</f>
        <v>travaux magasin</v>
      </c>
    </row>
    <row r="586" spans="20:27" x14ac:dyDescent="0.25">
      <c r="T586" s="68">
        <f t="shared" si="45"/>
        <v>61549</v>
      </c>
      <c r="U586" s="77">
        <f t="shared" si="46"/>
        <v>864.41</v>
      </c>
      <c r="V586" s="72">
        <f t="shared" ref="V586:V649" si="49">ROUND(X585*$V$4/12,2)</f>
        <v>-3555.92</v>
      </c>
      <c r="W586" s="69">
        <f>D_Emprunts!$U586-D_Emprunts!$V586</f>
        <v>4420.33</v>
      </c>
      <c r="X586" s="70">
        <f>X585-D_Emprunts!$W586</f>
        <v>-1209795.97</v>
      </c>
      <c r="Y586">
        <v>579</v>
      </c>
      <c r="Z586" t="str">
        <f t="shared" si="47"/>
        <v>Investissement</v>
      </c>
      <c r="AA586" t="str">
        <f t="shared" si="48"/>
        <v>travaux magasin</v>
      </c>
    </row>
    <row r="587" spans="20:27" x14ac:dyDescent="0.25">
      <c r="T587" s="71">
        <f t="shared" si="45"/>
        <v>61580</v>
      </c>
      <c r="U587" s="77">
        <f t="shared" si="46"/>
        <v>864.41</v>
      </c>
      <c r="V587" s="72">
        <f t="shared" si="49"/>
        <v>-3568.96</v>
      </c>
      <c r="W587" s="72">
        <f>D_Emprunts!$U587-D_Emprunts!$V587</f>
        <v>4433.37</v>
      </c>
      <c r="X587" s="73">
        <f>X586-D_Emprunts!$W587</f>
        <v>-1214229.3400000001</v>
      </c>
      <c r="Y587">
        <v>580</v>
      </c>
      <c r="Z587" t="str">
        <f t="shared" si="47"/>
        <v>Investissement</v>
      </c>
      <c r="AA587" t="str">
        <f t="shared" si="48"/>
        <v>travaux magasin</v>
      </c>
    </row>
    <row r="588" spans="20:27" x14ac:dyDescent="0.25">
      <c r="T588" s="68">
        <f t="shared" si="45"/>
        <v>61611</v>
      </c>
      <c r="U588" s="77">
        <f t="shared" si="46"/>
        <v>864.41</v>
      </c>
      <c r="V588" s="72">
        <f t="shared" si="49"/>
        <v>-3582.04</v>
      </c>
      <c r="W588" s="69">
        <f>D_Emprunts!$U588-D_Emprunts!$V588</f>
        <v>4446.45</v>
      </c>
      <c r="X588" s="70">
        <f>X587-D_Emprunts!$W588</f>
        <v>-1218675.79</v>
      </c>
      <c r="Y588">
        <v>581</v>
      </c>
      <c r="Z588" t="str">
        <f t="shared" si="47"/>
        <v>Investissement</v>
      </c>
      <c r="AA588" t="str">
        <f t="shared" si="48"/>
        <v>travaux magasin</v>
      </c>
    </row>
    <row r="589" spans="20:27" x14ac:dyDescent="0.25">
      <c r="T589" s="71">
        <f t="shared" si="45"/>
        <v>61641</v>
      </c>
      <c r="U589" s="77">
        <f t="shared" si="46"/>
        <v>864.41</v>
      </c>
      <c r="V589" s="72">
        <f t="shared" si="49"/>
        <v>-3595.16</v>
      </c>
      <c r="W589" s="72">
        <f>D_Emprunts!$U589-D_Emprunts!$V589</f>
        <v>4459.57</v>
      </c>
      <c r="X589" s="73">
        <f>X588-D_Emprunts!$W589</f>
        <v>-1223135.3600000001</v>
      </c>
      <c r="Y589">
        <v>582</v>
      </c>
      <c r="Z589" t="str">
        <f t="shared" si="47"/>
        <v>Investissement</v>
      </c>
      <c r="AA589" t="str">
        <f t="shared" si="48"/>
        <v>travaux magasin</v>
      </c>
    </row>
    <row r="590" spans="20:27" x14ac:dyDescent="0.25">
      <c r="T590" s="68">
        <f t="shared" si="45"/>
        <v>61672</v>
      </c>
      <c r="U590" s="77">
        <f t="shared" si="46"/>
        <v>864.41</v>
      </c>
      <c r="V590" s="72">
        <f t="shared" si="49"/>
        <v>-3608.31</v>
      </c>
      <c r="W590" s="69">
        <f>D_Emprunts!$U590-D_Emprunts!$V590</f>
        <v>4472.72</v>
      </c>
      <c r="X590" s="70">
        <f>X589-D_Emprunts!$W590</f>
        <v>-1227608.08</v>
      </c>
      <c r="Y590">
        <v>583</v>
      </c>
      <c r="Z590" t="str">
        <f t="shared" si="47"/>
        <v>Investissement</v>
      </c>
      <c r="AA590" t="str">
        <f t="shared" si="48"/>
        <v>travaux magasin</v>
      </c>
    </row>
    <row r="591" spans="20:27" x14ac:dyDescent="0.25">
      <c r="T591" s="71">
        <f t="shared" si="45"/>
        <v>61702</v>
      </c>
      <c r="U591" s="77">
        <f t="shared" si="46"/>
        <v>864.41</v>
      </c>
      <c r="V591" s="72">
        <f t="shared" si="49"/>
        <v>-3621.51</v>
      </c>
      <c r="W591" s="72">
        <f>D_Emprunts!$U591-D_Emprunts!$V591</f>
        <v>4485.92</v>
      </c>
      <c r="X591" s="73">
        <f>X590-D_Emprunts!$W591</f>
        <v>-1232094</v>
      </c>
      <c r="Y591">
        <v>584</v>
      </c>
      <c r="Z591" t="str">
        <f t="shared" si="47"/>
        <v>Investissement</v>
      </c>
      <c r="AA591" t="str">
        <f t="shared" si="48"/>
        <v>travaux magasin</v>
      </c>
    </row>
    <row r="592" spans="20:27" x14ac:dyDescent="0.25">
      <c r="T592" s="68">
        <f t="shared" si="45"/>
        <v>61733</v>
      </c>
      <c r="U592" s="77">
        <f t="shared" si="46"/>
        <v>864.41</v>
      </c>
      <c r="V592" s="72">
        <f t="shared" si="49"/>
        <v>-3634.74</v>
      </c>
      <c r="W592" s="69">
        <f>D_Emprunts!$U592-D_Emprunts!$V592</f>
        <v>4499.1499999999996</v>
      </c>
      <c r="X592" s="70">
        <f>X591-D_Emprunts!$W592</f>
        <v>-1236593.1499999999</v>
      </c>
      <c r="Y592">
        <v>585</v>
      </c>
      <c r="Z592" t="str">
        <f t="shared" si="47"/>
        <v>Investissement</v>
      </c>
      <c r="AA592" t="str">
        <f t="shared" si="48"/>
        <v>travaux magasin</v>
      </c>
    </row>
    <row r="593" spans="20:27" x14ac:dyDescent="0.25">
      <c r="T593" s="71">
        <f t="shared" si="45"/>
        <v>61764</v>
      </c>
      <c r="U593" s="77">
        <f t="shared" si="46"/>
        <v>864.41</v>
      </c>
      <c r="V593" s="72">
        <f t="shared" si="49"/>
        <v>-3648.01</v>
      </c>
      <c r="W593" s="72">
        <f>D_Emprunts!$U593-D_Emprunts!$V593</f>
        <v>4512.42</v>
      </c>
      <c r="X593" s="73">
        <f>X592-D_Emprunts!$W593</f>
        <v>-1241105.5699999998</v>
      </c>
      <c r="Y593">
        <v>586</v>
      </c>
      <c r="Z593" t="str">
        <f t="shared" si="47"/>
        <v>Investissement</v>
      </c>
      <c r="AA593" t="str">
        <f t="shared" si="48"/>
        <v>travaux magasin</v>
      </c>
    </row>
    <row r="594" spans="20:27" x14ac:dyDescent="0.25">
      <c r="T594" s="68">
        <f t="shared" si="45"/>
        <v>61792</v>
      </c>
      <c r="U594" s="77">
        <f t="shared" si="46"/>
        <v>864.41</v>
      </c>
      <c r="V594" s="72">
        <f t="shared" si="49"/>
        <v>-3661.32</v>
      </c>
      <c r="W594" s="69">
        <f>D_Emprunts!$U594-D_Emprunts!$V594</f>
        <v>4525.7300000000005</v>
      </c>
      <c r="X594" s="70">
        <f>X593-D_Emprunts!$W594</f>
        <v>-1245631.2999999998</v>
      </c>
      <c r="Y594">
        <v>587</v>
      </c>
      <c r="Z594" t="str">
        <f t="shared" si="47"/>
        <v>Investissement</v>
      </c>
      <c r="AA594" t="str">
        <f t="shared" si="48"/>
        <v>travaux magasin</v>
      </c>
    </row>
    <row r="595" spans="20:27" x14ac:dyDescent="0.25">
      <c r="T595" s="71">
        <f t="shared" si="45"/>
        <v>61823</v>
      </c>
      <c r="U595" s="77">
        <f t="shared" si="46"/>
        <v>864.41</v>
      </c>
      <c r="V595" s="72">
        <f t="shared" si="49"/>
        <v>-3674.68</v>
      </c>
      <c r="W595" s="72">
        <f>D_Emprunts!$U595-D_Emprunts!$V595</f>
        <v>4539.09</v>
      </c>
      <c r="X595" s="73">
        <f>X594-D_Emprunts!$W595</f>
        <v>-1250170.3899999999</v>
      </c>
      <c r="Y595">
        <v>588</v>
      </c>
      <c r="Z595" t="str">
        <f t="shared" si="47"/>
        <v>Investissement</v>
      </c>
      <c r="AA595" t="str">
        <f t="shared" si="48"/>
        <v>travaux magasin</v>
      </c>
    </row>
    <row r="596" spans="20:27" x14ac:dyDescent="0.25">
      <c r="T596" s="68">
        <f t="shared" si="45"/>
        <v>61853</v>
      </c>
      <c r="U596" s="77">
        <f t="shared" si="46"/>
        <v>864.41</v>
      </c>
      <c r="V596" s="72">
        <f t="shared" si="49"/>
        <v>-3688.07</v>
      </c>
      <c r="W596" s="69">
        <f>D_Emprunts!$U596-D_Emprunts!$V596</f>
        <v>4552.4800000000005</v>
      </c>
      <c r="X596" s="70">
        <f>X595-D_Emprunts!$W596</f>
        <v>-1254722.8699999999</v>
      </c>
      <c r="Y596">
        <v>589</v>
      </c>
      <c r="Z596" t="str">
        <f t="shared" si="47"/>
        <v>Investissement</v>
      </c>
      <c r="AA596" t="str">
        <f t="shared" si="48"/>
        <v>travaux magasin</v>
      </c>
    </row>
    <row r="597" spans="20:27" x14ac:dyDescent="0.25">
      <c r="T597" s="71">
        <f t="shared" si="45"/>
        <v>61884</v>
      </c>
      <c r="U597" s="77">
        <f t="shared" si="46"/>
        <v>864.41</v>
      </c>
      <c r="V597" s="72">
        <f t="shared" si="49"/>
        <v>-3701.5</v>
      </c>
      <c r="W597" s="72">
        <f>D_Emprunts!$U597-D_Emprunts!$V597</f>
        <v>4565.91</v>
      </c>
      <c r="X597" s="73">
        <f>X596-D_Emprunts!$W597</f>
        <v>-1259288.7799999998</v>
      </c>
      <c r="Y597">
        <v>590</v>
      </c>
      <c r="Z597" t="str">
        <f t="shared" si="47"/>
        <v>Investissement</v>
      </c>
      <c r="AA597" t="str">
        <f t="shared" si="48"/>
        <v>travaux magasin</v>
      </c>
    </row>
    <row r="598" spans="20:27" x14ac:dyDescent="0.25">
      <c r="T598" s="68">
        <f t="shared" si="45"/>
        <v>61914</v>
      </c>
      <c r="U598" s="77">
        <f t="shared" si="46"/>
        <v>864.41</v>
      </c>
      <c r="V598" s="72">
        <f t="shared" si="49"/>
        <v>-3714.97</v>
      </c>
      <c r="W598" s="69">
        <f>D_Emprunts!$U598-D_Emprunts!$V598</f>
        <v>4579.38</v>
      </c>
      <c r="X598" s="70">
        <f>X597-D_Emprunts!$W598</f>
        <v>-1263868.1599999997</v>
      </c>
      <c r="Y598">
        <v>591</v>
      </c>
      <c r="Z598" t="str">
        <f t="shared" si="47"/>
        <v>Investissement</v>
      </c>
      <c r="AA598" t="str">
        <f t="shared" si="48"/>
        <v>travaux magasin</v>
      </c>
    </row>
    <row r="599" spans="20:27" x14ac:dyDescent="0.25">
      <c r="T599" s="71">
        <f t="shared" si="45"/>
        <v>61945</v>
      </c>
      <c r="U599" s="77">
        <f t="shared" si="46"/>
        <v>864.41</v>
      </c>
      <c r="V599" s="72">
        <f t="shared" si="49"/>
        <v>-3728.48</v>
      </c>
      <c r="W599" s="72">
        <f>D_Emprunts!$U599-D_Emprunts!$V599</f>
        <v>4592.8900000000003</v>
      </c>
      <c r="X599" s="73">
        <f>X598-D_Emprunts!$W599</f>
        <v>-1268461.0499999996</v>
      </c>
      <c r="Y599">
        <v>592</v>
      </c>
      <c r="Z599" t="str">
        <f t="shared" si="47"/>
        <v>Investissement</v>
      </c>
      <c r="AA599" t="str">
        <f t="shared" si="48"/>
        <v>travaux magasin</v>
      </c>
    </row>
    <row r="600" spans="20:27" x14ac:dyDescent="0.25">
      <c r="T600" s="68">
        <f t="shared" si="45"/>
        <v>61976</v>
      </c>
      <c r="U600" s="77">
        <f t="shared" si="46"/>
        <v>864.41</v>
      </c>
      <c r="V600" s="72">
        <f t="shared" si="49"/>
        <v>-3742.02</v>
      </c>
      <c r="W600" s="69">
        <f>D_Emprunts!$U600-D_Emprunts!$V600</f>
        <v>4606.43</v>
      </c>
      <c r="X600" s="70">
        <f>X599-D_Emprunts!$W600</f>
        <v>-1273067.4799999995</v>
      </c>
      <c r="Y600">
        <v>593</v>
      </c>
      <c r="Z600" t="str">
        <f t="shared" si="47"/>
        <v>Investissement</v>
      </c>
      <c r="AA600" t="str">
        <f t="shared" si="48"/>
        <v>travaux magasin</v>
      </c>
    </row>
    <row r="601" spans="20:27" x14ac:dyDescent="0.25">
      <c r="T601" s="71">
        <f t="shared" si="45"/>
        <v>62006</v>
      </c>
      <c r="U601" s="77">
        <f t="shared" si="46"/>
        <v>864.41</v>
      </c>
      <c r="V601" s="72">
        <f t="shared" si="49"/>
        <v>-3755.61</v>
      </c>
      <c r="W601" s="72">
        <f>D_Emprunts!$U601-D_Emprunts!$V601</f>
        <v>4620.0200000000004</v>
      </c>
      <c r="X601" s="73">
        <f>X600-D_Emprunts!$W601</f>
        <v>-1277687.4999999995</v>
      </c>
      <c r="Y601">
        <v>594</v>
      </c>
      <c r="Z601" t="str">
        <f t="shared" si="47"/>
        <v>Investissement</v>
      </c>
      <c r="AA601" t="str">
        <f t="shared" si="48"/>
        <v>travaux magasin</v>
      </c>
    </row>
    <row r="602" spans="20:27" x14ac:dyDescent="0.25">
      <c r="T602" s="68">
        <f t="shared" si="45"/>
        <v>62037</v>
      </c>
      <c r="U602" s="77">
        <f t="shared" si="46"/>
        <v>864.41</v>
      </c>
      <c r="V602" s="72">
        <f t="shared" si="49"/>
        <v>-3769.24</v>
      </c>
      <c r="W602" s="69">
        <f>D_Emprunts!$U602-D_Emprunts!$V602</f>
        <v>4633.6499999999996</v>
      </c>
      <c r="X602" s="70">
        <f>X601-D_Emprunts!$W602</f>
        <v>-1282321.1499999994</v>
      </c>
      <c r="Y602">
        <v>595</v>
      </c>
      <c r="Z602" t="str">
        <f t="shared" si="47"/>
        <v>Investissement</v>
      </c>
      <c r="AA602" t="str">
        <f t="shared" si="48"/>
        <v>travaux magasin</v>
      </c>
    </row>
    <row r="603" spans="20:27" x14ac:dyDescent="0.25">
      <c r="T603" s="71">
        <f t="shared" si="45"/>
        <v>62067</v>
      </c>
      <c r="U603" s="77">
        <f t="shared" si="46"/>
        <v>864.41</v>
      </c>
      <c r="V603" s="72">
        <f t="shared" si="49"/>
        <v>-3782.91</v>
      </c>
      <c r="W603" s="72">
        <f>D_Emprunts!$U603-D_Emprunts!$V603</f>
        <v>4647.32</v>
      </c>
      <c r="X603" s="73">
        <f>X602-D_Emprunts!$W603</f>
        <v>-1286968.4699999995</v>
      </c>
      <c r="Y603">
        <v>596</v>
      </c>
      <c r="Z603" t="str">
        <f t="shared" si="47"/>
        <v>Investissement</v>
      </c>
      <c r="AA603" t="str">
        <f t="shared" si="48"/>
        <v>travaux magasin</v>
      </c>
    </row>
    <row r="604" spans="20:27" x14ac:dyDescent="0.25">
      <c r="T604" s="68">
        <f t="shared" si="45"/>
        <v>62098</v>
      </c>
      <c r="U604" s="77">
        <f t="shared" si="46"/>
        <v>864.41</v>
      </c>
      <c r="V604" s="72">
        <f t="shared" si="49"/>
        <v>-3796.62</v>
      </c>
      <c r="W604" s="69">
        <f>D_Emprunts!$U604-D_Emprunts!$V604</f>
        <v>4661.03</v>
      </c>
      <c r="X604" s="70">
        <f>X603-D_Emprunts!$W604</f>
        <v>-1291629.4999999995</v>
      </c>
      <c r="Y604">
        <v>597</v>
      </c>
      <c r="Z604" t="str">
        <f t="shared" si="47"/>
        <v>Investissement</v>
      </c>
      <c r="AA604" t="str">
        <f t="shared" si="48"/>
        <v>travaux magasin</v>
      </c>
    </row>
    <row r="605" spans="20:27" x14ac:dyDescent="0.25">
      <c r="T605" s="71">
        <f t="shared" si="45"/>
        <v>62129</v>
      </c>
      <c r="U605" s="77">
        <f t="shared" si="46"/>
        <v>864.41</v>
      </c>
      <c r="V605" s="72">
        <f t="shared" si="49"/>
        <v>-3810.37</v>
      </c>
      <c r="W605" s="72">
        <f>D_Emprunts!$U605-D_Emprunts!$V605</f>
        <v>4674.78</v>
      </c>
      <c r="X605" s="73">
        <f>X604-D_Emprunts!$W605</f>
        <v>-1296304.2799999996</v>
      </c>
      <c r="Y605">
        <v>598</v>
      </c>
      <c r="Z605" t="str">
        <f t="shared" si="47"/>
        <v>Investissement</v>
      </c>
      <c r="AA605" t="str">
        <f t="shared" si="48"/>
        <v>travaux magasin</v>
      </c>
    </row>
    <row r="606" spans="20:27" x14ac:dyDescent="0.25">
      <c r="T606" s="68">
        <f t="shared" si="45"/>
        <v>62157</v>
      </c>
      <c r="U606" s="77">
        <f t="shared" si="46"/>
        <v>864.41</v>
      </c>
      <c r="V606" s="72">
        <f t="shared" si="49"/>
        <v>-3824.16</v>
      </c>
      <c r="W606" s="69">
        <f>D_Emprunts!$U606-D_Emprunts!$V606</f>
        <v>4688.57</v>
      </c>
      <c r="X606" s="70">
        <f>X605-D_Emprunts!$W606</f>
        <v>-1300992.8499999996</v>
      </c>
      <c r="Y606">
        <v>599</v>
      </c>
      <c r="Z606" t="str">
        <f t="shared" si="47"/>
        <v>Investissement</v>
      </c>
      <c r="AA606" t="str">
        <f t="shared" si="48"/>
        <v>travaux magasin</v>
      </c>
    </row>
    <row r="607" spans="20:27" x14ac:dyDescent="0.25">
      <c r="T607" s="71">
        <f t="shared" si="45"/>
        <v>62188</v>
      </c>
      <c r="U607" s="77">
        <f t="shared" si="46"/>
        <v>864.41</v>
      </c>
      <c r="V607" s="72">
        <f t="shared" si="49"/>
        <v>-3838</v>
      </c>
      <c r="W607" s="72">
        <f>D_Emprunts!$U607-D_Emprunts!$V607</f>
        <v>4702.41</v>
      </c>
      <c r="X607" s="73">
        <f>X606-D_Emprunts!$W607</f>
        <v>-1305695.2599999995</v>
      </c>
      <c r="Y607">
        <v>600</v>
      </c>
      <c r="Z607" t="str">
        <f t="shared" si="47"/>
        <v>Investissement</v>
      </c>
      <c r="AA607" t="str">
        <f t="shared" si="48"/>
        <v>travaux magasin</v>
      </c>
    </row>
    <row r="608" spans="20:27" x14ac:dyDescent="0.25">
      <c r="T608" s="68">
        <f t="shared" si="45"/>
        <v>62218</v>
      </c>
      <c r="U608" s="77">
        <f t="shared" si="46"/>
        <v>864.41</v>
      </c>
      <c r="V608" s="72">
        <f t="shared" si="49"/>
        <v>-3851.87</v>
      </c>
      <c r="W608" s="69">
        <f>D_Emprunts!$U608-D_Emprunts!$V608</f>
        <v>4716.28</v>
      </c>
      <c r="X608" s="70">
        <f>X607-D_Emprunts!$W608</f>
        <v>-1310411.5399999996</v>
      </c>
      <c r="Y608">
        <v>601</v>
      </c>
      <c r="Z608" t="str">
        <f t="shared" si="47"/>
        <v>Investissement</v>
      </c>
      <c r="AA608" t="str">
        <f t="shared" si="48"/>
        <v>travaux magasin</v>
      </c>
    </row>
    <row r="609" spans="20:27" x14ac:dyDescent="0.25">
      <c r="T609" s="71">
        <f t="shared" si="45"/>
        <v>62249</v>
      </c>
      <c r="U609" s="77">
        <f t="shared" si="46"/>
        <v>864.41</v>
      </c>
      <c r="V609" s="72">
        <f t="shared" si="49"/>
        <v>-3865.78</v>
      </c>
      <c r="W609" s="72">
        <f>D_Emprunts!$U609-D_Emprunts!$V609</f>
        <v>4730.1900000000005</v>
      </c>
      <c r="X609" s="73">
        <f>X608-D_Emprunts!$W609</f>
        <v>-1315141.7299999995</v>
      </c>
      <c r="Y609">
        <v>602</v>
      </c>
      <c r="Z609" t="str">
        <f t="shared" si="47"/>
        <v>Investissement</v>
      </c>
      <c r="AA609" t="str">
        <f t="shared" si="48"/>
        <v>travaux magasin</v>
      </c>
    </row>
    <row r="610" spans="20:27" x14ac:dyDescent="0.25">
      <c r="T610" s="68">
        <f t="shared" si="45"/>
        <v>62279</v>
      </c>
      <c r="U610" s="77">
        <f t="shared" si="46"/>
        <v>864.41</v>
      </c>
      <c r="V610" s="72">
        <f t="shared" si="49"/>
        <v>-3879.74</v>
      </c>
      <c r="W610" s="69">
        <f>D_Emprunts!$U610-D_Emprunts!$V610</f>
        <v>4744.1499999999996</v>
      </c>
      <c r="X610" s="70">
        <f>X609-D_Emprunts!$W610</f>
        <v>-1319885.8799999994</v>
      </c>
      <c r="Y610">
        <v>603</v>
      </c>
      <c r="Z610" t="str">
        <f t="shared" si="47"/>
        <v>Investissement</v>
      </c>
      <c r="AA610" t="str">
        <f t="shared" si="48"/>
        <v>travaux magasin</v>
      </c>
    </row>
    <row r="611" spans="20:27" x14ac:dyDescent="0.25">
      <c r="T611" s="71">
        <f t="shared" si="45"/>
        <v>62310</v>
      </c>
      <c r="U611" s="77">
        <f t="shared" si="46"/>
        <v>864.41</v>
      </c>
      <c r="V611" s="72">
        <f t="shared" si="49"/>
        <v>-3893.73</v>
      </c>
      <c r="W611" s="72">
        <f>D_Emprunts!$U611-D_Emprunts!$V611</f>
        <v>4758.1400000000003</v>
      </c>
      <c r="X611" s="73">
        <f>X610-D_Emprunts!$W611</f>
        <v>-1324644.0199999993</v>
      </c>
      <c r="Y611">
        <v>604</v>
      </c>
      <c r="Z611" t="str">
        <f t="shared" si="47"/>
        <v>Investissement</v>
      </c>
      <c r="AA611" t="str">
        <f t="shared" si="48"/>
        <v>travaux magasin</v>
      </c>
    </row>
    <row r="612" spans="20:27" x14ac:dyDescent="0.25">
      <c r="T612" s="68">
        <f t="shared" si="45"/>
        <v>62341</v>
      </c>
      <c r="U612" s="77">
        <f t="shared" si="46"/>
        <v>864.41</v>
      </c>
      <c r="V612" s="72">
        <f t="shared" si="49"/>
        <v>-3907.77</v>
      </c>
      <c r="W612" s="69">
        <f>D_Emprunts!$U612-D_Emprunts!$V612</f>
        <v>4772.18</v>
      </c>
      <c r="X612" s="70">
        <f>X611-D_Emprunts!$W612</f>
        <v>-1329416.1999999993</v>
      </c>
      <c r="Y612">
        <v>605</v>
      </c>
      <c r="Z612" t="str">
        <f t="shared" si="47"/>
        <v>Investissement</v>
      </c>
      <c r="AA612" t="str">
        <f t="shared" si="48"/>
        <v>travaux magasin</v>
      </c>
    </row>
    <row r="613" spans="20:27" x14ac:dyDescent="0.25">
      <c r="T613" s="71">
        <f t="shared" si="45"/>
        <v>62371</v>
      </c>
      <c r="U613" s="77">
        <f t="shared" si="46"/>
        <v>864.41</v>
      </c>
      <c r="V613" s="72">
        <f t="shared" si="49"/>
        <v>-3921.85</v>
      </c>
      <c r="W613" s="72">
        <f>D_Emprunts!$U613-D_Emprunts!$V613</f>
        <v>4786.26</v>
      </c>
      <c r="X613" s="73">
        <f>X612-D_Emprunts!$W613</f>
        <v>-1334202.4599999993</v>
      </c>
      <c r="Y613">
        <v>606</v>
      </c>
      <c r="Z613" t="str">
        <f t="shared" si="47"/>
        <v>Investissement</v>
      </c>
      <c r="AA613" t="str">
        <f t="shared" si="48"/>
        <v>travaux magasin</v>
      </c>
    </row>
    <row r="614" spans="20:27" x14ac:dyDescent="0.25">
      <c r="T614" s="68">
        <f t="shared" si="45"/>
        <v>62402</v>
      </c>
      <c r="U614" s="77">
        <f t="shared" si="46"/>
        <v>864.41</v>
      </c>
      <c r="V614" s="72">
        <f t="shared" si="49"/>
        <v>-3935.97</v>
      </c>
      <c r="W614" s="69">
        <f>D_Emprunts!$U614-D_Emprunts!$V614</f>
        <v>4800.38</v>
      </c>
      <c r="X614" s="70">
        <f>X613-D_Emprunts!$W614</f>
        <v>-1339002.8399999992</v>
      </c>
      <c r="Y614">
        <v>607</v>
      </c>
      <c r="Z614" t="str">
        <f t="shared" si="47"/>
        <v>Investissement</v>
      </c>
      <c r="AA614" t="str">
        <f t="shared" si="48"/>
        <v>travaux magasin</v>
      </c>
    </row>
    <row r="615" spans="20:27" x14ac:dyDescent="0.25">
      <c r="T615" s="71">
        <f t="shared" si="45"/>
        <v>62432</v>
      </c>
      <c r="U615" s="77">
        <f t="shared" si="46"/>
        <v>864.41</v>
      </c>
      <c r="V615" s="72">
        <f t="shared" si="49"/>
        <v>-3950.13</v>
      </c>
      <c r="W615" s="72">
        <f>D_Emprunts!$U615-D_Emprunts!$V615</f>
        <v>4814.54</v>
      </c>
      <c r="X615" s="73">
        <f>X614-D_Emprunts!$W615</f>
        <v>-1343817.3799999992</v>
      </c>
      <c r="Y615">
        <v>608</v>
      </c>
      <c r="Z615" t="str">
        <f t="shared" si="47"/>
        <v>Investissement</v>
      </c>
      <c r="AA615" t="str">
        <f t="shared" si="48"/>
        <v>travaux magasin</v>
      </c>
    </row>
    <row r="616" spans="20:27" x14ac:dyDescent="0.25">
      <c r="T616" s="68">
        <f t="shared" si="45"/>
        <v>62463</v>
      </c>
      <c r="U616" s="77">
        <f t="shared" si="46"/>
        <v>864.41</v>
      </c>
      <c r="V616" s="72">
        <f t="shared" si="49"/>
        <v>-3964.33</v>
      </c>
      <c r="W616" s="69">
        <f>D_Emprunts!$U616-D_Emprunts!$V616</f>
        <v>4828.74</v>
      </c>
      <c r="X616" s="70">
        <f>X615-D_Emprunts!$W616</f>
        <v>-1348646.1199999992</v>
      </c>
      <c r="Y616">
        <v>609</v>
      </c>
      <c r="Z616" t="str">
        <f t="shared" si="47"/>
        <v>Investissement</v>
      </c>
      <c r="AA616" t="str">
        <f t="shared" si="48"/>
        <v>travaux magasin</v>
      </c>
    </row>
    <row r="617" spans="20:27" x14ac:dyDescent="0.25">
      <c r="T617" s="71">
        <f t="shared" si="45"/>
        <v>62494</v>
      </c>
      <c r="U617" s="77">
        <f t="shared" si="46"/>
        <v>864.41</v>
      </c>
      <c r="V617" s="72">
        <f t="shared" si="49"/>
        <v>-3978.58</v>
      </c>
      <c r="W617" s="72">
        <f>D_Emprunts!$U617-D_Emprunts!$V617</f>
        <v>4842.99</v>
      </c>
      <c r="X617" s="73">
        <f>X616-D_Emprunts!$W617</f>
        <v>-1353489.1099999992</v>
      </c>
      <c r="Y617">
        <v>610</v>
      </c>
      <c r="Z617" t="str">
        <f t="shared" si="47"/>
        <v>Investissement</v>
      </c>
      <c r="AA617" t="str">
        <f t="shared" si="48"/>
        <v>travaux magasin</v>
      </c>
    </row>
    <row r="618" spans="20:27" x14ac:dyDescent="0.25">
      <c r="T618" s="68">
        <f t="shared" si="45"/>
        <v>62522</v>
      </c>
      <c r="U618" s="77">
        <f t="shared" si="46"/>
        <v>864.41</v>
      </c>
      <c r="V618" s="72">
        <f t="shared" si="49"/>
        <v>-3992.86</v>
      </c>
      <c r="W618" s="69">
        <f>D_Emprunts!$U618-D_Emprunts!$V618</f>
        <v>4857.2700000000004</v>
      </c>
      <c r="X618" s="70">
        <f>X617-D_Emprunts!$W618</f>
        <v>-1358346.3799999992</v>
      </c>
      <c r="Y618">
        <v>611</v>
      </c>
      <c r="Z618" t="str">
        <f t="shared" si="47"/>
        <v>Investissement</v>
      </c>
      <c r="AA618" t="str">
        <f t="shared" si="48"/>
        <v>travaux magasin</v>
      </c>
    </row>
    <row r="619" spans="20:27" x14ac:dyDescent="0.25">
      <c r="T619" s="71">
        <f t="shared" si="45"/>
        <v>62553</v>
      </c>
      <c r="U619" s="77">
        <f t="shared" si="46"/>
        <v>864.41</v>
      </c>
      <c r="V619" s="72">
        <f t="shared" si="49"/>
        <v>-4007.19</v>
      </c>
      <c r="W619" s="72">
        <f>D_Emprunts!$U619-D_Emprunts!$V619</f>
        <v>4871.6000000000004</v>
      </c>
      <c r="X619" s="73">
        <f>X618-D_Emprunts!$W619</f>
        <v>-1363217.9799999993</v>
      </c>
      <c r="Y619">
        <v>612</v>
      </c>
      <c r="Z619" t="str">
        <f t="shared" si="47"/>
        <v>Investissement</v>
      </c>
      <c r="AA619" t="str">
        <f t="shared" si="48"/>
        <v>travaux magasin</v>
      </c>
    </row>
    <row r="620" spans="20:27" x14ac:dyDescent="0.25">
      <c r="T620" s="68">
        <f t="shared" si="45"/>
        <v>62583</v>
      </c>
      <c r="U620" s="77">
        <f t="shared" si="46"/>
        <v>864.41</v>
      </c>
      <c r="V620" s="72">
        <f t="shared" si="49"/>
        <v>-4021.56</v>
      </c>
      <c r="W620" s="69">
        <f>D_Emprunts!$U620-D_Emprunts!$V620</f>
        <v>4885.97</v>
      </c>
      <c r="X620" s="70">
        <f>X619-D_Emprunts!$W620</f>
        <v>-1368103.9499999993</v>
      </c>
      <c r="Y620">
        <v>613</v>
      </c>
      <c r="Z620" t="str">
        <f t="shared" si="47"/>
        <v>Investissement</v>
      </c>
      <c r="AA620" t="str">
        <f t="shared" si="48"/>
        <v>travaux magasin</v>
      </c>
    </row>
    <row r="621" spans="20:27" x14ac:dyDescent="0.25">
      <c r="T621" s="71">
        <f t="shared" si="45"/>
        <v>62614</v>
      </c>
      <c r="U621" s="77">
        <f t="shared" si="46"/>
        <v>864.41</v>
      </c>
      <c r="V621" s="72">
        <f t="shared" si="49"/>
        <v>-4035.98</v>
      </c>
      <c r="W621" s="72">
        <f>D_Emprunts!$U621-D_Emprunts!$V621</f>
        <v>4900.3900000000003</v>
      </c>
      <c r="X621" s="73">
        <f>X620-D_Emprunts!$W621</f>
        <v>-1373004.3399999992</v>
      </c>
      <c r="Y621">
        <v>614</v>
      </c>
      <c r="Z621" t="str">
        <f t="shared" si="47"/>
        <v>Investissement</v>
      </c>
      <c r="AA621" t="str">
        <f t="shared" si="48"/>
        <v>travaux magasin</v>
      </c>
    </row>
    <row r="622" spans="20:27" x14ac:dyDescent="0.25">
      <c r="T622" s="68">
        <f t="shared" si="45"/>
        <v>62644</v>
      </c>
      <c r="U622" s="77">
        <f t="shared" si="46"/>
        <v>864.41</v>
      </c>
      <c r="V622" s="72">
        <f t="shared" si="49"/>
        <v>-4050.43</v>
      </c>
      <c r="W622" s="69">
        <f>D_Emprunts!$U622-D_Emprunts!$V622</f>
        <v>4914.84</v>
      </c>
      <c r="X622" s="70">
        <f>X621-D_Emprunts!$W622</f>
        <v>-1377919.1799999992</v>
      </c>
      <c r="Y622">
        <v>615</v>
      </c>
      <c r="Z622" t="str">
        <f t="shared" si="47"/>
        <v>Investissement</v>
      </c>
      <c r="AA622" t="str">
        <f t="shared" si="48"/>
        <v>travaux magasin</v>
      </c>
    </row>
    <row r="623" spans="20:27" x14ac:dyDescent="0.25">
      <c r="T623" s="71">
        <f t="shared" si="45"/>
        <v>62675</v>
      </c>
      <c r="U623" s="77">
        <f t="shared" si="46"/>
        <v>864.41</v>
      </c>
      <c r="V623" s="72">
        <f t="shared" si="49"/>
        <v>-4064.93</v>
      </c>
      <c r="W623" s="72">
        <f>D_Emprunts!$U623-D_Emprunts!$V623</f>
        <v>4929.34</v>
      </c>
      <c r="X623" s="73">
        <f>X622-D_Emprunts!$W623</f>
        <v>-1382848.5199999993</v>
      </c>
      <c r="Y623">
        <v>616</v>
      </c>
      <c r="Z623" t="str">
        <f t="shared" si="47"/>
        <v>Investissement</v>
      </c>
      <c r="AA623" t="str">
        <f t="shared" si="48"/>
        <v>travaux magasin</v>
      </c>
    </row>
    <row r="624" spans="20:27" x14ac:dyDescent="0.25">
      <c r="T624" s="68">
        <f t="shared" si="45"/>
        <v>62706</v>
      </c>
      <c r="U624" s="77">
        <f t="shared" si="46"/>
        <v>864.41</v>
      </c>
      <c r="V624" s="72">
        <f t="shared" si="49"/>
        <v>-4079.47</v>
      </c>
      <c r="W624" s="69">
        <f>D_Emprunts!$U624-D_Emprunts!$V624</f>
        <v>4943.88</v>
      </c>
      <c r="X624" s="70">
        <f>X623-D_Emprunts!$W624</f>
        <v>-1387792.3999999992</v>
      </c>
      <c r="Y624">
        <v>617</v>
      </c>
      <c r="Z624" t="str">
        <f t="shared" si="47"/>
        <v>Investissement</v>
      </c>
      <c r="AA624" t="str">
        <f t="shared" si="48"/>
        <v>travaux magasin</v>
      </c>
    </row>
    <row r="625" spans="20:27" x14ac:dyDescent="0.25">
      <c r="T625" s="71">
        <f t="shared" si="45"/>
        <v>62736</v>
      </c>
      <c r="U625" s="77">
        <f t="shared" si="46"/>
        <v>864.41</v>
      </c>
      <c r="V625" s="72">
        <f t="shared" si="49"/>
        <v>-4094.06</v>
      </c>
      <c r="W625" s="72">
        <f>D_Emprunts!$U625-D_Emprunts!$V625</f>
        <v>4958.47</v>
      </c>
      <c r="X625" s="73">
        <f>X624-D_Emprunts!$W625</f>
        <v>-1392750.8699999992</v>
      </c>
      <c r="Y625">
        <v>618</v>
      </c>
      <c r="Z625" t="str">
        <f t="shared" si="47"/>
        <v>Investissement</v>
      </c>
      <c r="AA625" t="str">
        <f t="shared" si="48"/>
        <v>travaux magasin</v>
      </c>
    </row>
    <row r="626" spans="20:27" x14ac:dyDescent="0.25">
      <c r="T626" s="68">
        <f t="shared" si="45"/>
        <v>62767</v>
      </c>
      <c r="U626" s="77">
        <f t="shared" si="46"/>
        <v>864.41</v>
      </c>
      <c r="V626" s="72">
        <f t="shared" si="49"/>
        <v>-4108.6899999999996</v>
      </c>
      <c r="W626" s="69">
        <f>D_Emprunts!$U626-D_Emprunts!$V626</f>
        <v>4973.0999999999995</v>
      </c>
      <c r="X626" s="70">
        <f>X625-D_Emprunts!$W626</f>
        <v>-1397723.9699999993</v>
      </c>
      <c r="Y626">
        <v>619</v>
      </c>
      <c r="Z626" t="str">
        <f t="shared" si="47"/>
        <v>Investissement</v>
      </c>
      <c r="AA626" t="str">
        <f t="shared" si="48"/>
        <v>travaux magasin</v>
      </c>
    </row>
    <row r="627" spans="20:27" x14ac:dyDescent="0.25">
      <c r="T627" s="71">
        <f t="shared" si="45"/>
        <v>62797</v>
      </c>
      <c r="U627" s="77">
        <f t="shared" si="46"/>
        <v>864.41</v>
      </c>
      <c r="V627" s="72">
        <f t="shared" si="49"/>
        <v>-4123.3599999999997</v>
      </c>
      <c r="W627" s="72">
        <f>D_Emprunts!$U627-D_Emprunts!$V627</f>
        <v>4987.7699999999995</v>
      </c>
      <c r="X627" s="73">
        <f>X626-D_Emprunts!$W627</f>
        <v>-1402711.7399999993</v>
      </c>
      <c r="Y627">
        <v>620</v>
      </c>
      <c r="Z627" t="str">
        <f t="shared" si="47"/>
        <v>Investissement</v>
      </c>
      <c r="AA627" t="str">
        <f t="shared" si="48"/>
        <v>travaux magasin</v>
      </c>
    </row>
    <row r="628" spans="20:27" x14ac:dyDescent="0.25">
      <c r="T628" s="68">
        <f t="shared" si="45"/>
        <v>62828</v>
      </c>
      <c r="U628" s="77">
        <f t="shared" si="46"/>
        <v>864.41</v>
      </c>
      <c r="V628" s="72">
        <f t="shared" si="49"/>
        <v>-4138.07</v>
      </c>
      <c r="W628" s="69">
        <f>D_Emprunts!$U628-D_Emprunts!$V628</f>
        <v>5002.4799999999996</v>
      </c>
      <c r="X628" s="70">
        <f>X627-D_Emprunts!$W628</f>
        <v>-1407714.2199999993</v>
      </c>
      <c r="Y628">
        <v>621</v>
      </c>
      <c r="Z628" t="str">
        <f t="shared" si="47"/>
        <v>Investissement</v>
      </c>
      <c r="AA628" t="str">
        <f t="shared" si="48"/>
        <v>travaux magasin</v>
      </c>
    </row>
    <row r="629" spans="20:27" x14ac:dyDescent="0.25">
      <c r="T629" s="71">
        <f t="shared" si="45"/>
        <v>62859</v>
      </c>
      <c r="U629" s="77">
        <f t="shared" si="46"/>
        <v>864.41</v>
      </c>
      <c r="V629" s="72">
        <f t="shared" si="49"/>
        <v>-4152.83</v>
      </c>
      <c r="W629" s="72">
        <f>D_Emprunts!$U629-D_Emprunts!$V629</f>
        <v>5017.24</v>
      </c>
      <c r="X629" s="73">
        <f>X628-D_Emprunts!$W629</f>
        <v>-1412731.4599999993</v>
      </c>
      <c r="Y629">
        <v>622</v>
      </c>
      <c r="Z629" t="str">
        <f t="shared" si="47"/>
        <v>Investissement</v>
      </c>
      <c r="AA629" t="str">
        <f t="shared" si="48"/>
        <v>travaux magasin</v>
      </c>
    </row>
    <row r="630" spans="20:27" x14ac:dyDescent="0.25">
      <c r="T630" s="68">
        <f t="shared" si="45"/>
        <v>62888</v>
      </c>
      <c r="U630" s="77">
        <f t="shared" si="46"/>
        <v>864.41</v>
      </c>
      <c r="V630" s="72">
        <f t="shared" si="49"/>
        <v>-4167.63</v>
      </c>
      <c r="W630" s="69">
        <f>D_Emprunts!$U630-D_Emprunts!$V630</f>
        <v>5032.04</v>
      </c>
      <c r="X630" s="70">
        <f>X629-D_Emprunts!$W630</f>
        <v>-1417763.4999999993</v>
      </c>
      <c r="Y630">
        <v>623</v>
      </c>
      <c r="Z630" t="str">
        <f t="shared" si="47"/>
        <v>Investissement</v>
      </c>
      <c r="AA630" t="str">
        <f t="shared" si="48"/>
        <v>travaux magasin</v>
      </c>
    </row>
    <row r="631" spans="20:27" x14ac:dyDescent="0.25">
      <c r="T631" s="71">
        <f t="shared" si="45"/>
        <v>62919</v>
      </c>
      <c r="U631" s="77">
        <f t="shared" si="46"/>
        <v>864.41</v>
      </c>
      <c r="V631" s="72">
        <f t="shared" si="49"/>
        <v>-4182.47</v>
      </c>
      <c r="W631" s="72">
        <f>D_Emprunts!$U631-D_Emprunts!$V631</f>
        <v>5046.88</v>
      </c>
      <c r="X631" s="73">
        <f>X630-D_Emprunts!$W631</f>
        <v>-1422810.3799999992</v>
      </c>
      <c r="Y631">
        <v>624</v>
      </c>
      <c r="Z631" t="str">
        <f t="shared" si="47"/>
        <v>Investissement</v>
      </c>
      <c r="AA631" t="str">
        <f t="shared" si="48"/>
        <v>travaux magasin</v>
      </c>
    </row>
    <row r="632" spans="20:27" x14ac:dyDescent="0.25">
      <c r="T632" s="68">
        <f t="shared" si="45"/>
        <v>62949</v>
      </c>
      <c r="U632" s="77">
        <f t="shared" si="46"/>
        <v>864.41</v>
      </c>
      <c r="V632" s="72">
        <f t="shared" si="49"/>
        <v>-4197.3599999999997</v>
      </c>
      <c r="W632" s="69">
        <f>D_Emprunts!$U632-D_Emprunts!$V632</f>
        <v>5061.7699999999995</v>
      </c>
      <c r="X632" s="70">
        <f>X631-D_Emprunts!$W632</f>
        <v>-1427872.1499999992</v>
      </c>
      <c r="Y632">
        <v>625</v>
      </c>
      <c r="Z632" t="str">
        <f t="shared" si="47"/>
        <v>Investissement</v>
      </c>
      <c r="AA632" t="str">
        <f t="shared" si="48"/>
        <v>travaux magasin</v>
      </c>
    </row>
    <row r="633" spans="20:27" x14ac:dyDescent="0.25">
      <c r="T633" s="71">
        <f t="shared" si="45"/>
        <v>62980</v>
      </c>
      <c r="U633" s="77">
        <f t="shared" si="46"/>
        <v>864.41</v>
      </c>
      <c r="V633" s="72">
        <f t="shared" si="49"/>
        <v>-4212.3</v>
      </c>
      <c r="W633" s="72">
        <f>D_Emprunts!$U633-D_Emprunts!$V633</f>
        <v>5076.71</v>
      </c>
      <c r="X633" s="73">
        <f>X632-D_Emprunts!$W633</f>
        <v>-1432948.8599999992</v>
      </c>
      <c r="Y633">
        <v>626</v>
      </c>
      <c r="Z633" t="str">
        <f t="shared" si="47"/>
        <v>Investissement</v>
      </c>
      <c r="AA633" t="str">
        <f t="shared" si="48"/>
        <v>travaux magasin</v>
      </c>
    </row>
    <row r="634" spans="20:27" x14ac:dyDescent="0.25">
      <c r="T634" s="68">
        <f t="shared" si="45"/>
        <v>63010</v>
      </c>
      <c r="U634" s="77">
        <f t="shared" si="46"/>
        <v>864.41</v>
      </c>
      <c r="V634" s="72">
        <f t="shared" si="49"/>
        <v>-4227.2700000000004</v>
      </c>
      <c r="W634" s="69">
        <f>D_Emprunts!$U634-D_Emprunts!$V634</f>
        <v>5091.68</v>
      </c>
      <c r="X634" s="70">
        <f>X633-D_Emprunts!$W634</f>
        <v>-1438040.5399999991</v>
      </c>
      <c r="Y634">
        <v>627</v>
      </c>
      <c r="Z634" t="str">
        <f t="shared" si="47"/>
        <v>Investissement</v>
      </c>
      <c r="AA634" t="str">
        <f t="shared" si="48"/>
        <v>travaux magasin</v>
      </c>
    </row>
    <row r="635" spans="20:27" x14ac:dyDescent="0.25">
      <c r="T635" s="71">
        <f t="shared" si="45"/>
        <v>63041</v>
      </c>
      <c r="U635" s="77">
        <f t="shared" si="46"/>
        <v>864.41</v>
      </c>
      <c r="V635" s="72">
        <f t="shared" si="49"/>
        <v>-4242.29</v>
      </c>
      <c r="W635" s="72">
        <f>D_Emprunts!$U635-D_Emprunts!$V635</f>
        <v>5106.7</v>
      </c>
      <c r="X635" s="73">
        <f>X634-D_Emprunts!$W635</f>
        <v>-1443147.2399999991</v>
      </c>
      <c r="Y635">
        <v>628</v>
      </c>
      <c r="Z635" t="str">
        <f t="shared" si="47"/>
        <v>Investissement</v>
      </c>
      <c r="AA635" t="str">
        <f t="shared" si="48"/>
        <v>travaux magasin</v>
      </c>
    </row>
    <row r="636" spans="20:27" x14ac:dyDescent="0.25">
      <c r="T636" s="68">
        <f t="shared" si="45"/>
        <v>63072</v>
      </c>
      <c r="U636" s="77">
        <f t="shared" si="46"/>
        <v>864.41</v>
      </c>
      <c r="V636" s="72">
        <f t="shared" si="49"/>
        <v>-4257.3599999999997</v>
      </c>
      <c r="W636" s="69">
        <f>D_Emprunts!$U636-D_Emprunts!$V636</f>
        <v>5121.7699999999995</v>
      </c>
      <c r="X636" s="70">
        <f>X635-D_Emprunts!$W636</f>
        <v>-1448269.0099999991</v>
      </c>
      <c r="Y636">
        <v>629</v>
      </c>
      <c r="Z636" t="str">
        <f t="shared" si="47"/>
        <v>Investissement</v>
      </c>
      <c r="AA636" t="str">
        <f t="shared" si="48"/>
        <v>travaux magasin</v>
      </c>
    </row>
    <row r="637" spans="20:27" x14ac:dyDescent="0.25">
      <c r="T637" s="71">
        <f t="shared" si="45"/>
        <v>63102</v>
      </c>
      <c r="U637" s="77">
        <f t="shared" si="46"/>
        <v>864.41</v>
      </c>
      <c r="V637" s="72">
        <f t="shared" si="49"/>
        <v>-4272.47</v>
      </c>
      <c r="W637" s="72">
        <f>D_Emprunts!$U637-D_Emprunts!$V637</f>
        <v>5136.88</v>
      </c>
      <c r="X637" s="73">
        <f>X636-D_Emprunts!$W637</f>
        <v>-1453405.889999999</v>
      </c>
      <c r="Y637">
        <v>630</v>
      </c>
      <c r="Z637" t="str">
        <f t="shared" si="47"/>
        <v>Investissement</v>
      </c>
      <c r="AA637" t="str">
        <f t="shared" si="48"/>
        <v>travaux magasin</v>
      </c>
    </row>
    <row r="638" spans="20:27" x14ac:dyDescent="0.25">
      <c r="T638" s="68">
        <f t="shared" si="45"/>
        <v>63133</v>
      </c>
      <c r="U638" s="77">
        <f t="shared" si="46"/>
        <v>864.41</v>
      </c>
      <c r="V638" s="72">
        <f t="shared" si="49"/>
        <v>-4287.62</v>
      </c>
      <c r="W638" s="69">
        <f>D_Emprunts!$U638-D_Emprunts!$V638</f>
        <v>5152.03</v>
      </c>
      <c r="X638" s="70">
        <f>X637-D_Emprunts!$W638</f>
        <v>-1458557.919999999</v>
      </c>
      <c r="Y638">
        <v>631</v>
      </c>
      <c r="Z638" t="str">
        <f t="shared" si="47"/>
        <v>Investissement</v>
      </c>
      <c r="AA638" t="str">
        <f t="shared" si="48"/>
        <v>travaux magasin</v>
      </c>
    </row>
    <row r="639" spans="20:27" x14ac:dyDescent="0.25">
      <c r="T639" s="71">
        <f t="shared" si="45"/>
        <v>63163</v>
      </c>
      <c r="U639" s="77">
        <f t="shared" si="46"/>
        <v>864.41</v>
      </c>
      <c r="V639" s="72">
        <f t="shared" si="49"/>
        <v>-4302.82</v>
      </c>
      <c r="W639" s="72">
        <f>D_Emprunts!$U639-D_Emprunts!$V639</f>
        <v>5167.2299999999996</v>
      </c>
      <c r="X639" s="73">
        <f>X638-D_Emprunts!$W639</f>
        <v>-1463725.149999999</v>
      </c>
      <c r="Y639">
        <v>632</v>
      </c>
      <c r="Z639" t="str">
        <f t="shared" si="47"/>
        <v>Investissement</v>
      </c>
      <c r="AA639" t="str">
        <f t="shared" si="48"/>
        <v>travaux magasin</v>
      </c>
    </row>
    <row r="640" spans="20:27" x14ac:dyDescent="0.25">
      <c r="T640" s="68">
        <f t="shared" si="45"/>
        <v>63194</v>
      </c>
      <c r="U640" s="77">
        <f t="shared" si="46"/>
        <v>864.41</v>
      </c>
      <c r="V640" s="72">
        <f t="shared" si="49"/>
        <v>-4318.0600000000004</v>
      </c>
      <c r="W640" s="69">
        <f>D_Emprunts!$U640-D_Emprunts!$V640</f>
        <v>5182.47</v>
      </c>
      <c r="X640" s="70">
        <f>X639-D_Emprunts!$W640</f>
        <v>-1468907.6199999989</v>
      </c>
      <c r="Y640">
        <v>633</v>
      </c>
      <c r="Z640" t="str">
        <f t="shared" si="47"/>
        <v>Investissement</v>
      </c>
      <c r="AA640" t="str">
        <f t="shared" si="48"/>
        <v>travaux magasin</v>
      </c>
    </row>
    <row r="641" spans="20:27" x14ac:dyDescent="0.25">
      <c r="T641" s="71">
        <f t="shared" si="45"/>
        <v>63225</v>
      </c>
      <c r="U641" s="77">
        <f t="shared" si="46"/>
        <v>864.41</v>
      </c>
      <c r="V641" s="72">
        <f t="shared" si="49"/>
        <v>-4333.3500000000004</v>
      </c>
      <c r="W641" s="72">
        <f>D_Emprunts!$U641-D_Emprunts!$V641</f>
        <v>5197.76</v>
      </c>
      <c r="X641" s="73">
        <f>X640-D_Emprunts!$W641</f>
        <v>-1474105.379999999</v>
      </c>
      <c r="Y641">
        <v>634</v>
      </c>
      <c r="Z641" t="str">
        <f t="shared" si="47"/>
        <v>Investissement</v>
      </c>
      <c r="AA641" t="str">
        <f t="shared" si="48"/>
        <v>travaux magasin</v>
      </c>
    </row>
    <row r="642" spans="20:27" x14ac:dyDescent="0.25">
      <c r="T642" s="68">
        <f t="shared" si="45"/>
        <v>63253</v>
      </c>
      <c r="U642" s="77">
        <f t="shared" si="46"/>
        <v>864.41</v>
      </c>
      <c r="V642" s="72">
        <f t="shared" si="49"/>
        <v>-4348.6899999999996</v>
      </c>
      <c r="W642" s="69">
        <f>D_Emprunts!$U642-D_Emprunts!$V642</f>
        <v>5213.0999999999995</v>
      </c>
      <c r="X642" s="70">
        <f>X641-D_Emprunts!$W642</f>
        <v>-1479318.4799999991</v>
      </c>
      <c r="Y642">
        <v>635</v>
      </c>
      <c r="Z642" t="str">
        <f t="shared" si="47"/>
        <v>Investissement</v>
      </c>
      <c r="AA642" t="str">
        <f t="shared" si="48"/>
        <v>travaux magasin</v>
      </c>
    </row>
    <row r="643" spans="20:27" x14ac:dyDescent="0.25">
      <c r="T643" s="71">
        <f t="shared" si="45"/>
        <v>63284</v>
      </c>
      <c r="U643" s="77">
        <f t="shared" si="46"/>
        <v>864.41</v>
      </c>
      <c r="V643" s="72">
        <f t="shared" si="49"/>
        <v>-4364.07</v>
      </c>
      <c r="W643" s="72">
        <f>D_Emprunts!$U643-D_Emprunts!$V643</f>
        <v>5228.4799999999996</v>
      </c>
      <c r="X643" s="73">
        <f>X642-D_Emprunts!$W643</f>
        <v>-1484546.959999999</v>
      </c>
      <c r="Y643">
        <v>636</v>
      </c>
      <c r="Z643" t="str">
        <f t="shared" si="47"/>
        <v>Investissement</v>
      </c>
      <c r="AA643" t="str">
        <f t="shared" si="48"/>
        <v>travaux magasin</v>
      </c>
    </row>
    <row r="644" spans="20:27" x14ac:dyDescent="0.25">
      <c r="T644" s="68">
        <f t="shared" si="45"/>
        <v>63314</v>
      </c>
      <c r="U644" s="77">
        <f t="shared" si="46"/>
        <v>864.41</v>
      </c>
      <c r="V644" s="72">
        <f t="shared" si="49"/>
        <v>-4379.49</v>
      </c>
      <c r="W644" s="69">
        <f>D_Emprunts!$U644-D_Emprunts!$V644</f>
        <v>5243.9</v>
      </c>
      <c r="X644" s="70">
        <f>X643-D_Emprunts!$W644</f>
        <v>-1489790.8599999989</v>
      </c>
      <c r="Y644">
        <v>637</v>
      </c>
      <c r="Z644" t="str">
        <f t="shared" si="47"/>
        <v>Investissement</v>
      </c>
      <c r="AA644" t="str">
        <f t="shared" si="48"/>
        <v>travaux magasin</v>
      </c>
    </row>
    <row r="645" spans="20:27" x14ac:dyDescent="0.25">
      <c r="T645" s="71">
        <f t="shared" si="45"/>
        <v>63345</v>
      </c>
      <c r="U645" s="77">
        <f t="shared" si="46"/>
        <v>864.41</v>
      </c>
      <c r="V645" s="72">
        <f t="shared" si="49"/>
        <v>-4394.96</v>
      </c>
      <c r="W645" s="72">
        <f>D_Emprunts!$U645-D_Emprunts!$V645</f>
        <v>5259.37</v>
      </c>
      <c r="X645" s="73">
        <f>X644-D_Emprunts!$W645</f>
        <v>-1495050.2299999991</v>
      </c>
      <c r="Y645">
        <v>638</v>
      </c>
      <c r="Z645" t="str">
        <f t="shared" si="47"/>
        <v>Investissement</v>
      </c>
      <c r="AA645" t="str">
        <f t="shared" si="48"/>
        <v>travaux magasin</v>
      </c>
    </row>
    <row r="646" spans="20:27" x14ac:dyDescent="0.25">
      <c r="T646" s="68">
        <f t="shared" si="45"/>
        <v>63375</v>
      </c>
      <c r="U646" s="77">
        <f t="shared" si="46"/>
        <v>864.41</v>
      </c>
      <c r="V646" s="72">
        <f t="shared" si="49"/>
        <v>-4410.47</v>
      </c>
      <c r="W646" s="69">
        <f>D_Emprunts!$U646-D_Emprunts!$V646</f>
        <v>5274.88</v>
      </c>
      <c r="X646" s="70">
        <f>X645-D_Emprunts!$W646</f>
        <v>-1500325.1099999989</v>
      </c>
      <c r="Y646">
        <v>639</v>
      </c>
      <c r="Z646" t="str">
        <f t="shared" si="47"/>
        <v>Investissement</v>
      </c>
      <c r="AA646" t="str">
        <f t="shared" si="48"/>
        <v>travaux magasin</v>
      </c>
    </row>
    <row r="647" spans="20:27" x14ac:dyDescent="0.25">
      <c r="T647" s="71">
        <f t="shared" si="45"/>
        <v>63406</v>
      </c>
      <c r="U647" s="77">
        <f t="shared" si="46"/>
        <v>864.41</v>
      </c>
      <c r="V647" s="72">
        <f t="shared" si="49"/>
        <v>-4426.04</v>
      </c>
      <c r="W647" s="72">
        <f>D_Emprunts!$U647-D_Emprunts!$V647</f>
        <v>5290.45</v>
      </c>
      <c r="X647" s="73">
        <f>X646-D_Emprunts!$W647</f>
        <v>-1505615.5599999989</v>
      </c>
      <c r="Y647">
        <v>640</v>
      </c>
      <c r="Z647" t="str">
        <f t="shared" si="47"/>
        <v>Investissement</v>
      </c>
      <c r="AA647" t="str">
        <f t="shared" si="48"/>
        <v>travaux magasin</v>
      </c>
    </row>
    <row r="648" spans="20:27" x14ac:dyDescent="0.25">
      <c r="T648" s="68">
        <f t="shared" ref="T648:T711" si="50">EDATE(T647,1)</f>
        <v>63437</v>
      </c>
      <c r="U648" s="77">
        <f t="shared" si="46"/>
        <v>864.41</v>
      </c>
      <c r="V648" s="72">
        <f t="shared" si="49"/>
        <v>-4441.6400000000003</v>
      </c>
      <c r="W648" s="69">
        <f>D_Emprunts!$U648-D_Emprunts!$V648</f>
        <v>5306.05</v>
      </c>
      <c r="X648" s="70">
        <f>X647-D_Emprunts!$W648</f>
        <v>-1510921.6099999989</v>
      </c>
      <c r="Y648">
        <v>641</v>
      </c>
      <c r="Z648" t="str">
        <f t="shared" si="47"/>
        <v>Investissement</v>
      </c>
      <c r="AA648" t="str">
        <f t="shared" si="48"/>
        <v>travaux magasin</v>
      </c>
    </row>
    <row r="649" spans="20:27" x14ac:dyDescent="0.25">
      <c r="T649" s="71">
        <f t="shared" si="50"/>
        <v>63467</v>
      </c>
      <c r="U649" s="77">
        <f t="shared" ref="U649:U712" si="51">$X$4</f>
        <v>864.41</v>
      </c>
      <c r="V649" s="72">
        <f t="shared" si="49"/>
        <v>-4457.3</v>
      </c>
      <c r="W649" s="72">
        <f>D_Emprunts!$U649-D_Emprunts!$V649</f>
        <v>5321.71</v>
      </c>
      <c r="X649" s="73">
        <f>X648-D_Emprunts!$W649</f>
        <v>-1516243.3199999989</v>
      </c>
      <c r="Y649">
        <v>642</v>
      </c>
      <c r="Z649" t="str">
        <f t="shared" ref="Z649:Z712" si="52">$Y$4</f>
        <v>Investissement</v>
      </c>
      <c r="AA649" t="str">
        <f t="shared" ref="AA649:AA712" si="53">$Z$4</f>
        <v>travaux magasin</v>
      </c>
    </row>
    <row r="650" spans="20:27" x14ac:dyDescent="0.25">
      <c r="T650" s="68">
        <f t="shared" si="50"/>
        <v>63498</v>
      </c>
      <c r="U650" s="77">
        <f t="shared" si="51"/>
        <v>864.41</v>
      </c>
      <c r="V650" s="72">
        <f t="shared" ref="V650:V713" si="54">ROUND(X649*$V$4/12,2)</f>
        <v>-4473</v>
      </c>
      <c r="W650" s="69">
        <f>D_Emprunts!$U650-D_Emprunts!$V650</f>
        <v>5337.41</v>
      </c>
      <c r="X650" s="70">
        <f>X649-D_Emprunts!$W650</f>
        <v>-1521580.7299999988</v>
      </c>
      <c r="Y650">
        <v>643</v>
      </c>
      <c r="Z650" t="str">
        <f t="shared" si="52"/>
        <v>Investissement</v>
      </c>
      <c r="AA650" t="str">
        <f t="shared" si="53"/>
        <v>travaux magasin</v>
      </c>
    </row>
    <row r="651" spans="20:27" x14ac:dyDescent="0.25">
      <c r="T651" s="71">
        <f t="shared" si="50"/>
        <v>63528</v>
      </c>
      <c r="U651" s="77">
        <f t="shared" si="51"/>
        <v>864.41</v>
      </c>
      <c r="V651" s="72">
        <f t="shared" si="54"/>
        <v>-4488.74</v>
      </c>
      <c r="W651" s="72">
        <f>D_Emprunts!$U651-D_Emprunts!$V651</f>
        <v>5353.15</v>
      </c>
      <c r="X651" s="73">
        <f>X650-D_Emprunts!$W651</f>
        <v>-1526933.8799999987</v>
      </c>
      <c r="Y651">
        <v>644</v>
      </c>
      <c r="Z651" t="str">
        <f t="shared" si="52"/>
        <v>Investissement</v>
      </c>
      <c r="AA651" t="str">
        <f t="shared" si="53"/>
        <v>travaux magasin</v>
      </c>
    </row>
    <row r="652" spans="20:27" x14ac:dyDescent="0.25">
      <c r="T652" s="68">
        <f t="shared" si="50"/>
        <v>63559</v>
      </c>
      <c r="U652" s="77">
        <f t="shared" si="51"/>
        <v>864.41</v>
      </c>
      <c r="V652" s="72">
        <f t="shared" si="54"/>
        <v>-4504.53</v>
      </c>
      <c r="W652" s="69">
        <f>D_Emprunts!$U652-D_Emprunts!$V652</f>
        <v>5368.94</v>
      </c>
      <c r="X652" s="70">
        <f>X651-D_Emprunts!$W652</f>
        <v>-1532302.8199999987</v>
      </c>
      <c r="Y652">
        <v>645</v>
      </c>
      <c r="Z652" t="str">
        <f t="shared" si="52"/>
        <v>Investissement</v>
      </c>
      <c r="AA652" t="str">
        <f t="shared" si="53"/>
        <v>travaux magasin</v>
      </c>
    </row>
    <row r="653" spans="20:27" x14ac:dyDescent="0.25">
      <c r="T653" s="71">
        <f t="shared" si="50"/>
        <v>63590</v>
      </c>
      <c r="U653" s="77">
        <f t="shared" si="51"/>
        <v>864.41</v>
      </c>
      <c r="V653" s="72">
        <f t="shared" si="54"/>
        <v>-4520.37</v>
      </c>
      <c r="W653" s="72">
        <f>D_Emprunts!$U653-D_Emprunts!$V653</f>
        <v>5384.78</v>
      </c>
      <c r="X653" s="73">
        <f>X652-D_Emprunts!$W653</f>
        <v>-1537687.5999999987</v>
      </c>
      <c r="Y653">
        <v>646</v>
      </c>
      <c r="Z653" t="str">
        <f t="shared" si="52"/>
        <v>Investissement</v>
      </c>
      <c r="AA653" t="str">
        <f t="shared" si="53"/>
        <v>travaux magasin</v>
      </c>
    </row>
    <row r="654" spans="20:27" x14ac:dyDescent="0.25">
      <c r="T654" s="68">
        <f t="shared" si="50"/>
        <v>63618</v>
      </c>
      <c r="U654" s="77">
        <f t="shared" si="51"/>
        <v>864.41</v>
      </c>
      <c r="V654" s="72">
        <f t="shared" si="54"/>
        <v>-4536.26</v>
      </c>
      <c r="W654" s="69">
        <f>D_Emprunts!$U654-D_Emprunts!$V654</f>
        <v>5400.67</v>
      </c>
      <c r="X654" s="70">
        <f>X653-D_Emprunts!$W654</f>
        <v>-1543088.2699999986</v>
      </c>
      <c r="Y654">
        <v>647</v>
      </c>
      <c r="Z654" t="str">
        <f t="shared" si="52"/>
        <v>Investissement</v>
      </c>
      <c r="AA654" t="str">
        <f t="shared" si="53"/>
        <v>travaux magasin</v>
      </c>
    </row>
    <row r="655" spans="20:27" x14ac:dyDescent="0.25">
      <c r="T655" s="71">
        <f t="shared" si="50"/>
        <v>63649</v>
      </c>
      <c r="U655" s="77">
        <f t="shared" si="51"/>
        <v>864.41</v>
      </c>
      <c r="V655" s="72">
        <f t="shared" si="54"/>
        <v>-4552.1899999999996</v>
      </c>
      <c r="W655" s="72">
        <f>D_Emprunts!$U655-D_Emprunts!$V655</f>
        <v>5416.5999999999995</v>
      </c>
      <c r="X655" s="73">
        <f>X654-D_Emprunts!$W655</f>
        <v>-1548504.8699999987</v>
      </c>
      <c r="Y655">
        <v>648</v>
      </c>
      <c r="Z655" t="str">
        <f t="shared" si="52"/>
        <v>Investissement</v>
      </c>
      <c r="AA655" t="str">
        <f t="shared" si="53"/>
        <v>travaux magasin</v>
      </c>
    </row>
    <row r="656" spans="20:27" x14ac:dyDescent="0.25">
      <c r="T656" s="68">
        <f t="shared" si="50"/>
        <v>63679</v>
      </c>
      <c r="U656" s="77">
        <f t="shared" si="51"/>
        <v>864.41</v>
      </c>
      <c r="V656" s="72">
        <f t="shared" si="54"/>
        <v>-4568.17</v>
      </c>
      <c r="W656" s="69">
        <f>D_Emprunts!$U656-D_Emprunts!$V656</f>
        <v>5432.58</v>
      </c>
      <c r="X656" s="70">
        <f>X655-D_Emprunts!$W656</f>
        <v>-1553937.4499999988</v>
      </c>
      <c r="Y656">
        <v>649</v>
      </c>
      <c r="Z656" t="str">
        <f t="shared" si="52"/>
        <v>Investissement</v>
      </c>
      <c r="AA656" t="str">
        <f t="shared" si="53"/>
        <v>travaux magasin</v>
      </c>
    </row>
    <row r="657" spans="20:27" x14ac:dyDescent="0.25">
      <c r="T657" s="71">
        <f t="shared" si="50"/>
        <v>63710</v>
      </c>
      <c r="U657" s="77">
        <f t="shared" si="51"/>
        <v>864.41</v>
      </c>
      <c r="V657" s="72">
        <f t="shared" si="54"/>
        <v>-4584.1899999999996</v>
      </c>
      <c r="W657" s="72">
        <f>D_Emprunts!$U657-D_Emprunts!$V657</f>
        <v>5448.5999999999995</v>
      </c>
      <c r="X657" s="73">
        <f>X656-D_Emprunts!$W657</f>
        <v>-1559386.0499999989</v>
      </c>
      <c r="Y657">
        <v>650</v>
      </c>
      <c r="Z657" t="str">
        <f t="shared" si="52"/>
        <v>Investissement</v>
      </c>
      <c r="AA657" t="str">
        <f t="shared" si="53"/>
        <v>travaux magasin</v>
      </c>
    </row>
    <row r="658" spans="20:27" x14ac:dyDescent="0.25">
      <c r="T658" s="68">
        <f t="shared" si="50"/>
        <v>63740</v>
      </c>
      <c r="U658" s="77">
        <f t="shared" si="51"/>
        <v>864.41</v>
      </c>
      <c r="V658" s="72">
        <f t="shared" si="54"/>
        <v>-4600.2700000000004</v>
      </c>
      <c r="W658" s="69">
        <f>D_Emprunts!$U658-D_Emprunts!$V658</f>
        <v>5464.68</v>
      </c>
      <c r="X658" s="70">
        <f>X657-D_Emprunts!$W658</f>
        <v>-1564850.7299999988</v>
      </c>
      <c r="Y658">
        <v>651</v>
      </c>
      <c r="Z658" t="str">
        <f t="shared" si="52"/>
        <v>Investissement</v>
      </c>
      <c r="AA658" t="str">
        <f t="shared" si="53"/>
        <v>travaux magasin</v>
      </c>
    </row>
    <row r="659" spans="20:27" x14ac:dyDescent="0.25">
      <c r="T659" s="71">
        <f t="shared" si="50"/>
        <v>63771</v>
      </c>
      <c r="U659" s="77">
        <f t="shared" si="51"/>
        <v>864.41</v>
      </c>
      <c r="V659" s="72">
        <f t="shared" si="54"/>
        <v>-4616.3900000000003</v>
      </c>
      <c r="W659" s="72">
        <f>D_Emprunts!$U659-D_Emprunts!$V659</f>
        <v>5480.8</v>
      </c>
      <c r="X659" s="73">
        <f>X658-D_Emprunts!$W659</f>
        <v>-1570331.5299999989</v>
      </c>
      <c r="Y659">
        <v>652</v>
      </c>
      <c r="Z659" t="str">
        <f t="shared" si="52"/>
        <v>Investissement</v>
      </c>
      <c r="AA659" t="str">
        <f t="shared" si="53"/>
        <v>travaux magasin</v>
      </c>
    </row>
    <row r="660" spans="20:27" x14ac:dyDescent="0.25">
      <c r="T660" s="68">
        <f t="shared" si="50"/>
        <v>63802</v>
      </c>
      <c r="U660" s="77">
        <f t="shared" si="51"/>
        <v>864.41</v>
      </c>
      <c r="V660" s="72">
        <f t="shared" si="54"/>
        <v>-4632.5600000000004</v>
      </c>
      <c r="W660" s="69">
        <f>D_Emprunts!$U660-D_Emprunts!$V660</f>
        <v>5496.97</v>
      </c>
      <c r="X660" s="70">
        <f>X659-D_Emprunts!$W660</f>
        <v>-1575828.4999999988</v>
      </c>
      <c r="Y660">
        <v>653</v>
      </c>
      <c r="Z660" t="str">
        <f t="shared" si="52"/>
        <v>Investissement</v>
      </c>
      <c r="AA660" t="str">
        <f t="shared" si="53"/>
        <v>travaux magasin</v>
      </c>
    </row>
    <row r="661" spans="20:27" x14ac:dyDescent="0.25">
      <c r="T661" s="71">
        <f t="shared" si="50"/>
        <v>63832</v>
      </c>
      <c r="U661" s="77">
        <f t="shared" si="51"/>
        <v>864.41</v>
      </c>
      <c r="V661" s="72">
        <f t="shared" si="54"/>
        <v>-4648.7700000000004</v>
      </c>
      <c r="W661" s="72">
        <f>D_Emprunts!$U661-D_Emprunts!$V661</f>
        <v>5513.18</v>
      </c>
      <c r="X661" s="73">
        <f>X660-D_Emprunts!$W661</f>
        <v>-1581341.6799999988</v>
      </c>
      <c r="Y661">
        <v>654</v>
      </c>
      <c r="Z661" t="str">
        <f t="shared" si="52"/>
        <v>Investissement</v>
      </c>
      <c r="AA661" t="str">
        <f t="shared" si="53"/>
        <v>travaux magasin</v>
      </c>
    </row>
    <row r="662" spans="20:27" x14ac:dyDescent="0.25">
      <c r="T662" s="68">
        <f t="shared" si="50"/>
        <v>63863</v>
      </c>
      <c r="U662" s="77">
        <f t="shared" si="51"/>
        <v>864.41</v>
      </c>
      <c r="V662" s="72">
        <f t="shared" si="54"/>
        <v>-4665.04</v>
      </c>
      <c r="W662" s="69">
        <f>D_Emprunts!$U662-D_Emprunts!$V662</f>
        <v>5529.45</v>
      </c>
      <c r="X662" s="70">
        <f>X661-D_Emprunts!$W662</f>
        <v>-1586871.1299999987</v>
      </c>
      <c r="Y662">
        <v>655</v>
      </c>
      <c r="Z662" t="str">
        <f t="shared" si="52"/>
        <v>Investissement</v>
      </c>
      <c r="AA662" t="str">
        <f t="shared" si="53"/>
        <v>travaux magasin</v>
      </c>
    </row>
    <row r="663" spans="20:27" x14ac:dyDescent="0.25">
      <c r="T663" s="71">
        <f t="shared" si="50"/>
        <v>63893</v>
      </c>
      <c r="U663" s="77">
        <f t="shared" si="51"/>
        <v>864.41</v>
      </c>
      <c r="V663" s="72">
        <f t="shared" si="54"/>
        <v>-4681.3500000000004</v>
      </c>
      <c r="W663" s="72">
        <f>D_Emprunts!$U663-D_Emprunts!$V663</f>
        <v>5545.76</v>
      </c>
      <c r="X663" s="73">
        <f>X662-D_Emprunts!$W663</f>
        <v>-1592416.8899999987</v>
      </c>
      <c r="Y663">
        <v>656</v>
      </c>
      <c r="Z663" t="str">
        <f t="shared" si="52"/>
        <v>Investissement</v>
      </c>
      <c r="AA663" t="str">
        <f t="shared" si="53"/>
        <v>travaux magasin</v>
      </c>
    </row>
    <row r="664" spans="20:27" x14ac:dyDescent="0.25">
      <c r="T664" s="68">
        <f t="shared" si="50"/>
        <v>63924</v>
      </c>
      <c r="U664" s="77">
        <f t="shared" si="51"/>
        <v>864.41</v>
      </c>
      <c r="V664" s="72">
        <f t="shared" si="54"/>
        <v>-4697.71</v>
      </c>
      <c r="W664" s="69">
        <f>D_Emprunts!$U664-D_Emprunts!$V664</f>
        <v>5562.12</v>
      </c>
      <c r="X664" s="70">
        <f>X663-D_Emprunts!$W664</f>
        <v>-1597979.0099999988</v>
      </c>
      <c r="Y664">
        <v>657</v>
      </c>
      <c r="Z664" t="str">
        <f t="shared" si="52"/>
        <v>Investissement</v>
      </c>
      <c r="AA664" t="str">
        <f t="shared" si="53"/>
        <v>travaux magasin</v>
      </c>
    </row>
    <row r="665" spans="20:27" x14ac:dyDescent="0.25">
      <c r="T665" s="71">
        <f t="shared" si="50"/>
        <v>63955</v>
      </c>
      <c r="U665" s="77">
        <f t="shared" si="51"/>
        <v>864.41</v>
      </c>
      <c r="V665" s="72">
        <f t="shared" si="54"/>
        <v>-4714.12</v>
      </c>
      <c r="W665" s="72">
        <f>D_Emprunts!$U665-D_Emprunts!$V665</f>
        <v>5578.53</v>
      </c>
      <c r="X665" s="73">
        <f>X664-D_Emprunts!$W665</f>
        <v>-1603557.5399999989</v>
      </c>
      <c r="Y665">
        <v>658</v>
      </c>
      <c r="Z665" t="str">
        <f t="shared" si="52"/>
        <v>Investissement</v>
      </c>
      <c r="AA665" t="str">
        <f t="shared" si="53"/>
        <v>travaux magasin</v>
      </c>
    </row>
    <row r="666" spans="20:27" x14ac:dyDescent="0.25">
      <c r="T666" s="68">
        <f t="shared" si="50"/>
        <v>63983</v>
      </c>
      <c r="U666" s="77">
        <f t="shared" si="51"/>
        <v>864.41</v>
      </c>
      <c r="V666" s="72">
        <f t="shared" si="54"/>
        <v>-4730.58</v>
      </c>
      <c r="W666" s="69">
        <f>D_Emprunts!$U666-D_Emprunts!$V666</f>
        <v>5594.99</v>
      </c>
      <c r="X666" s="70">
        <f>X665-D_Emprunts!$W666</f>
        <v>-1609152.5299999989</v>
      </c>
      <c r="Y666">
        <v>659</v>
      </c>
      <c r="Z666" t="str">
        <f t="shared" si="52"/>
        <v>Investissement</v>
      </c>
      <c r="AA666" t="str">
        <f t="shared" si="53"/>
        <v>travaux magasin</v>
      </c>
    </row>
    <row r="667" spans="20:27" x14ac:dyDescent="0.25">
      <c r="T667" s="71">
        <f t="shared" si="50"/>
        <v>64014</v>
      </c>
      <c r="U667" s="77">
        <f t="shared" si="51"/>
        <v>864.41</v>
      </c>
      <c r="V667" s="72">
        <f t="shared" si="54"/>
        <v>-4747.08</v>
      </c>
      <c r="W667" s="72">
        <f>D_Emprunts!$U667-D_Emprunts!$V667</f>
        <v>5611.49</v>
      </c>
      <c r="X667" s="73">
        <f>X666-D_Emprunts!$W667</f>
        <v>-1614764.0199999989</v>
      </c>
      <c r="Y667">
        <v>660</v>
      </c>
      <c r="Z667" t="str">
        <f t="shared" si="52"/>
        <v>Investissement</v>
      </c>
      <c r="AA667" t="str">
        <f t="shared" si="53"/>
        <v>travaux magasin</v>
      </c>
    </row>
    <row r="668" spans="20:27" x14ac:dyDescent="0.25">
      <c r="T668" s="68">
        <f t="shared" si="50"/>
        <v>64044</v>
      </c>
      <c r="U668" s="77">
        <f t="shared" si="51"/>
        <v>864.41</v>
      </c>
      <c r="V668" s="72">
        <f t="shared" si="54"/>
        <v>-4763.6400000000003</v>
      </c>
      <c r="W668" s="69">
        <f>D_Emprunts!$U668-D_Emprunts!$V668</f>
        <v>5628.05</v>
      </c>
      <c r="X668" s="70">
        <f>X667-D_Emprunts!$W668</f>
        <v>-1620392.0699999989</v>
      </c>
      <c r="Y668">
        <v>661</v>
      </c>
      <c r="Z668" t="str">
        <f t="shared" si="52"/>
        <v>Investissement</v>
      </c>
      <c r="AA668" t="str">
        <f t="shared" si="53"/>
        <v>travaux magasin</v>
      </c>
    </row>
    <row r="669" spans="20:27" x14ac:dyDescent="0.25">
      <c r="T669" s="71">
        <f t="shared" si="50"/>
        <v>64075</v>
      </c>
      <c r="U669" s="77">
        <f t="shared" si="51"/>
        <v>864.41</v>
      </c>
      <c r="V669" s="72">
        <f t="shared" si="54"/>
        <v>-4780.24</v>
      </c>
      <c r="W669" s="72">
        <f>D_Emprunts!$U669-D_Emprunts!$V669</f>
        <v>5644.65</v>
      </c>
      <c r="X669" s="73">
        <f>X668-D_Emprunts!$W669</f>
        <v>-1626036.7199999988</v>
      </c>
      <c r="Y669">
        <v>662</v>
      </c>
      <c r="Z669" t="str">
        <f t="shared" si="52"/>
        <v>Investissement</v>
      </c>
      <c r="AA669" t="str">
        <f t="shared" si="53"/>
        <v>travaux magasin</v>
      </c>
    </row>
    <row r="670" spans="20:27" x14ac:dyDescent="0.25">
      <c r="T670" s="68">
        <f t="shared" si="50"/>
        <v>64105</v>
      </c>
      <c r="U670" s="77">
        <f t="shared" si="51"/>
        <v>864.41</v>
      </c>
      <c r="V670" s="72">
        <f t="shared" si="54"/>
        <v>-4796.8900000000003</v>
      </c>
      <c r="W670" s="69">
        <f>D_Emprunts!$U670-D_Emprunts!$V670</f>
        <v>5661.3</v>
      </c>
      <c r="X670" s="70">
        <f>X669-D_Emprunts!$W670</f>
        <v>-1631698.0199999989</v>
      </c>
      <c r="Y670">
        <v>663</v>
      </c>
      <c r="Z670" t="str">
        <f t="shared" si="52"/>
        <v>Investissement</v>
      </c>
      <c r="AA670" t="str">
        <f t="shared" si="53"/>
        <v>travaux magasin</v>
      </c>
    </row>
    <row r="671" spans="20:27" x14ac:dyDescent="0.25">
      <c r="T671" s="71">
        <f t="shared" si="50"/>
        <v>64136</v>
      </c>
      <c r="U671" s="77">
        <f t="shared" si="51"/>
        <v>864.41</v>
      </c>
      <c r="V671" s="72">
        <f t="shared" si="54"/>
        <v>-4813.59</v>
      </c>
      <c r="W671" s="72">
        <f>D_Emprunts!$U671-D_Emprunts!$V671</f>
        <v>5678</v>
      </c>
      <c r="X671" s="73">
        <f>X670-D_Emprunts!$W671</f>
        <v>-1637376.0199999989</v>
      </c>
      <c r="Y671">
        <v>664</v>
      </c>
      <c r="Z671" t="str">
        <f t="shared" si="52"/>
        <v>Investissement</v>
      </c>
      <c r="AA671" t="str">
        <f t="shared" si="53"/>
        <v>travaux magasin</v>
      </c>
    </row>
    <row r="672" spans="20:27" x14ac:dyDescent="0.25">
      <c r="T672" s="68">
        <f t="shared" si="50"/>
        <v>64167</v>
      </c>
      <c r="U672" s="77">
        <f t="shared" si="51"/>
        <v>864.41</v>
      </c>
      <c r="V672" s="72">
        <f t="shared" si="54"/>
        <v>-4830.34</v>
      </c>
      <c r="W672" s="69">
        <f>D_Emprunts!$U672-D_Emprunts!$V672</f>
        <v>5694.75</v>
      </c>
      <c r="X672" s="70">
        <f>X671-D_Emprunts!$W672</f>
        <v>-1643070.7699999989</v>
      </c>
      <c r="Y672">
        <v>665</v>
      </c>
      <c r="Z672" t="str">
        <f t="shared" si="52"/>
        <v>Investissement</v>
      </c>
      <c r="AA672" t="str">
        <f t="shared" si="53"/>
        <v>travaux magasin</v>
      </c>
    </row>
    <row r="673" spans="20:27" x14ac:dyDescent="0.25">
      <c r="T673" s="71">
        <f t="shared" si="50"/>
        <v>64197</v>
      </c>
      <c r="U673" s="77">
        <f t="shared" si="51"/>
        <v>864.41</v>
      </c>
      <c r="V673" s="72">
        <f t="shared" si="54"/>
        <v>-4847.1400000000003</v>
      </c>
      <c r="W673" s="72">
        <f>D_Emprunts!$U673-D_Emprunts!$V673</f>
        <v>5711.55</v>
      </c>
      <c r="X673" s="73">
        <f>X672-D_Emprunts!$W673</f>
        <v>-1648782.3199999989</v>
      </c>
      <c r="Y673">
        <v>666</v>
      </c>
      <c r="Z673" t="str">
        <f t="shared" si="52"/>
        <v>Investissement</v>
      </c>
      <c r="AA673" t="str">
        <f t="shared" si="53"/>
        <v>travaux magasin</v>
      </c>
    </row>
    <row r="674" spans="20:27" x14ac:dyDescent="0.25">
      <c r="T674" s="68">
        <f t="shared" si="50"/>
        <v>64228</v>
      </c>
      <c r="U674" s="77">
        <f t="shared" si="51"/>
        <v>864.41</v>
      </c>
      <c r="V674" s="72">
        <f t="shared" si="54"/>
        <v>-4863.99</v>
      </c>
      <c r="W674" s="69">
        <f>D_Emprunts!$U674-D_Emprunts!$V674</f>
        <v>5728.4</v>
      </c>
      <c r="X674" s="70">
        <f>X673-D_Emprunts!$W674</f>
        <v>-1654510.7199999988</v>
      </c>
      <c r="Y674">
        <v>667</v>
      </c>
      <c r="Z674" t="str">
        <f t="shared" si="52"/>
        <v>Investissement</v>
      </c>
      <c r="AA674" t="str">
        <f t="shared" si="53"/>
        <v>travaux magasin</v>
      </c>
    </row>
    <row r="675" spans="20:27" x14ac:dyDescent="0.25">
      <c r="T675" s="71">
        <f t="shared" si="50"/>
        <v>64258</v>
      </c>
      <c r="U675" s="77">
        <f t="shared" si="51"/>
        <v>864.41</v>
      </c>
      <c r="V675" s="72">
        <f t="shared" si="54"/>
        <v>-4880.8900000000003</v>
      </c>
      <c r="W675" s="72">
        <f>D_Emprunts!$U675-D_Emprunts!$V675</f>
        <v>5745.3</v>
      </c>
      <c r="X675" s="73">
        <f>X674-D_Emprunts!$W675</f>
        <v>-1660256.0199999989</v>
      </c>
      <c r="Y675">
        <v>668</v>
      </c>
      <c r="Z675" t="str">
        <f t="shared" si="52"/>
        <v>Investissement</v>
      </c>
      <c r="AA675" t="str">
        <f t="shared" si="53"/>
        <v>travaux magasin</v>
      </c>
    </row>
    <row r="676" spans="20:27" x14ac:dyDescent="0.25">
      <c r="T676" s="68">
        <f t="shared" si="50"/>
        <v>64289</v>
      </c>
      <c r="U676" s="77">
        <f t="shared" si="51"/>
        <v>864.41</v>
      </c>
      <c r="V676" s="72">
        <f t="shared" si="54"/>
        <v>-4897.84</v>
      </c>
      <c r="W676" s="69">
        <f>D_Emprunts!$U676-D_Emprunts!$V676</f>
        <v>5762.25</v>
      </c>
      <c r="X676" s="70">
        <f>X675-D_Emprunts!$W676</f>
        <v>-1666018.2699999989</v>
      </c>
      <c r="Y676">
        <v>669</v>
      </c>
      <c r="Z676" t="str">
        <f t="shared" si="52"/>
        <v>Investissement</v>
      </c>
      <c r="AA676" t="str">
        <f t="shared" si="53"/>
        <v>travaux magasin</v>
      </c>
    </row>
    <row r="677" spans="20:27" x14ac:dyDescent="0.25">
      <c r="T677" s="71">
        <f t="shared" si="50"/>
        <v>64320</v>
      </c>
      <c r="U677" s="77">
        <f t="shared" si="51"/>
        <v>864.41</v>
      </c>
      <c r="V677" s="72">
        <f t="shared" si="54"/>
        <v>-4914.84</v>
      </c>
      <c r="W677" s="72">
        <f>D_Emprunts!$U677-D_Emprunts!$V677</f>
        <v>5779.25</v>
      </c>
      <c r="X677" s="73">
        <f>X676-D_Emprunts!$W677</f>
        <v>-1671797.5199999989</v>
      </c>
      <c r="Y677">
        <v>670</v>
      </c>
      <c r="Z677" t="str">
        <f t="shared" si="52"/>
        <v>Investissement</v>
      </c>
      <c r="AA677" t="str">
        <f t="shared" si="53"/>
        <v>travaux magasin</v>
      </c>
    </row>
    <row r="678" spans="20:27" x14ac:dyDescent="0.25">
      <c r="T678" s="68">
        <f t="shared" si="50"/>
        <v>64349</v>
      </c>
      <c r="U678" s="77">
        <f t="shared" si="51"/>
        <v>864.41</v>
      </c>
      <c r="V678" s="72">
        <f t="shared" si="54"/>
        <v>-4931.8900000000003</v>
      </c>
      <c r="W678" s="69">
        <f>D_Emprunts!$U678-D_Emprunts!$V678</f>
        <v>5796.3</v>
      </c>
      <c r="X678" s="70">
        <f>X677-D_Emprunts!$W678</f>
        <v>-1677593.8199999989</v>
      </c>
      <c r="Y678">
        <v>671</v>
      </c>
      <c r="Z678" t="str">
        <f t="shared" si="52"/>
        <v>Investissement</v>
      </c>
      <c r="AA678" t="str">
        <f t="shared" si="53"/>
        <v>travaux magasin</v>
      </c>
    </row>
    <row r="679" spans="20:27" x14ac:dyDescent="0.25">
      <c r="T679" s="71">
        <f t="shared" si="50"/>
        <v>64380</v>
      </c>
      <c r="U679" s="77">
        <f t="shared" si="51"/>
        <v>864.41</v>
      </c>
      <c r="V679" s="72">
        <f t="shared" si="54"/>
        <v>-4948.99</v>
      </c>
      <c r="W679" s="72">
        <f>D_Emprunts!$U679-D_Emprunts!$V679</f>
        <v>5813.4</v>
      </c>
      <c r="X679" s="73">
        <f>X678-D_Emprunts!$W679</f>
        <v>-1683407.2199999988</v>
      </c>
      <c r="Y679">
        <v>672</v>
      </c>
      <c r="Z679" t="str">
        <f t="shared" si="52"/>
        <v>Investissement</v>
      </c>
      <c r="AA679" t="str">
        <f t="shared" si="53"/>
        <v>travaux magasin</v>
      </c>
    </row>
    <row r="680" spans="20:27" x14ac:dyDescent="0.25">
      <c r="T680" s="68">
        <f t="shared" si="50"/>
        <v>64410</v>
      </c>
      <c r="U680" s="77">
        <f t="shared" si="51"/>
        <v>864.41</v>
      </c>
      <c r="V680" s="72">
        <f t="shared" si="54"/>
        <v>-4966.1400000000003</v>
      </c>
      <c r="W680" s="69">
        <f>D_Emprunts!$U680-D_Emprunts!$V680</f>
        <v>5830.55</v>
      </c>
      <c r="X680" s="70">
        <f>X679-D_Emprunts!$W680</f>
        <v>-1689237.7699999989</v>
      </c>
      <c r="Y680">
        <v>673</v>
      </c>
      <c r="Z680" t="str">
        <f t="shared" si="52"/>
        <v>Investissement</v>
      </c>
      <c r="AA680" t="str">
        <f t="shared" si="53"/>
        <v>travaux magasin</v>
      </c>
    </row>
    <row r="681" spans="20:27" x14ac:dyDescent="0.25">
      <c r="T681" s="71">
        <f t="shared" si="50"/>
        <v>64441</v>
      </c>
      <c r="U681" s="77">
        <f t="shared" si="51"/>
        <v>864.41</v>
      </c>
      <c r="V681" s="72">
        <f t="shared" si="54"/>
        <v>-4983.34</v>
      </c>
      <c r="W681" s="72">
        <f>D_Emprunts!$U681-D_Emprunts!$V681</f>
        <v>5847.75</v>
      </c>
      <c r="X681" s="73">
        <f>X680-D_Emprunts!$W681</f>
        <v>-1695085.5199999989</v>
      </c>
      <c r="Y681">
        <v>674</v>
      </c>
      <c r="Z681" t="str">
        <f t="shared" si="52"/>
        <v>Investissement</v>
      </c>
      <c r="AA681" t="str">
        <f t="shared" si="53"/>
        <v>travaux magasin</v>
      </c>
    </row>
    <row r="682" spans="20:27" x14ac:dyDescent="0.25">
      <c r="T682" s="68">
        <f t="shared" si="50"/>
        <v>64471</v>
      </c>
      <c r="U682" s="77">
        <f t="shared" si="51"/>
        <v>864.41</v>
      </c>
      <c r="V682" s="72">
        <f t="shared" si="54"/>
        <v>-5000.59</v>
      </c>
      <c r="W682" s="69">
        <f>D_Emprunts!$U682-D_Emprunts!$V682</f>
        <v>5865</v>
      </c>
      <c r="X682" s="70">
        <f>X681-D_Emprunts!$W682</f>
        <v>-1700950.5199999989</v>
      </c>
      <c r="Y682">
        <v>675</v>
      </c>
      <c r="Z682" t="str">
        <f t="shared" si="52"/>
        <v>Investissement</v>
      </c>
      <c r="AA682" t="str">
        <f t="shared" si="53"/>
        <v>travaux magasin</v>
      </c>
    </row>
    <row r="683" spans="20:27" x14ac:dyDescent="0.25">
      <c r="T683" s="71">
        <f t="shared" si="50"/>
        <v>64502</v>
      </c>
      <c r="U683" s="77">
        <f t="shared" si="51"/>
        <v>864.41</v>
      </c>
      <c r="V683" s="72">
        <f t="shared" si="54"/>
        <v>-5017.8900000000003</v>
      </c>
      <c r="W683" s="72">
        <f>D_Emprunts!$U683-D_Emprunts!$V683</f>
        <v>5882.3</v>
      </c>
      <c r="X683" s="73">
        <f>X682-D_Emprunts!$W683</f>
        <v>-1706832.8199999989</v>
      </c>
      <c r="Y683">
        <v>676</v>
      </c>
      <c r="Z683" t="str">
        <f t="shared" si="52"/>
        <v>Investissement</v>
      </c>
      <c r="AA683" t="str">
        <f t="shared" si="53"/>
        <v>travaux magasin</v>
      </c>
    </row>
    <row r="684" spans="20:27" x14ac:dyDescent="0.25">
      <c r="T684" s="68">
        <f t="shared" si="50"/>
        <v>64533</v>
      </c>
      <c r="U684" s="77">
        <f t="shared" si="51"/>
        <v>864.41</v>
      </c>
      <c r="V684" s="72">
        <f t="shared" si="54"/>
        <v>-5035.24</v>
      </c>
      <c r="W684" s="69">
        <f>D_Emprunts!$U684-D_Emprunts!$V684</f>
        <v>5899.65</v>
      </c>
      <c r="X684" s="70">
        <f>X683-D_Emprunts!$W684</f>
        <v>-1712732.4699999988</v>
      </c>
      <c r="Y684">
        <v>677</v>
      </c>
      <c r="Z684" t="str">
        <f t="shared" si="52"/>
        <v>Investissement</v>
      </c>
      <c r="AA684" t="str">
        <f t="shared" si="53"/>
        <v>travaux magasin</v>
      </c>
    </row>
    <row r="685" spans="20:27" x14ac:dyDescent="0.25">
      <c r="T685" s="71">
        <f t="shared" si="50"/>
        <v>64563</v>
      </c>
      <c r="U685" s="77">
        <f t="shared" si="51"/>
        <v>864.41</v>
      </c>
      <c r="V685" s="72">
        <f t="shared" si="54"/>
        <v>-5052.6499999999996</v>
      </c>
      <c r="W685" s="72">
        <f>D_Emprunts!$U685-D_Emprunts!$V685</f>
        <v>5917.0599999999995</v>
      </c>
      <c r="X685" s="73">
        <f>X684-D_Emprunts!$W685</f>
        <v>-1718649.5299999989</v>
      </c>
      <c r="Y685">
        <v>678</v>
      </c>
      <c r="Z685" t="str">
        <f t="shared" si="52"/>
        <v>Investissement</v>
      </c>
      <c r="AA685" t="str">
        <f t="shared" si="53"/>
        <v>travaux magasin</v>
      </c>
    </row>
    <row r="686" spans="20:27" x14ac:dyDescent="0.25">
      <c r="T686" s="68">
        <f t="shared" si="50"/>
        <v>64594</v>
      </c>
      <c r="U686" s="77">
        <f t="shared" si="51"/>
        <v>864.41</v>
      </c>
      <c r="V686" s="72">
        <f t="shared" si="54"/>
        <v>-5070.1000000000004</v>
      </c>
      <c r="W686" s="69">
        <f>D_Emprunts!$U686-D_Emprunts!$V686</f>
        <v>5934.51</v>
      </c>
      <c r="X686" s="70">
        <f>X685-D_Emprunts!$W686</f>
        <v>-1724584.0399999989</v>
      </c>
      <c r="Y686">
        <v>679</v>
      </c>
      <c r="Z686" t="str">
        <f t="shared" si="52"/>
        <v>Investissement</v>
      </c>
      <c r="AA686" t="str">
        <f t="shared" si="53"/>
        <v>travaux magasin</v>
      </c>
    </row>
    <row r="687" spans="20:27" x14ac:dyDescent="0.25">
      <c r="T687" s="71">
        <f t="shared" si="50"/>
        <v>64624</v>
      </c>
      <c r="U687" s="77">
        <f t="shared" si="51"/>
        <v>864.41</v>
      </c>
      <c r="V687" s="72">
        <f t="shared" si="54"/>
        <v>-5087.6099999999997</v>
      </c>
      <c r="W687" s="72">
        <f>D_Emprunts!$U687-D_Emprunts!$V687</f>
        <v>5952.0199999999995</v>
      </c>
      <c r="X687" s="73">
        <f>X686-D_Emprunts!$W687</f>
        <v>-1730536.0599999989</v>
      </c>
      <c r="Y687">
        <v>680</v>
      </c>
      <c r="Z687" t="str">
        <f t="shared" si="52"/>
        <v>Investissement</v>
      </c>
      <c r="AA687" t="str">
        <f t="shared" si="53"/>
        <v>travaux magasin</v>
      </c>
    </row>
    <row r="688" spans="20:27" x14ac:dyDescent="0.25">
      <c r="T688" s="68">
        <f t="shared" si="50"/>
        <v>64655</v>
      </c>
      <c r="U688" s="77">
        <f t="shared" si="51"/>
        <v>864.41</v>
      </c>
      <c r="V688" s="72">
        <f t="shared" si="54"/>
        <v>-5105.17</v>
      </c>
      <c r="W688" s="69">
        <f>D_Emprunts!$U688-D_Emprunts!$V688</f>
        <v>5969.58</v>
      </c>
      <c r="X688" s="70">
        <f>X687-D_Emprunts!$W688</f>
        <v>-1736505.639999999</v>
      </c>
      <c r="Y688">
        <v>681</v>
      </c>
      <c r="Z688" t="str">
        <f t="shared" si="52"/>
        <v>Investissement</v>
      </c>
      <c r="AA688" t="str">
        <f t="shared" si="53"/>
        <v>travaux magasin</v>
      </c>
    </row>
    <row r="689" spans="20:27" x14ac:dyDescent="0.25">
      <c r="T689" s="71">
        <f t="shared" si="50"/>
        <v>64686</v>
      </c>
      <c r="U689" s="77">
        <f t="shared" si="51"/>
        <v>864.41</v>
      </c>
      <c r="V689" s="72">
        <f t="shared" si="54"/>
        <v>-5122.78</v>
      </c>
      <c r="W689" s="72">
        <f>D_Emprunts!$U689-D_Emprunts!$V689</f>
        <v>5987.19</v>
      </c>
      <c r="X689" s="73">
        <f>X688-D_Emprunts!$W689</f>
        <v>-1742492.8299999989</v>
      </c>
      <c r="Y689">
        <v>682</v>
      </c>
      <c r="Z689" t="str">
        <f t="shared" si="52"/>
        <v>Investissement</v>
      </c>
      <c r="AA689" t="str">
        <f t="shared" si="53"/>
        <v>travaux magasin</v>
      </c>
    </row>
    <row r="690" spans="20:27" x14ac:dyDescent="0.25">
      <c r="T690" s="68">
        <f t="shared" si="50"/>
        <v>64714</v>
      </c>
      <c r="U690" s="77">
        <f t="shared" si="51"/>
        <v>864.41</v>
      </c>
      <c r="V690" s="72">
        <f t="shared" si="54"/>
        <v>-5140.4399999999996</v>
      </c>
      <c r="W690" s="69">
        <f>D_Emprunts!$U690-D_Emprunts!$V690</f>
        <v>6004.8499999999995</v>
      </c>
      <c r="X690" s="70">
        <f>X689-D_Emprunts!$W690</f>
        <v>-1748497.679999999</v>
      </c>
      <c r="Y690">
        <v>683</v>
      </c>
      <c r="Z690" t="str">
        <f t="shared" si="52"/>
        <v>Investissement</v>
      </c>
      <c r="AA690" t="str">
        <f t="shared" si="53"/>
        <v>travaux magasin</v>
      </c>
    </row>
    <row r="691" spans="20:27" x14ac:dyDescent="0.25">
      <c r="T691" s="71">
        <f t="shared" si="50"/>
        <v>64745</v>
      </c>
      <c r="U691" s="77">
        <f t="shared" si="51"/>
        <v>864.41</v>
      </c>
      <c r="V691" s="72">
        <f t="shared" si="54"/>
        <v>-5158.16</v>
      </c>
      <c r="W691" s="72">
        <f>D_Emprunts!$U691-D_Emprunts!$V691</f>
        <v>6022.57</v>
      </c>
      <c r="X691" s="73">
        <f>X690-D_Emprunts!$W691</f>
        <v>-1754520.2499999991</v>
      </c>
      <c r="Y691">
        <v>684</v>
      </c>
      <c r="Z691" t="str">
        <f t="shared" si="52"/>
        <v>Investissement</v>
      </c>
      <c r="AA691" t="str">
        <f t="shared" si="53"/>
        <v>travaux magasin</v>
      </c>
    </row>
    <row r="692" spans="20:27" x14ac:dyDescent="0.25">
      <c r="T692" s="68">
        <f t="shared" si="50"/>
        <v>64775</v>
      </c>
      <c r="U692" s="77">
        <f t="shared" si="51"/>
        <v>864.41</v>
      </c>
      <c r="V692" s="72">
        <f t="shared" si="54"/>
        <v>-5175.92</v>
      </c>
      <c r="W692" s="69">
        <f>D_Emprunts!$U692-D_Emprunts!$V692</f>
        <v>6040.33</v>
      </c>
      <c r="X692" s="70">
        <f>X691-D_Emprunts!$W692</f>
        <v>-1760560.5799999991</v>
      </c>
      <c r="Y692">
        <v>685</v>
      </c>
      <c r="Z692" t="str">
        <f t="shared" si="52"/>
        <v>Investissement</v>
      </c>
      <c r="AA692" t="str">
        <f t="shared" si="53"/>
        <v>travaux magasin</v>
      </c>
    </row>
    <row r="693" spans="20:27" x14ac:dyDescent="0.25">
      <c r="T693" s="71">
        <f t="shared" si="50"/>
        <v>64806</v>
      </c>
      <c r="U693" s="77">
        <f t="shared" si="51"/>
        <v>864.41</v>
      </c>
      <c r="V693" s="72">
        <f t="shared" si="54"/>
        <v>-5193.74</v>
      </c>
      <c r="W693" s="72">
        <f>D_Emprunts!$U693-D_Emprunts!$V693</f>
        <v>6058.15</v>
      </c>
      <c r="X693" s="73">
        <f>X692-D_Emprunts!$W693</f>
        <v>-1766618.7299999991</v>
      </c>
      <c r="Y693">
        <v>686</v>
      </c>
      <c r="Z693" t="str">
        <f t="shared" si="52"/>
        <v>Investissement</v>
      </c>
      <c r="AA693" t="str">
        <f t="shared" si="53"/>
        <v>travaux magasin</v>
      </c>
    </row>
    <row r="694" spans="20:27" x14ac:dyDescent="0.25">
      <c r="T694" s="68">
        <f t="shared" si="50"/>
        <v>64836</v>
      </c>
      <c r="U694" s="77">
        <f t="shared" si="51"/>
        <v>864.41</v>
      </c>
      <c r="V694" s="72">
        <f t="shared" si="54"/>
        <v>-5211.62</v>
      </c>
      <c r="W694" s="69">
        <f>D_Emprunts!$U694-D_Emprunts!$V694</f>
        <v>6076.03</v>
      </c>
      <c r="X694" s="70">
        <f>X693-D_Emprunts!$W694</f>
        <v>-1772694.7599999991</v>
      </c>
      <c r="Y694">
        <v>687</v>
      </c>
      <c r="Z694" t="str">
        <f t="shared" si="52"/>
        <v>Investissement</v>
      </c>
      <c r="AA694" t="str">
        <f t="shared" si="53"/>
        <v>travaux magasin</v>
      </c>
    </row>
    <row r="695" spans="20:27" x14ac:dyDescent="0.25">
      <c r="T695" s="71">
        <f t="shared" si="50"/>
        <v>64867</v>
      </c>
      <c r="U695" s="77">
        <f t="shared" si="51"/>
        <v>864.41</v>
      </c>
      <c r="V695" s="72">
        <f t="shared" si="54"/>
        <v>-5229.54</v>
      </c>
      <c r="W695" s="72">
        <f>D_Emprunts!$U695-D_Emprunts!$V695</f>
        <v>6093.95</v>
      </c>
      <c r="X695" s="73">
        <f>X694-D_Emprunts!$W695</f>
        <v>-1778788.709999999</v>
      </c>
      <c r="Y695">
        <v>688</v>
      </c>
      <c r="Z695" t="str">
        <f t="shared" si="52"/>
        <v>Investissement</v>
      </c>
      <c r="AA695" t="str">
        <f t="shared" si="53"/>
        <v>travaux magasin</v>
      </c>
    </row>
    <row r="696" spans="20:27" x14ac:dyDescent="0.25">
      <c r="T696" s="68">
        <f t="shared" si="50"/>
        <v>64898</v>
      </c>
      <c r="U696" s="77">
        <f t="shared" si="51"/>
        <v>864.41</v>
      </c>
      <c r="V696" s="72">
        <f t="shared" si="54"/>
        <v>-5247.52</v>
      </c>
      <c r="W696" s="69">
        <f>D_Emprunts!$U696-D_Emprunts!$V696</f>
        <v>6111.93</v>
      </c>
      <c r="X696" s="70">
        <f>X695-D_Emprunts!$W696</f>
        <v>-1784900.639999999</v>
      </c>
      <c r="Y696">
        <v>689</v>
      </c>
      <c r="Z696" t="str">
        <f t="shared" si="52"/>
        <v>Investissement</v>
      </c>
      <c r="AA696" t="str">
        <f t="shared" si="53"/>
        <v>travaux magasin</v>
      </c>
    </row>
    <row r="697" spans="20:27" x14ac:dyDescent="0.25">
      <c r="T697" s="71">
        <f t="shared" si="50"/>
        <v>64928</v>
      </c>
      <c r="U697" s="77">
        <f t="shared" si="51"/>
        <v>864.41</v>
      </c>
      <c r="V697" s="72">
        <f t="shared" si="54"/>
        <v>-5265.55</v>
      </c>
      <c r="W697" s="72">
        <f>D_Emprunts!$U697-D_Emprunts!$V697</f>
        <v>6129.96</v>
      </c>
      <c r="X697" s="73">
        <f>X696-D_Emprunts!$W697</f>
        <v>-1791030.5999999989</v>
      </c>
      <c r="Y697">
        <v>690</v>
      </c>
      <c r="Z697" t="str">
        <f t="shared" si="52"/>
        <v>Investissement</v>
      </c>
      <c r="AA697" t="str">
        <f t="shared" si="53"/>
        <v>travaux magasin</v>
      </c>
    </row>
    <row r="698" spans="20:27" x14ac:dyDescent="0.25">
      <c r="T698" s="68">
        <f t="shared" si="50"/>
        <v>64959</v>
      </c>
      <c r="U698" s="77">
        <f t="shared" si="51"/>
        <v>864.41</v>
      </c>
      <c r="V698" s="72">
        <f t="shared" si="54"/>
        <v>-5283.63</v>
      </c>
      <c r="W698" s="69">
        <f>D_Emprunts!$U698-D_Emprunts!$V698</f>
        <v>6148.04</v>
      </c>
      <c r="X698" s="70">
        <f>X697-D_Emprunts!$W698</f>
        <v>-1797178.639999999</v>
      </c>
      <c r="Y698">
        <v>691</v>
      </c>
      <c r="Z698" t="str">
        <f t="shared" si="52"/>
        <v>Investissement</v>
      </c>
      <c r="AA698" t="str">
        <f t="shared" si="53"/>
        <v>travaux magasin</v>
      </c>
    </row>
    <row r="699" spans="20:27" x14ac:dyDescent="0.25">
      <c r="T699" s="71">
        <f t="shared" si="50"/>
        <v>64989</v>
      </c>
      <c r="U699" s="77">
        <f t="shared" si="51"/>
        <v>864.41</v>
      </c>
      <c r="V699" s="72">
        <f t="shared" si="54"/>
        <v>-5301.77</v>
      </c>
      <c r="W699" s="72">
        <f>D_Emprunts!$U699-D_Emprunts!$V699</f>
        <v>6166.18</v>
      </c>
      <c r="X699" s="73">
        <f>X698-D_Emprunts!$W699</f>
        <v>-1803344.8199999989</v>
      </c>
      <c r="Y699">
        <v>692</v>
      </c>
      <c r="Z699" t="str">
        <f t="shared" si="52"/>
        <v>Investissement</v>
      </c>
      <c r="AA699" t="str">
        <f t="shared" si="53"/>
        <v>travaux magasin</v>
      </c>
    </row>
    <row r="700" spans="20:27" x14ac:dyDescent="0.25">
      <c r="T700" s="68">
        <f t="shared" si="50"/>
        <v>65020</v>
      </c>
      <c r="U700" s="77">
        <f t="shared" si="51"/>
        <v>864.41</v>
      </c>
      <c r="V700" s="72">
        <f t="shared" si="54"/>
        <v>-5319.96</v>
      </c>
      <c r="W700" s="69">
        <f>D_Emprunts!$U700-D_Emprunts!$V700</f>
        <v>6184.37</v>
      </c>
      <c r="X700" s="70">
        <f>X699-D_Emprunts!$W700</f>
        <v>-1809529.189999999</v>
      </c>
      <c r="Y700">
        <v>693</v>
      </c>
      <c r="Z700" t="str">
        <f t="shared" si="52"/>
        <v>Investissement</v>
      </c>
      <c r="AA700" t="str">
        <f t="shared" si="53"/>
        <v>travaux magasin</v>
      </c>
    </row>
    <row r="701" spans="20:27" x14ac:dyDescent="0.25">
      <c r="T701" s="71">
        <f t="shared" si="50"/>
        <v>65051</v>
      </c>
      <c r="U701" s="77">
        <f t="shared" si="51"/>
        <v>864.41</v>
      </c>
      <c r="V701" s="72">
        <f t="shared" si="54"/>
        <v>-5338.2</v>
      </c>
      <c r="W701" s="72">
        <f>D_Emprunts!$U701-D_Emprunts!$V701</f>
        <v>6202.61</v>
      </c>
      <c r="X701" s="73">
        <f>X700-D_Emprunts!$W701</f>
        <v>-1815731.7999999991</v>
      </c>
      <c r="Y701">
        <v>694</v>
      </c>
      <c r="Z701" t="str">
        <f t="shared" si="52"/>
        <v>Investissement</v>
      </c>
      <c r="AA701" t="str">
        <f t="shared" si="53"/>
        <v>travaux magasin</v>
      </c>
    </row>
    <row r="702" spans="20:27" x14ac:dyDescent="0.25">
      <c r="T702" s="68">
        <f t="shared" si="50"/>
        <v>65079</v>
      </c>
      <c r="U702" s="77">
        <f t="shared" si="51"/>
        <v>864.41</v>
      </c>
      <c r="V702" s="72">
        <f t="shared" si="54"/>
        <v>-5356.5</v>
      </c>
      <c r="W702" s="69">
        <f>D_Emprunts!$U702-D_Emprunts!$V702</f>
        <v>6220.91</v>
      </c>
      <c r="X702" s="70">
        <f>X701-D_Emprunts!$W702</f>
        <v>-1821952.709999999</v>
      </c>
      <c r="Y702">
        <v>695</v>
      </c>
      <c r="Z702" t="str">
        <f t="shared" si="52"/>
        <v>Investissement</v>
      </c>
      <c r="AA702" t="str">
        <f t="shared" si="53"/>
        <v>travaux magasin</v>
      </c>
    </row>
    <row r="703" spans="20:27" x14ac:dyDescent="0.25">
      <c r="T703" s="71">
        <f t="shared" si="50"/>
        <v>65110</v>
      </c>
      <c r="U703" s="77">
        <f t="shared" si="51"/>
        <v>864.41</v>
      </c>
      <c r="V703" s="72">
        <f t="shared" si="54"/>
        <v>-5374.85</v>
      </c>
      <c r="W703" s="72">
        <f>D_Emprunts!$U703-D_Emprunts!$V703</f>
        <v>6239.26</v>
      </c>
      <c r="X703" s="73">
        <f>X702-D_Emprunts!$W703</f>
        <v>-1828191.969999999</v>
      </c>
      <c r="Y703">
        <v>696</v>
      </c>
      <c r="Z703" t="str">
        <f t="shared" si="52"/>
        <v>Investissement</v>
      </c>
      <c r="AA703" t="str">
        <f t="shared" si="53"/>
        <v>travaux magasin</v>
      </c>
    </row>
    <row r="704" spans="20:27" x14ac:dyDescent="0.25">
      <c r="T704" s="68">
        <f t="shared" si="50"/>
        <v>65140</v>
      </c>
      <c r="U704" s="77">
        <f t="shared" si="51"/>
        <v>864.41</v>
      </c>
      <c r="V704" s="72">
        <f t="shared" si="54"/>
        <v>-5393.26</v>
      </c>
      <c r="W704" s="69">
        <f>D_Emprunts!$U704-D_Emprunts!$V704</f>
        <v>6257.67</v>
      </c>
      <c r="X704" s="70">
        <f>X703-D_Emprunts!$W704</f>
        <v>-1834449.639999999</v>
      </c>
      <c r="Y704">
        <v>697</v>
      </c>
      <c r="Z704" t="str">
        <f t="shared" si="52"/>
        <v>Investissement</v>
      </c>
      <c r="AA704" t="str">
        <f t="shared" si="53"/>
        <v>travaux magasin</v>
      </c>
    </row>
    <row r="705" spans="20:27" x14ac:dyDescent="0.25">
      <c r="T705" s="71">
        <f t="shared" si="50"/>
        <v>65171</v>
      </c>
      <c r="U705" s="77">
        <f t="shared" si="51"/>
        <v>864.41</v>
      </c>
      <c r="V705" s="72">
        <f t="shared" si="54"/>
        <v>-5411.72</v>
      </c>
      <c r="W705" s="72">
        <f>D_Emprunts!$U705-D_Emprunts!$V705</f>
        <v>6276.13</v>
      </c>
      <c r="X705" s="73">
        <f>X704-D_Emprunts!$W705</f>
        <v>-1840725.7699999989</v>
      </c>
      <c r="Y705">
        <v>698</v>
      </c>
      <c r="Z705" t="str">
        <f t="shared" si="52"/>
        <v>Investissement</v>
      </c>
      <c r="AA705" t="str">
        <f t="shared" si="53"/>
        <v>travaux magasin</v>
      </c>
    </row>
    <row r="706" spans="20:27" x14ac:dyDescent="0.25">
      <c r="T706" s="68">
        <f t="shared" si="50"/>
        <v>65201</v>
      </c>
      <c r="U706" s="77">
        <f t="shared" si="51"/>
        <v>864.41</v>
      </c>
      <c r="V706" s="72">
        <f t="shared" si="54"/>
        <v>-5430.24</v>
      </c>
      <c r="W706" s="69">
        <f>D_Emprunts!$U706-D_Emprunts!$V706</f>
        <v>6294.65</v>
      </c>
      <c r="X706" s="70">
        <f>X705-D_Emprunts!$W706</f>
        <v>-1847020.4199999988</v>
      </c>
      <c r="Y706">
        <v>699</v>
      </c>
      <c r="Z706" t="str">
        <f t="shared" si="52"/>
        <v>Investissement</v>
      </c>
      <c r="AA706" t="str">
        <f t="shared" si="53"/>
        <v>travaux magasin</v>
      </c>
    </row>
    <row r="707" spans="20:27" x14ac:dyDescent="0.25">
      <c r="T707" s="71">
        <f t="shared" si="50"/>
        <v>65232</v>
      </c>
      <c r="U707" s="77">
        <f t="shared" si="51"/>
        <v>864.41</v>
      </c>
      <c r="V707" s="72">
        <f t="shared" si="54"/>
        <v>-5448.8</v>
      </c>
      <c r="W707" s="72">
        <f>D_Emprunts!$U707-D_Emprunts!$V707</f>
        <v>6313.21</v>
      </c>
      <c r="X707" s="73">
        <f>X706-D_Emprunts!$W707</f>
        <v>-1853333.6299999987</v>
      </c>
      <c r="Y707">
        <v>700</v>
      </c>
      <c r="Z707" t="str">
        <f t="shared" si="52"/>
        <v>Investissement</v>
      </c>
      <c r="AA707" t="str">
        <f t="shared" si="53"/>
        <v>travaux magasin</v>
      </c>
    </row>
    <row r="708" spans="20:27" x14ac:dyDescent="0.25">
      <c r="T708" s="68">
        <f t="shared" si="50"/>
        <v>65263</v>
      </c>
      <c r="U708" s="77">
        <f t="shared" si="51"/>
        <v>864.41</v>
      </c>
      <c r="V708" s="72">
        <f t="shared" si="54"/>
        <v>-5467.43</v>
      </c>
      <c r="W708" s="69">
        <f>D_Emprunts!$U708-D_Emprunts!$V708</f>
        <v>6331.84</v>
      </c>
      <c r="X708" s="70">
        <f>X707-D_Emprunts!$W708</f>
        <v>-1859665.4699999988</v>
      </c>
      <c r="Y708">
        <v>701</v>
      </c>
      <c r="Z708" t="str">
        <f t="shared" si="52"/>
        <v>Investissement</v>
      </c>
      <c r="AA708" t="str">
        <f t="shared" si="53"/>
        <v>travaux magasin</v>
      </c>
    </row>
    <row r="709" spans="20:27" x14ac:dyDescent="0.25">
      <c r="T709" s="71">
        <f t="shared" si="50"/>
        <v>65293</v>
      </c>
      <c r="U709" s="77">
        <f t="shared" si="51"/>
        <v>864.41</v>
      </c>
      <c r="V709" s="72">
        <f t="shared" si="54"/>
        <v>-5486.11</v>
      </c>
      <c r="W709" s="72">
        <f>D_Emprunts!$U709-D_Emprunts!$V709</f>
        <v>6350.5199999999995</v>
      </c>
      <c r="X709" s="73">
        <f>X708-D_Emprunts!$W709</f>
        <v>-1866015.9899999988</v>
      </c>
      <c r="Y709">
        <v>702</v>
      </c>
      <c r="Z709" t="str">
        <f t="shared" si="52"/>
        <v>Investissement</v>
      </c>
      <c r="AA709" t="str">
        <f t="shared" si="53"/>
        <v>travaux magasin</v>
      </c>
    </row>
    <row r="710" spans="20:27" x14ac:dyDescent="0.25">
      <c r="T710" s="68">
        <f t="shared" si="50"/>
        <v>65324</v>
      </c>
      <c r="U710" s="77">
        <f t="shared" si="51"/>
        <v>864.41</v>
      </c>
      <c r="V710" s="72">
        <f t="shared" si="54"/>
        <v>-5504.84</v>
      </c>
      <c r="W710" s="69">
        <f>D_Emprunts!$U710-D_Emprunts!$V710</f>
        <v>6369.25</v>
      </c>
      <c r="X710" s="70">
        <f>X709-D_Emprunts!$W710</f>
        <v>-1872385.2399999988</v>
      </c>
      <c r="Y710">
        <v>703</v>
      </c>
      <c r="Z710" t="str">
        <f t="shared" si="52"/>
        <v>Investissement</v>
      </c>
      <c r="AA710" t="str">
        <f t="shared" si="53"/>
        <v>travaux magasin</v>
      </c>
    </row>
    <row r="711" spans="20:27" x14ac:dyDescent="0.25">
      <c r="T711" s="71">
        <f t="shared" si="50"/>
        <v>65354</v>
      </c>
      <c r="U711" s="77">
        <f t="shared" si="51"/>
        <v>864.41</v>
      </c>
      <c r="V711" s="72">
        <f t="shared" si="54"/>
        <v>-5523.63</v>
      </c>
      <c r="W711" s="72">
        <f>D_Emprunts!$U711-D_Emprunts!$V711</f>
        <v>6388.04</v>
      </c>
      <c r="X711" s="73">
        <f>X710-D_Emprunts!$W711</f>
        <v>-1878773.2799999989</v>
      </c>
      <c r="Y711">
        <v>704</v>
      </c>
      <c r="Z711" t="str">
        <f t="shared" si="52"/>
        <v>Investissement</v>
      </c>
      <c r="AA711" t="str">
        <f t="shared" si="53"/>
        <v>travaux magasin</v>
      </c>
    </row>
    <row r="712" spans="20:27" x14ac:dyDescent="0.25">
      <c r="T712" s="68">
        <f t="shared" ref="T712:T775" si="55">EDATE(T711,1)</f>
        <v>65385</v>
      </c>
      <c r="U712" s="77">
        <f t="shared" si="51"/>
        <v>864.41</v>
      </c>
      <c r="V712" s="72">
        <f t="shared" si="54"/>
        <v>-5542.48</v>
      </c>
      <c r="W712" s="69">
        <f>D_Emprunts!$U712-D_Emprunts!$V712</f>
        <v>6406.8899999999994</v>
      </c>
      <c r="X712" s="70">
        <f>X711-D_Emprunts!$W712</f>
        <v>-1885180.1699999988</v>
      </c>
      <c r="Y712">
        <v>705</v>
      </c>
      <c r="Z712" t="str">
        <f t="shared" si="52"/>
        <v>Investissement</v>
      </c>
      <c r="AA712" t="str">
        <f t="shared" si="53"/>
        <v>travaux magasin</v>
      </c>
    </row>
    <row r="713" spans="20:27" x14ac:dyDescent="0.25">
      <c r="T713" s="71">
        <f t="shared" si="55"/>
        <v>65416</v>
      </c>
      <c r="U713" s="77">
        <f t="shared" ref="U713:U776" si="56">$X$4</f>
        <v>864.41</v>
      </c>
      <c r="V713" s="72">
        <f t="shared" si="54"/>
        <v>-5561.38</v>
      </c>
      <c r="W713" s="72">
        <f>D_Emprunts!$U713-D_Emprunts!$V713</f>
        <v>6425.79</v>
      </c>
      <c r="X713" s="73">
        <f>X712-D_Emprunts!$W713</f>
        <v>-1891605.9599999988</v>
      </c>
      <c r="Y713">
        <v>706</v>
      </c>
      <c r="Z713" t="str">
        <f t="shared" ref="Z713:Z776" si="57">$Y$4</f>
        <v>Investissement</v>
      </c>
      <c r="AA713" t="str">
        <f t="shared" ref="AA713:AA776" si="58">$Z$4</f>
        <v>travaux magasin</v>
      </c>
    </row>
    <row r="714" spans="20:27" x14ac:dyDescent="0.25">
      <c r="T714" s="68">
        <f t="shared" si="55"/>
        <v>65444</v>
      </c>
      <c r="U714" s="77">
        <f t="shared" si="56"/>
        <v>864.41</v>
      </c>
      <c r="V714" s="72">
        <f t="shared" ref="V714:V777" si="59">ROUND(X713*$V$4/12,2)</f>
        <v>-5580.33</v>
      </c>
      <c r="W714" s="69">
        <f>D_Emprunts!$U714-D_Emprunts!$V714</f>
        <v>6444.74</v>
      </c>
      <c r="X714" s="70">
        <f>X713-D_Emprunts!$W714</f>
        <v>-1898050.6999999988</v>
      </c>
      <c r="Y714">
        <v>707</v>
      </c>
      <c r="Z714" t="str">
        <f t="shared" si="57"/>
        <v>Investissement</v>
      </c>
      <c r="AA714" t="str">
        <f t="shared" si="58"/>
        <v>travaux magasin</v>
      </c>
    </row>
    <row r="715" spans="20:27" x14ac:dyDescent="0.25">
      <c r="T715" s="71">
        <f t="shared" si="55"/>
        <v>65475</v>
      </c>
      <c r="U715" s="77">
        <f t="shared" si="56"/>
        <v>864.41</v>
      </c>
      <c r="V715" s="72">
        <f t="shared" si="59"/>
        <v>-5599.35</v>
      </c>
      <c r="W715" s="72">
        <f>D_Emprunts!$U715-D_Emprunts!$V715</f>
        <v>6463.76</v>
      </c>
      <c r="X715" s="73">
        <f>X714-D_Emprunts!$W715</f>
        <v>-1904514.4599999988</v>
      </c>
      <c r="Y715">
        <v>708</v>
      </c>
      <c r="Z715" t="str">
        <f t="shared" si="57"/>
        <v>Investissement</v>
      </c>
      <c r="AA715" t="str">
        <f t="shared" si="58"/>
        <v>travaux magasin</v>
      </c>
    </row>
    <row r="716" spans="20:27" x14ac:dyDescent="0.25">
      <c r="T716" s="68">
        <f t="shared" si="55"/>
        <v>65505</v>
      </c>
      <c r="U716" s="77">
        <f t="shared" si="56"/>
        <v>864.41</v>
      </c>
      <c r="V716" s="72">
        <f t="shared" si="59"/>
        <v>-5618.42</v>
      </c>
      <c r="W716" s="69">
        <f>D_Emprunts!$U716-D_Emprunts!$V716</f>
        <v>6482.83</v>
      </c>
      <c r="X716" s="70">
        <f>X715-D_Emprunts!$W716</f>
        <v>-1910997.2899999989</v>
      </c>
      <c r="Y716">
        <v>709</v>
      </c>
      <c r="Z716" t="str">
        <f t="shared" si="57"/>
        <v>Investissement</v>
      </c>
      <c r="AA716" t="str">
        <f t="shared" si="58"/>
        <v>travaux magasin</v>
      </c>
    </row>
    <row r="717" spans="20:27" x14ac:dyDescent="0.25">
      <c r="T717" s="71">
        <f t="shared" si="55"/>
        <v>65536</v>
      </c>
      <c r="U717" s="77">
        <f t="shared" si="56"/>
        <v>864.41</v>
      </c>
      <c r="V717" s="72">
        <f t="shared" si="59"/>
        <v>-5637.54</v>
      </c>
      <c r="W717" s="72">
        <f>D_Emprunts!$U717-D_Emprunts!$V717</f>
        <v>6501.95</v>
      </c>
      <c r="X717" s="73">
        <f>X716-D_Emprunts!$W717</f>
        <v>-1917499.2399999988</v>
      </c>
      <c r="Y717">
        <v>710</v>
      </c>
      <c r="Z717" t="str">
        <f t="shared" si="57"/>
        <v>Investissement</v>
      </c>
      <c r="AA717" t="str">
        <f t="shared" si="58"/>
        <v>travaux magasin</v>
      </c>
    </row>
    <row r="718" spans="20:27" x14ac:dyDescent="0.25">
      <c r="T718" s="68">
        <f t="shared" si="55"/>
        <v>65566</v>
      </c>
      <c r="U718" s="77">
        <f t="shared" si="56"/>
        <v>864.41</v>
      </c>
      <c r="V718" s="72">
        <f t="shared" si="59"/>
        <v>-5656.72</v>
      </c>
      <c r="W718" s="69">
        <f>D_Emprunts!$U718-D_Emprunts!$V718</f>
        <v>6521.13</v>
      </c>
      <c r="X718" s="70">
        <f>X717-D_Emprunts!$W718</f>
        <v>-1924020.3699999987</v>
      </c>
      <c r="Y718">
        <v>711</v>
      </c>
      <c r="Z718" t="str">
        <f t="shared" si="57"/>
        <v>Investissement</v>
      </c>
      <c r="AA718" t="str">
        <f t="shared" si="58"/>
        <v>travaux magasin</v>
      </c>
    </row>
    <row r="719" spans="20:27" x14ac:dyDescent="0.25">
      <c r="T719" s="71">
        <f t="shared" si="55"/>
        <v>65597</v>
      </c>
      <c r="U719" s="77">
        <f t="shared" si="56"/>
        <v>864.41</v>
      </c>
      <c r="V719" s="72">
        <f t="shared" si="59"/>
        <v>-5675.96</v>
      </c>
      <c r="W719" s="72">
        <f>D_Emprunts!$U719-D_Emprunts!$V719</f>
        <v>6540.37</v>
      </c>
      <c r="X719" s="73">
        <f>X718-D_Emprunts!$W719</f>
        <v>-1930560.7399999988</v>
      </c>
      <c r="Y719">
        <v>712</v>
      </c>
      <c r="Z719" t="str">
        <f t="shared" si="57"/>
        <v>Investissement</v>
      </c>
      <c r="AA719" t="str">
        <f t="shared" si="58"/>
        <v>travaux magasin</v>
      </c>
    </row>
    <row r="720" spans="20:27" x14ac:dyDescent="0.25">
      <c r="T720" s="68">
        <f t="shared" si="55"/>
        <v>65628</v>
      </c>
      <c r="U720" s="77">
        <f t="shared" si="56"/>
        <v>864.41</v>
      </c>
      <c r="V720" s="72">
        <f t="shared" si="59"/>
        <v>-5695.25</v>
      </c>
      <c r="W720" s="69">
        <f>D_Emprunts!$U720-D_Emprunts!$V720</f>
        <v>6559.66</v>
      </c>
      <c r="X720" s="70">
        <f>X719-D_Emprunts!$W720</f>
        <v>-1937120.3999999987</v>
      </c>
      <c r="Y720">
        <v>713</v>
      </c>
      <c r="Z720" t="str">
        <f t="shared" si="57"/>
        <v>Investissement</v>
      </c>
      <c r="AA720" t="str">
        <f t="shared" si="58"/>
        <v>travaux magasin</v>
      </c>
    </row>
    <row r="721" spans="20:27" x14ac:dyDescent="0.25">
      <c r="T721" s="71">
        <f t="shared" si="55"/>
        <v>65658</v>
      </c>
      <c r="U721" s="77">
        <f t="shared" si="56"/>
        <v>864.41</v>
      </c>
      <c r="V721" s="72">
        <f t="shared" si="59"/>
        <v>-5714.6</v>
      </c>
      <c r="W721" s="72">
        <f>D_Emprunts!$U721-D_Emprunts!$V721</f>
        <v>6579.01</v>
      </c>
      <c r="X721" s="73">
        <f>X720-D_Emprunts!$W721</f>
        <v>-1943699.4099999988</v>
      </c>
      <c r="Y721">
        <v>714</v>
      </c>
      <c r="Z721" t="str">
        <f t="shared" si="57"/>
        <v>Investissement</v>
      </c>
      <c r="AA721" t="str">
        <f t="shared" si="58"/>
        <v>travaux magasin</v>
      </c>
    </row>
    <row r="722" spans="20:27" x14ac:dyDescent="0.25">
      <c r="T722" s="68">
        <f t="shared" si="55"/>
        <v>65689</v>
      </c>
      <c r="U722" s="77">
        <f t="shared" si="56"/>
        <v>864.41</v>
      </c>
      <c r="V722" s="72">
        <f t="shared" si="59"/>
        <v>-5734.01</v>
      </c>
      <c r="W722" s="69">
        <f>D_Emprunts!$U722-D_Emprunts!$V722</f>
        <v>6598.42</v>
      </c>
      <c r="X722" s="70">
        <f>X721-D_Emprunts!$W722</f>
        <v>-1950297.8299999987</v>
      </c>
      <c r="Y722">
        <v>715</v>
      </c>
      <c r="Z722" t="str">
        <f t="shared" si="57"/>
        <v>Investissement</v>
      </c>
      <c r="AA722" t="str">
        <f t="shared" si="58"/>
        <v>travaux magasin</v>
      </c>
    </row>
    <row r="723" spans="20:27" x14ac:dyDescent="0.25">
      <c r="T723" s="71">
        <f t="shared" si="55"/>
        <v>65719</v>
      </c>
      <c r="U723" s="77">
        <f t="shared" si="56"/>
        <v>864.41</v>
      </c>
      <c r="V723" s="72">
        <f t="shared" si="59"/>
        <v>-5753.48</v>
      </c>
      <c r="W723" s="72">
        <f>D_Emprunts!$U723-D_Emprunts!$V723</f>
        <v>6617.8899999999994</v>
      </c>
      <c r="X723" s="73">
        <f>X722-D_Emprunts!$W723</f>
        <v>-1956915.7199999986</v>
      </c>
      <c r="Y723">
        <v>716</v>
      </c>
      <c r="Z723" t="str">
        <f t="shared" si="57"/>
        <v>Investissement</v>
      </c>
      <c r="AA723" t="str">
        <f t="shared" si="58"/>
        <v>travaux magasin</v>
      </c>
    </row>
    <row r="724" spans="20:27" x14ac:dyDescent="0.25">
      <c r="T724" s="68">
        <f t="shared" si="55"/>
        <v>65750</v>
      </c>
      <c r="U724" s="77">
        <f t="shared" si="56"/>
        <v>864.41</v>
      </c>
      <c r="V724" s="72">
        <f t="shared" si="59"/>
        <v>-5773</v>
      </c>
      <c r="W724" s="69">
        <f>D_Emprunts!$U724-D_Emprunts!$V724</f>
        <v>6637.41</v>
      </c>
      <c r="X724" s="70">
        <f>X723-D_Emprunts!$W724</f>
        <v>-1963553.1299999985</v>
      </c>
      <c r="Y724">
        <v>717</v>
      </c>
      <c r="Z724" t="str">
        <f t="shared" si="57"/>
        <v>Investissement</v>
      </c>
      <c r="AA724" t="str">
        <f t="shared" si="58"/>
        <v>travaux magasin</v>
      </c>
    </row>
    <row r="725" spans="20:27" x14ac:dyDescent="0.25">
      <c r="T725" s="71">
        <f t="shared" si="55"/>
        <v>65781</v>
      </c>
      <c r="U725" s="77">
        <f t="shared" si="56"/>
        <v>864.41</v>
      </c>
      <c r="V725" s="72">
        <f t="shared" si="59"/>
        <v>-5792.58</v>
      </c>
      <c r="W725" s="72">
        <f>D_Emprunts!$U725-D_Emprunts!$V725</f>
        <v>6656.99</v>
      </c>
      <c r="X725" s="73">
        <f>X724-D_Emprunts!$W725</f>
        <v>-1970210.1199999985</v>
      </c>
      <c r="Y725">
        <v>718</v>
      </c>
      <c r="Z725" t="str">
        <f t="shared" si="57"/>
        <v>Investissement</v>
      </c>
      <c r="AA725" t="str">
        <f t="shared" si="58"/>
        <v>travaux magasin</v>
      </c>
    </row>
    <row r="726" spans="20:27" x14ac:dyDescent="0.25">
      <c r="T726" s="68">
        <f t="shared" si="55"/>
        <v>65810</v>
      </c>
      <c r="U726" s="77">
        <f t="shared" si="56"/>
        <v>864.41</v>
      </c>
      <c r="V726" s="72">
        <f t="shared" si="59"/>
        <v>-5812.22</v>
      </c>
      <c r="W726" s="69">
        <f>D_Emprunts!$U726-D_Emprunts!$V726</f>
        <v>6676.63</v>
      </c>
      <c r="X726" s="70">
        <f>X725-D_Emprunts!$W726</f>
        <v>-1976886.7499999984</v>
      </c>
      <c r="Y726">
        <v>719</v>
      </c>
      <c r="Z726" t="str">
        <f t="shared" si="57"/>
        <v>Investissement</v>
      </c>
      <c r="AA726" t="str">
        <f t="shared" si="58"/>
        <v>travaux magasin</v>
      </c>
    </row>
    <row r="727" spans="20:27" x14ac:dyDescent="0.25">
      <c r="T727" s="71">
        <f t="shared" si="55"/>
        <v>65841</v>
      </c>
      <c r="U727" s="77">
        <f t="shared" si="56"/>
        <v>864.41</v>
      </c>
      <c r="V727" s="72">
        <f t="shared" si="59"/>
        <v>-5831.92</v>
      </c>
      <c r="W727" s="72">
        <f>D_Emprunts!$U727-D_Emprunts!$V727</f>
        <v>6696.33</v>
      </c>
      <c r="X727" s="73">
        <f>X726-D_Emprunts!$W727</f>
        <v>-1983583.0799999984</v>
      </c>
      <c r="Y727">
        <v>720</v>
      </c>
      <c r="Z727" t="str">
        <f t="shared" si="57"/>
        <v>Investissement</v>
      </c>
      <c r="AA727" t="str">
        <f t="shared" si="58"/>
        <v>travaux magasin</v>
      </c>
    </row>
    <row r="728" spans="20:27" x14ac:dyDescent="0.25">
      <c r="T728" s="68">
        <f t="shared" si="55"/>
        <v>65871</v>
      </c>
      <c r="U728" s="77">
        <f t="shared" si="56"/>
        <v>864.41</v>
      </c>
      <c r="V728" s="72">
        <f t="shared" si="59"/>
        <v>-5851.67</v>
      </c>
      <c r="W728" s="69">
        <f>D_Emprunts!$U728-D_Emprunts!$V728</f>
        <v>6716.08</v>
      </c>
      <c r="X728" s="70">
        <f>X727-D_Emprunts!$W728</f>
        <v>-1990299.1599999985</v>
      </c>
      <c r="Y728">
        <v>721</v>
      </c>
      <c r="Z728" t="str">
        <f t="shared" si="57"/>
        <v>Investissement</v>
      </c>
      <c r="AA728" t="str">
        <f t="shared" si="58"/>
        <v>travaux magasin</v>
      </c>
    </row>
    <row r="729" spans="20:27" x14ac:dyDescent="0.25">
      <c r="T729" s="71">
        <f t="shared" si="55"/>
        <v>65902</v>
      </c>
      <c r="U729" s="77">
        <f t="shared" si="56"/>
        <v>864.41</v>
      </c>
      <c r="V729" s="72">
        <f t="shared" si="59"/>
        <v>-5871.48</v>
      </c>
      <c r="W729" s="72">
        <f>D_Emprunts!$U729-D_Emprunts!$V729</f>
        <v>6735.8899999999994</v>
      </c>
      <c r="X729" s="73">
        <f>X728-D_Emprunts!$W729</f>
        <v>-1997035.0499999984</v>
      </c>
      <c r="Y729">
        <v>722</v>
      </c>
      <c r="Z729" t="str">
        <f t="shared" si="57"/>
        <v>Investissement</v>
      </c>
      <c r="AA729" t="str">
        <f t="shared" si="58"/>
        <v>travaux magasin</v>
      </c>
    </row>
    <row r="730" spans="20:27" x14ac:dyDescent="0.25">
      <c r="T730" s="68">
        <f t="shared" si="55"/>
        <v>65932</v>
      </c>
      <c r="U730" s="77">
        <f t="shared" si="56"/>
        <v>864.41</v>
      </c>
      <c r="V730" s="72">
        <f t="shared" si="59"/>
        <v>-5891.36</v>
      </c>
      <c r="W730" s="69">
        <f>D_Emprunts!$U730-D_Emprunts!$V730</f>
        <v>6755.7699999999995</v>
      </c>
      <c r="X730" s="70">
        <f>X729-D_Emprunts!$W730</f>
        <v>-2003790.8199999984</v>
      </c>
      <c r="Y730">
        <v>723</v>
      </c>
      <c r="Z730" t="str">
        <f t="shared" si="57"/>
        <v>Investissement</v>
      </c>
      <c r="AA730" t="str">
        <f t="shared" si="58"/>
        <v>travaux magasin</v>
      </c>
    </row>
    <row r="731" spans="20:27" x14ac:dyDescent="0.25">
      <c r="T731" s="71">
        <f t="shared" si="55"/>
        <v>65963</v>
      </c>
      <c r="U731" s="77">
        <f t="shared" si="56"/>
        <v>864.41</v>
      </c>
      <c r="V731" s="72">
        <f t="shared" si="59"/>
        <v>-5911.29</v>
      </c>
      <c r="W731" s="72">
        <f>D_Emprunts!$U731-D_Emprunts!$V731</f>
        <v>6775.7</v>
      </c>
      <c r="X731" s="73">
        <f>X730-D_Emprunts!$W731</f>
        <v>-2010566.5199999984</v>
      </c>
      <c r="Y731">
        <v>724</v>
      </c>
      <c r="Z731" t="str">
        <f t="shared" si="57"/>
        <v>Investissement</v>
      </c>
      <c r="AA731" t="str">
        <f t="shared" si="58"/>
        <v>travaux magasin</v>
      </c>
    </row>
    <row r="732" spans="20:27" x14ac:dyDescent="0.25">
      <c r="T732" s="68">
        <f t="shared" si="55"/>
        <v>65994</v>
      </c>
      <c r="U732" s="77">
        <f t="shared" si="56"/>
        <v>864.41</v>
      </c>
      <c r="V732" s="72">
        <f t="shared" si="59"/>
        <v>-5931.27</v>
      </c>
      <c r="W732" s="69">
        <f>D_Emprunts!$U732-D_Emprunts!$V732</f>
        <v>6795.68</v>
      </c>
      <c r="X732" s="70">
        <f>X731-D_Emprunts!$W732</f>
        <v>-2017362.1999999983</v>
      </c>
      <c r="Y732">
        <v>725</v>
      </c>
      <c r="Z732" t="str">
        <f t="shared" si="57"/>
        <v>Investissement</v>
      </c>
      <c r="AA732" t="str">
        <f t="shared" si="58"/>
        <v>travaux magasin</v>
      </c>
    </row>
    <row r="733" spans="20:27" x14ac:dyDescent="0.25">
      <c r="T733" s="71">
        <f t="shared" si="55"/>
        <v>66024</v>
      </c>
      <c r="U733" s="77">
        <f t="shared" si="56"/>
        <v>864.41</v>
      </c>
      <c r="V733" s="72">
        <f t="shared" si="59"/>
        <v>-5951.32</v>
      </c>
      <c r="W733" s="72">
        <f>D_Emprunts!$U733-D_Emprunts!$V733</f>
        <v>6815.73</v>
      </c>
      <c r="X733" s="73">
        <f>X732-D_Emprunts!$W733</f>
        <v>-2024177.9299999983</v>
      </c>
      <c r="Y733">
        <v>726</v>
      </c>
      <c r="Z733" t="str">
        <f t="shared" si="57"/>
        <v>Investissement</v>
      </c>
      <c r="AA733" t="str">
        <f t="shared" si="58"/>
        <v>travaux magasin</v>
      </c>
    </row>
    <row r="734" spans="20:27" x14ac:dyDescent="0.25">
      <c r="T734" s="68">
        <f t="shared" si="55"/>
        <v>66055</v>
      </c>
      <c r="U734" s="77">
        <f t="shared" si="56"/>
        <v>864.41</v>
      </c>
      <c r="V734" s="72">
        <f t="shared" si="59"/>
        <v>-5971.43</v>
      </c>
      <c r="W734" s="69">
        <f>D_Emprunts!$U734-D_Emprunts!$V734</f>
        <v>6835.84</v>
      </c>
      <c r="X734" s="70">
        <f>X733-D_Emprunts!$W734</f>
        <v>-2031013.7699999984</v>
      </c>
      <c r="Y734">
        <v>727</v>
      </c>
      <c r="Z734" t="str">
        <f t="shared" si="57"/>
        <v>Investissement</v>
      </c>
      <c r="AA734" t="str">
        <f t="shared" si="58"/>
        <v>travaux magasin</v>
      </c>
    </row>
    <row r="735" spans="20:27" x14ac:dyDescent="0.25">
      <c r="T735" s="71">
        <f t="shared" si="55"/>
        <v>66085</v>
      </c>
      <c r="U735" s="77">
        <f t="shared" si="56"/>
        <v>864.41</v>
      </c>
      <c r="V735" s="72">
        <f t="shared" si="59"/>
        <v>-5991.59</v>
      </c>
      <c r="W735" s="72">
        <f>D_Emprunts!$U735-D_Emprunts!$V735</f>
        <v>6856</v>
      </c>
      <c r="X735" s="73">
        <f>X734-D_Emprunts!$W735</f>
        <v>-2037869.7699999984</v>
      </c>
      <c r="Y735">
        <v>728</v>
      </c>
      <c r="Z735" t="str">
        <f t="shared" si="57"/>
        <v>Investissement</v>
      </c>
      <c r="AA735" t="str">
        <f t="shared" si="58"/>
        <v>travaux magasin</v>
      </c>
    </row>
    <row r="736" spans="20:27" x14ac:dyDescent="0.25">
      <c r="T736" s="68">
        <f t="shared" si="55"/>
        <v>66116</v>
      </c>
      <c r="U736" s="77">
        <f t="shared" si="56"/>
        <v>864.41</v>
      </c>
      <c r="V736" s="72">
        <f t="shared" si="59"/>
        <v>-6011.82</v>
      </c>
      <c r="W736" s="69">
        <f>D_Emprunts!$U736-D_Emprunts!$V736</f>
        <v>6876.23</v>
      </c>
      <c r="X736" s="70">
        <f>X735-D_Emprunts!$W736</f>
        <v>-2044745.9999999984</v>
      </c>
      <c r="Y736">
        <v>729</v>
      </c>
      <c r="Z736" t="str">
        <f t="shared" si="57"/>
        <v>Investissement</v>
      </c>
      <c r="AA736" t="str">
        <f t="shared" si="58"/>
        <v>travaux magasin</v>
      </c>
    </row>
    <row r="737" spans="20:27" x14ac:dyDescent="0.25">
      <c r="T737" s="71">
        <f t="shared" si="55"/>
        <v>66147</v>
      </c>
      <c r="U737" s="77">
        <f t="shared" si="56"/>
        <v>864.41</v>
      </c>
      <c r="V737" s="72">
        <f t="shared" si="59"/>
        <v>-6032.11</v>
      </c>
      <c r="W737" s="72">
        <f>D_Emprunts!$U737-D_Emprunts!$V737</f>
        <v>6896.5199999999995</v>
      </c>
      <c r="X737" s="73">
        <f>X736-D_Emprunts!$W737</f>
        <v>-2051642.5199999984</v>
      </c>
      <c r="Y737">
        <v>730</v>
      </c>
      <c r="Z737" t="str">
        <f t="shared" si="57"/>
        <v>Investissement</v>
      </c>
      <c r="AA737" t="str">
        <f t="shared" si="58"/>
        <v>travaux magasin</v>
      </c>
    </row>
    <row r="738" spans="20:27" x14ac:dyDescent="0.25">
      <c r="T738" s="68">
        <f t="shared" si="55"/>
        <v>66175</v>
      </c>
      <c r="U738" s="77">
        <f t="shared" si="56"/>
        <v>864.41</v>
      </c>
      <c r="V738" s="72">
        <f t="shared" si="59"/>
        <v>-6052.45</v>
      </c>
      <c r="W738" s="69">
        <f>D_Emprunts!$U738-D_Emprunts!$V738</f>
        <v>6916.86</v>
      </c>
      <c r="X738" s="70">
        <f>X737-D_Emprunts!$W738</f>
        <v>-2058559.3799999985</v>
      </c>
      <c r="Y738">
        <v>731</v>
      </c>
      <c r="Z738" t="str">
        <f t="shared" si="57"/>
        <v>Investissement</v>
      </c>
      <c r="AA738" t="str">
        <f t="shared" si="58"/>
        <v>travaux magasin</v>
      </c>
    </row>
    <row r="739" spans="20:27" x14ac:dyDescent="0.25">
      <c r="T739" s="71">
        <f t="shared" si="55"/>
        <v>66206</v>
      </c>
      <c r="U739" s="77">
        <f t="shared" si="56"/>
        <v>864.41</v>
      </c>
      <c r="V739" s="72">
        <f t="shared" si="59"/>
        <v>-6072.86</v>
      </c>
      <c r="W739" s="72">
        <f>D_Emprunts!$U739-D_Emprunts!$V739</f>
        <v>6937.2699999999995</v>
      </c>
      <c r="X739" s="73">
        <f>X738-D_Emprunts!$W739</f>
        <v>-2065496.6499999985</v>
      </c>
      <c r="Y739">
        <v>732</v>
      </c>
      <c r="Z739" t="str">
        <f t="shared" si="57"/>
        <v>Investissement</v>
      </c>
      <c r="AA739" t="str">
        <f t="shared" si="58"/>
        <v>travaux magasin</v>
      </c>
    </row>
    <row r="740" spans="20:27" x14ac:dyDescent="0.25">
      <c r="T740" s="68">
        <f t="shared" si="55"/>
        <v>66236</v>
      </c>
      <c r="U740" s="77">
        <f t="shared" si="56"/>
        <v>864.41</v>
      </c>
      <c r="V740" s="72">
        <f t="shared" si="59"/>
        <v>-6093.32</v>
      </c>
      <c r="W740" s="69">
        <f>D_Emprunts!$U740-D_Emprunts!$V740</f>
        <v>6957.73</v>
      </c>
      <c r="X740" s="70">
        <f>X739-D_Emprunts!$W740</f>
        <v>-2072454.3799999985</v>
      </c>
      <c r="Y740">
        <v>733</v>
      </c>
      <c r="Z740" t="str">
        <f t="shared" si="57"/>
        <v>Investissement</v>
      </c>
      <c r="AA740" t="str">
        <f t="shared" si="58"/>
        <v>travaux magasin</v>
      </c>
    </row>
    <row r="741" spans="20:27" x14ac:dyDescent="0.25">
      <c r="T741" s="71">
        <f t="shared" si="55"/>
        <v>66267</v>
      </c>
      <c r="U741" s="77">
        <f t="shared" si="56"/>
        <v>864.41</v>
      </c>
      <c r="V741" s="72">
        <f t="shared" si="59"/>
        <v>-6113.85</v>
      </c>
      <c r="W741" s="72">
        <f>D_Emprunts!$U741-D_Emprunts!$V741</f>
        <v>6978.26</v>
      </c>
      <c r="X741" s="73">
        <f>X740-D_Emprunts!$W741</f>
        <v>-2079432.6399999985</v>
      </c>
      <c r="Y741">
        <v>734</v>
      </c>
      <c r="Z741" t="str">
        <f t="shared" si="57"/>
        <v>Investissement</v>
      </c>
      <c r="AA741" t="str">
        <f t="shared" si="58"/>
        <v>travaux magasin</v>
      </c>
    </row>
    <row r="742" spans="20:27" x14ac:dyDescent="0.25">
      <c r="T742" s="68">
        <f t="shared" si="55"/>
        <v>66297</v>
      </c>
      <c r="U742" s="77">
        <f t="shared" si="56"/>
        <v>864.41</v>
      </c>
      <c r="V742" s="72">
        <f t="shared" si="59"/>
        <v>-6134.43</v>
      </c>
      <c r="W742" s="69">
        <f>D_Emprunts!$U742-D_Emprunts!$V742</f>
        <v>6998.84</v>
      </c>
      <c r="X742" s="70">
        <f>X741-D_Emprunts!$W742</f>
        <v>-2086431.4799999986</v>
      </c>
      <c r="Y742">
        <v>735</v>
      </c>
      <c r="Z742" t="str">
        <f t="shared" si="57"/>
        <v>Investissement</v>
      </c>
      <c r="AA742" t="str">
        <f t="shared" si="58"/>
        <v>travaux magasin</v>
      </c>
    </row>
    <row r="743" spans="20:27" x14ac:dyDescent="0.25">
      <c r="T743" s="71">
        <f t="shared" si="55"/>
        <v>66328</v>
      </c>
      <c r="U743" s="77">
        <f t="shared" si="56"/>
        <v>864.41</v>
      </c>
      <c r="V743" s="72">
        <f t="shared" si="59"/>
        <v>-6155.08</v>
      </c>
      <c r="W743" s="72">
        <f>D_Emprunts!$U743-D_Emprunts!$V743</f>
        <v>7019.49</v>
      </c>
      <c r="X743" s="73">
        <f>X742-D_Emprunts!$W743</f>
        <v>-2093450.9699999986</v>
      </c>
      <c r="Y743">
        <v>736</v>
      </c>
      <c r="Z743" t="str">
        <f t="shared" si="57"/>
        <v>Investissement</v>
      </c>
      <c r="AA743" t="str">
        <f t="shared" si="58"/>
        <v>travaux magasin</v>
      </c>
    </row>
    <row r="744" spans="20:27" x14ac:dyDescent="0.25">
      <c r="T744" s="68">
        <f t="shared" si="55"/>
        <v>66359</v>
      </c>
      <c r="U744" s="77">
        <f t="shared" si="56"/>
        <v>864.41</v>
      </c>
      <c r="V744" s="72">
        <f t="shared" si="59"/>
        <v>-6175.79</v>
      </c>
      <c r="W744" s="69">
        <f>D_Emprunts!$U744-D_Emprunts!$V744</f>
        <v>7040.2</v>
      </c>
      <c r="X744" s="70">
        <f>X743-D_Emprunts!$W744</f>
        <v>-2100491.1699999985</v>
      </c>
      <c r="Y744">
        <v>737</v>
      </c>
      <c r="Z744" t="str">
        <f t="shared" si="57"/>
        <v>Investissement</v>
      </c>
      <c r="AA744" t="str">
        <f t="shared" si="58"/>
        <v>travaux magasin</v>
      </c>
    </row>
    <row r="745" spans="20:27" x14ac:dyDescent="0.25">
      <c r="T745" s="71">
        <f t="shared" si="55"/>
        <v>66389</v>
      </c>
      <c r="U745" s="77">
        <f t="shared" si="56"/>
        <v>864.41</v>
      </c>
      <c r="V745" s="72">
        <f t="shared" si="59"/>
        <v>-6196.56</v>
      </c>
      <c r="W745" s="72">
        <f>D_Emprunts!$U745-D_Emprunts!$V745</f>
        <v>7060.97</v>
      </c>
      <c r="X745" s="73">
        <f>X744-D_Emprunts!$W745</f>
        <v>-2107552.1399999987</v>
      </c>
      <c r="Y745">
        <v>738</v>
      </c>
      <c r="Z745" t="str">
        <f t="shared" si="57"/>
        <v>Investissement</v>
      </c>
      <c r="AA745" t="str">
        <f t="shared" si="58"/>
        <v>travaux magasin</v>
      </c>
    </row>
    <row r="746" spans="20:27" x14ac:dyDescent="0.25">
      <c r="T746" s="68">
        <f t="shared" si="55"/>
        <v>66420</v>
      </c>
      <c r="U746" s="77">
        <f t="shared" si="56"/>
        <v>864.41</v>
      </c>
      <c r="V746" s="72">
        <f t="shared" si="59"/>
        <v>-6217.39</v>
      </c>
      <c r="W746" s="69">
        <f>D_Emprunts!$U746-D_Emprunts!$V746</f>
        <v>7081.8</v>
      </c>
      <c r="X746" s="70">
        <f>X745-D_Emprunts!$W746</f>
        <v>-2114633.9399999985</v>
      </c>
      <c r="Y746">
        <v>739</v>
      </c>
      <c r="Z746" t="str">
        <f t="shared" si="57"/>
        <v>Investissement</v>
      </c>
      <c r="AA746" t="str">
        <f t="shared" si="58"/>
        <v>travaux magasin</v>
      </c>
    </row>
    <row r="747" spans="20:27" x14ac:dyDescent="0.25">
      <c r="T747" s="71">
        <f t="shared" si="55"/>
        <v>66450</v>
      </c>
      <c r="U747" s="77">
        <f t="shared" si="56"/>
        <v>864.41</v>
      </c>
      <c r="V747" s="72">
        <f t="shared" si="59"/>
        <v>-6238.28</v>
      </c>
      <c r="W747" s="72">
        <f>D_Emprunts!$U747-D_Emprunts!$V747</f>
        <v>7102.69</v>
      </c>
      <c r="X747" s="73">
        <f>X746-D_Emprunts!$W747</f>
        <v>-2121736.6299999985</v>
      </c>
      <c r="Y747">
        <v>740</v>
      </c>
      <c r="Z747" t="str">
        <f t="shared" si="57"/>
        <v>Investissement</v>
      </c>
      <c r="AA747" t="str">
        <f t="shared" si="58"/>
        <v>travaux magasin</v>
      </c>
    </row>
    <row r="748" spans="20:27" x14ac:dyDescent="0.25">
      <c r="T748" s="68">
        <f t="shared" si="55"/>
        <v>66481</v>
      </c>
      <c r="U748" s="77">
        <f t="shared" si="56"/>
        <v>864.41</v>
      </c>
      <c r="V748" s="72">
        <f t="shared" si="59"/>
        <v>-6259.23</v>
      </c>
      <c r="W748" s="69">
        <f>D_Emprunts!$U748-D_Emprunts!$V748</f>
        <v>7123.6399999999994</v>
      </c>
      <c r="X748" s="70">
        <f>X747-D_Emprunts!$W748</f>
        <v>-2128860.2699999986</v>
      </c>
      <c r="Y748">
        <v>741</v>
      </c>
      <c r="Z748" t="str">
        <f t="shared" si="57"/>
        <v>Investissement</v>
      </c>
      <c r="AA748" t="str">
        <f t="shared" si="58"/>
        <v>travaux magasin</v>
      </c>
    </row>
    <row r="749" spans="20:27" x14ac:dyDescent="0.25">
      <c r="T749" s="71">
        <f t="shared" si="55"/>
        <v>66512</v>
      </c>
      <c r="U749" s="77">
        <f t="shared" si="56"/>
        <v>864.41</v>
      </c>
      <c r="V749" s="72">
        <f t="shared" si="59"/>
        <v>-6280.25</v>
      </c>
      <c r="W749" s="72">
        <f>D_Emprunts!$U749-D_Emprunts!$V749</f>
        <v>7144.66</v>
      </c>
      <c r="X749" s="73">
        <f>X748-D_Emprunts!$W749</f>
        <v>-2136004.9299999988</v>
      </c>
      <c r="Y749">
        <v>742</v>
      </c>
      <c r="Z749" t="str">
        <f t="shared" si="57"/>
        <v>Investissement</v>
      </c>
      <c r="AA749" t="str">
        <f t="shared" si="58"/>
        <v>travaux magasin</v>
      </c>
    </row>
    <row r="750" spans="20:27" x14ac:dyDescent="0.25">
      <c r="T750" s="68">
        <f t="shared" si="55"/>
        <v>66540</v>
      </c>
      <c r="U750" s="77">
        <f t="shared" si="56"/>
        <v>864.41</v>
      </c>
      <c r="V750" s="72">
        <f t="shared" si="59"/>
        <v>-6301.32</v>
      </c>
      <c r="W750" s="69">
        <f>D_Emprunts!$U750-D_Emprunts!$V750</f>
        <v>7165.73</v>
      </c>
      <c r="X750" s="70">
        <f>X749-D_Emprunts!$W750</f>
        <v>-2143170.6599999988</v>
      </c>
      <c r="Y750">
        <v>743</v>
      </c>
      <c r="Z750" t="str">
        <f t="shared" si="57"/>
        <v>Investissement</v>
      </c>
      <c r="AA750" t="str">
        <f t="shared" si="58"/>
        <v>travaux magasin</v>
      </c>
    </row>
    <row r="751" spans="20:27" x14ac:dyDescent="0.25">
      <c r="T751" s="71">
        <f t="shared" si="55"/>
        <v>66571</v>
      </c>
      <c r="U751" s="77">
        <f t="shared" si="56"/>
        <v>864.41</v>
      </c>
      <c r="V751" s="72">
        <f t="shared" si="59"/>
        <v>-6322.46</v>
      </c>
      <c r="W751" s="72">
        <f>D_Emprunts!$U751-D_Emprunts!$V751</f>
        <v>7186.87</v>
      </c>
      <c r="X751" s="73">
        <f>X750-D_Emprunts!$W751</f>
        <v>-2150357.5299999989</v>
      </c>
      <c r="Y751">
        <v>744</v>
      </c>
      <c r="Z751" t="str">
        <f t="shared" si="57"/>
        <v>Investissement</v>
      </c>
      <c r="AA751" t="str">
        <f t="shared" si="58"/>
        <v>travaux magasin</v>
      </c>
    </row>
    <row r="752" spans="20:27" x14ac:dyDescent="0.25">
      <c r="T752" s="68">
        <f t="shared" si="55"/>
        <v>66601</v>
      </c>
      <c r="U752" s="77">
        <f t="shared" si="56"/>
        <v>864.41</v>
      </c>
      <c r="V752" s="72">
        <f t="shared" si="59"/>
        <v>-6343.66</v>
      </c>
      <c r="W752" s="69">
        <f>D_Emprunts!$U752-D_Emprunts!$V752</f>
        <v>7208.07</v>
      </c>
      <c r="X752" s="70">
        <f>X751-D_Emprunts!$W752</f>
        <v>-2157565.5999999987</v>
      </c>
      <c r="Y752">
        <v>745</v>
      </c>
      <c r="Z752" t="str">
        <f t="shared" si="57"/>
        <v>Investissement</v>
      </c>
      <c r="AA752" t="str">
        <f t="shared" si="58"/>
        <v>travaux magasin</v>
      </c>
    </row>
    <row r="753" spans="20:27" x14ac:dyDescent="0.25">
      <c r="T753" s="71">
        <f t="shared" si="55"/>
        <v>66632</v>
      </c>
      <c r="U753" s="77">
        <f t="shared" si="56"/>
        <v>864.41</v>
      </c>
      <c r="V753" s="72">
        <f t="shared" si="59"/>
        <v>-6364.93</v>
      </c>
      <c r="W753" s="72">
        <f>D_Emprunts!$U753-D_Emprunts!$V753</f>
        <v>7229.34</v>
      </c>
      <c r="X753" s="73">
        <f>X752-D_Emprunts!$W753</f>
        <v>-2164794.9399999985</v>
      </c>
      <c r="Y753">
        <v>746</v>
      </c>
      <c r="Z753" t="str">
        <f t="shared" si="57"/>
        <v>Investissement</v>
      </c>
      <c r="AA753" t="str">
        <f t="shared" si="58"/>
        <v>travaux magasin</v>
      </c>
    </row>
    <row r="754" spans="20:27" x14ac:dyDescent="0.25">
      <c r="T754" s="68">
        <f t="shared" si="55"/>
        <v>66662</v>
      </c>
      <c r="U754" s="77">
        <f t="shared" si="56"/>
        <v>864.41</v>
      </c>
      <c r="V754" s="72">
        <f t="shared" si="59"/>
        <v>-6386.26</v>
      </c>
      <c r="W754" s="69">
        <f>D_Emprunts!$U754-D_Emprunts!$V754</f>
        <v>7250.67</v>
      </c>
      <c r="X754" s="70">
        <f>X753-D_Emprunts!$W754</f>
        <v>-2172045.6099999985</v>
      </c>
      <c r="Y754">
        <v>747</v>
      </c>
      <c r="Z754" t="str">
        <f t="shared" si="57"/>
        <v>Investissement</v>
      </c>
      <c r="AA754" t="str">
        <f t="shared" si="58"/>
        <v>travaux magasin</v>
      </c>
    </row>
    <row r="755" spans="20:27" x14ac:dyDescent="0.25">
      <c r="T755" s="71">
        <f t="shared" si="55"/>
        <v>66693</v>
      </c>
      <c r="U755" s="77">
        <f t="shared" si="56"/>
        <v>864.41</v>
      </c>
      <c r="V755" s="72">
        <f t="shared" si="59"/>
        <v>-6407.65</v>
      </c>
      <c r="W755" s="72">
        <f>D_Emprunts!$U755-D_Emprunts!$V755</f>
        <v>7272.0599999999995</v>
      </c>
      <c r="X755" s="73">
        <f>X754-D_Emprunts!$W755</f>
        <v>-2179317.6699999985</v>
      </c>
      <c r="Y755">
        <v>748</v>
      </c>
      <c r="Z755" t="str">
        <f t="shared" si="57"/>
        <v>Investissement</v>
      </c>
      <c r="AA755" t="str">
        <f t="shared" si="58"/>
        <v>travaux magasin</v>
      </c>
    </row>
    <row r="756" spans="20:27" x14ac:dyDescent="0.25">
      <c r="T756" s="68">
        <f t="shared" si="55"/>
        <v>66724</v>
      </c>
      <c r="U756" s="77">
        <f t="shared" si="56"/>
        <v>864.41</v>
      </c>
      <c r="V756" s="72">
        <f t="shared" si="59"/>
        <v>-6429.1</v>
      </c>
      <c r="W756" s="69">
        <f>D_Emprunts!$U756-D_Emprunts!$V756</f>
        <v>7293.51</v>
      </c>
      <c r="X756" s="70">
        <f>X755-D_Emprunts!$W756</f>
        <v>-2186611.1799999983</v>
      </c>
      <c r="Y756">
        <v>749</v>
      </c>
      <c r="Z756" t="str">
        <f t="shared" si="57"/>
        <v>Investissement</v>
      </c>
      <c r="AA756" t="str">
        <f t="shared" si="58"/>
        <v>travaux magasin</v>
      </c>
    </row>
    <row r="757" spans="20:27" x14ac:dyDescent="0.25">
      <c r="T757" s="71">
        <f t="shared" si="55"/>
        <v>66754</v>
      </c>
      <c r="U757" s="77">
        <f t="shared" si="56"/>
        <v>864.41</v>
      </c>
      <c r="V757" s="72">
        <f t="shared" si="59"/>
        <v>-6450.61</v>
      </c>
      <c r="W757" s="72">
        <f>D_Emprunts!$U757-D_Emprunts!$V757</f>
        <v>7315.0199999999995</v>
      </c>
      <c r="X757" s="73">
        <f>X756-D_Emprunts!$W757</f>
        <v>-2193926.1999999983</v>
      </c>
      <c r="Y757">
        <v>750</v>
      </c>
      <c r="Z757" t="str">
        <f t="shared" si="57"/>
        <v>Investissement</v>
      </c>
      <c r="AA757" t="str">
        <f t="shared" si="58"/>
        <v>travaux magasin</v>
      </c>
    </row>
    <row r="758" spans="20:27" x14ac:dyDescent="0.25">
      <c r="T758" s="68">
        <f t="shared" si="55"/>
        <v>66785</v>
      </c>
      <c r="U758" s="77">
        <f t="shared" si="56"/>
        <v>864.41</v>
      </c>
      <c r="V758" s="72">
        <f t="shared" si="59"/>
        <v>-6472.19</v>
      </c>
      <c r="W758" s="69">
        <f>D_Emprunts!$U758-D_Emprunts!$V758</f>
        <v>7336.5999999999995</v>
      </c>
      <c r="X758" s="70">
        <f>X757-D_Emprunts!$W758</f>
        <v>-2201262.7999999984</v>
      </c>
      <c r="Y758">
        <v>751</v>
      </c>
      <c r="Z758" t="str">
        <f t="shared" si="57"/>
        <v>Investissement</v>
      </c>
      <c r="AA758" t="str">
        <f t="shared" si="58"/>
        <v>travaux magasin</v>
      </c>
    </row>
    <row r="759" spans="20:27" x14ac:dyDescent="0.25">
      <c r="T759" s="71">
        <f t="shared" si="55"/>
        <v>66815</v>
      </c>
      <c r="U759" s="77">
        <f t="shared" si="56"/>
        <v>864.41</v>
      </c>
      <c r="V759" s="72">
        <f t="shared" si="59"/>
        <v>-6493.84</v>
      </c>
      <c r="W759" s="72">
        <f>D_Emprunts!$U759-D_Emprunts!$V759</f>
        <v>7358.25</v>
      </c>
      <c r="X759" s="73">
        <f>X758-D_Emprunts!$W759</f>
        <v>-2208621.0499999984</v>
      </c>
      <c r="Y759">
        <v>752</v>
      </c>
      <c r="Z759" t="str">
        <f t="shared" si="57"/>
        <v>Investissement</v>
      </c>
      <c r="AA759" t="str">
        <f t="shared" si="58"/>
        <v>travaux magasin</v>
      </c>
    </row>
    <row r="760" spans="20:27" x14ac:dyDescent="0.25">
      <c r="T760" s="68">
        <f t="shared" si="55"/>
        <v>66846</v>
      </c>
      <c r="U760" s="77">
        <f t="shared" si="56"/>
        <v>864.41</v>
      </c>
      <c r="V760" s="72">
        <f t="shared" si="59"/>
        <v>-6515.55</v>
      </c>
      <c r="W760" s="69">
        <f>D_Emprunts!$U760-D_Emprunts!$V760</f>
        <v>7379.96</v>
      </c>
      <c r="X760" s="70">
        <f>X759-D_Emprunts!$W760</f>
        <v>-2216001.0099999984</v>
      </c>
      <c r="Y760">
        <v>753</v>
      </c>
      <c r="Z760" t="str">
        <f t="shared" si="57"/>
        <v>Investissement</v>
      </c>
      <c r="AA760" t="str">
        <f t="shared" si="58"/>
        <v>travaux magasin</v>
      </c>
    </row>
    <row r="761" spans="20:27" x14ac:dyDescent="0.25">
      <c r="T761" s="71">
        <f t="shared" si="55"/>
        <v>66877</v>
      </c>
      <c r="U761" s="77">
        <f t="shared" si="56"/>
        <v>864.41</v>
      </c>
      <c r="V761" s="72">
        <f t="shared" si="59"/>
        <v>-6537.32</v>
      </c>
      <c r="W761" s="72">
        <f>D_Emprunts!$U761-D_Emprunts!$V761</f>
        <v>7401.73</v>
      </c>
      <c r="X761" s="73">
        <f>X760-D_Emprunts!$W761</f>
        <v>-2223402.7399999984</v>
      </c>
      <c r="Y761">
        <v>754</v>
      </c>
      <c r="Z761" t="str">
        <f t="shared" si="57"/>
        <v>Investissement</v>
      </c>
      <c r="AA761" t="str">
        <f t="shared" si="58"/>
        <v>travaux magasin</v>
      </c>
    </row>
    <row r="762" spans="20:27" x14ac:dyDescent="0.25">
      <c r="T762" s="68">
        <f t="shared" si="55"/>
        <v>66905</v>
      </c>
      <c r="U762" s="77">
        <f t="shared" si="56"/>
        <v>864.41</v>
      </c>
      <c r="V762" s="72">
        <f t="shared" si="59"/>
        <v>-6559.15</v>
      </c>
      <c r="W762" s="69">
        <f>D_Emprunts!$U762-D_Emprunts!$V762</f>
        <v>7423.5599999999995</v>
      </c>
      <c r="X762" s="70">
        <f>X761-D_Emprunts!$W762</f>
        <v>-2230826.2999999984</v>
      </c>
      <c r="Y762">
        <v>755</v>
      </c>
      <c r="Z762" t="str">
        <f t="shared" si="57"/>
        <v>Investissement</v>
      </c>
      <c r="AA762" t="str">
        <f t="shared" si="58"/>
        <v>travaux magasin</v>
      </c>
    </row>
    <row r="763" spans="20:27" x14ac:dyDescent="0.25">
      <c r="T763" s="71">
        <f t="shared" si="55"/>
        <v>66936</v>
      </c>
      <c r="U763" s="77">
        <f t="shared" si="56"/>
        <v>864.41</v>
      </c>
      <c r="V763" s="72">
        <f t="shared" si="59"/>
        <v>-6581.05</v>
      </c>
      <c r="W763" s="72">
        <f>D_Emprunts!$U763-D_Emprunts!$V763</f>
        <v>7445.46</v>
      </c>
      <c r="X763" s="73">
        <f>X762-D_Emprunts!$W763</f>
        <v>-2238271.7599999984</v>
      </c>
      <c r="Y763">
        <v>756</v>
      </c>
      <c r="Z763" t="str">
        <f t="shared" si="57"/>
        <v>Investissement</v>
      </c>
      <c r="AA763" t="str">
        <f t="shared" si="58"/>
        <v>travaux magasin</v>
      </c>
    </row>
    <row r="764" spans="20:27" x14ac:dyDescent="0.25">
      <c r="T764" s="68">
        <f t="shared" si="55"/>
        <v>66966</v>
      </c>
      <c r="U764" s="77">
        <f t="shared" si="56"/>
        <v>864.41</v>
      </c>
      <c r="V764" s="72">
        <f t="shared" si="59"/>
        <v>-6603.02</v>
      </c>
      <c r="W764" s="69">
        <f>D_Emprunts!$U764-D_Emprunts!$V764</f>
        <v>7467.43</v>
      </c>
      <c r="X764" s="70">
        <f>X763-D_Emprunts!$W764</f>
        <v>-2245739.1899999985</v>
      </c>
      <c r="Y764">
        <v>757</v>
      </c>
      <c r="Z764" t="str">
        <f t="shared" si="57"/>
        <v>Investissement</v>
      </c>
      <c r="AA764" t="str">
        <f t="shared" si="58"/>
        <v>travaux magasin</v>
      </c>
    </row>
    <row r="765" spans="20:27" x14ac:dyDescent="0.25">
      <c r="T765" s="71">
        <f t="shared" si="55"/>
        <v>66997</v>
      </c>
      <c r="U765" s="77">
        <f t="shared" si="56"/>
        <v>864.41</v>
      </c>
      <c r="V765" s="72">
        <f t="shared" si="59"/>
        <v>-6625.05</v>
      </c>
      <c r="W765" s="72">
        <f>D_Emprunts!$U765-D_Emprunts!$V765</f>
        <v>7489.46</v>
      </c>
      <c r="X765" s="73">
        <f>X764-D_Emprunts!$W765</f>
        <v>-2253228.6499999985</v>
      </c>
      <c r="Y765">
        <v>758</v>
      </c>
      <c r="Z765" t="str">
        <f t="shared" si="57"/>
        <v>Investissement</v>
      </c>
      <c r="AA765" t="str">
        <f t="shared" si="58"/>
        <v>travaux magasin</v>
      </c>
    </row>
    <row r="766" spans="20:27" x14ac:dyDescent="0.25">
      <c r="T766" s="68">
        <f t="shared" si="55"/>
        <v>67027</v>
      </c>
      <c r="U766" s="77">
        <f t="shared" si="56"/>
        <v>864.41</v>
      </c>
      <c r="V766" s="72">
        <f t="shared" si="59"/>
        <v>-6647.14</v>
      </c>
      <c r="W766" s="69">
        <f>D_Emprunts!$U766-D_Emprunts!$V766</f>
        <v>7511.55</v>
      </c>
      <c r="X766" s="70">
        <f>X765-D_Emprunts!$W766</f>
        <v>-2260740.1999999983</v>
      </c>
      <c r="Y766">
        <v>759</v>
      </c>
      <c r="Z766" t="str">
        <f t="shared" si="57"/>
        <v>Investissement</v>
      </c>
      <c r="AA766" t="str">
        <f t="shared" si="58"/>
        <v>travaux magasin</v>
      </c>
    </row>
    <row r="767" spans="20:27" x14ac:dyDescent="0.25">
      <c r="T767" s="71">
        <f t="shared" si="55"/>
        <v>67058</v>
      </c>
      <c r="U767" s="77">
        <f t="shared" si="56"/>
        <v>864.41</v>
      </c>
      <c r="V767" s="72">
        <f t="shared" si="59"/>
        <v>-6669.3</v>
      </c>
      <c r="W767" s="72">
        <f>D_Emprunts!$U767-D_Emprunts!$V767</f>
        <v>7533.71</v>
      </c>
      <c r="X767" s="73">
        <f>X766-D_Emprunts!$W767</f>
        <v>-2268273.9099999983</v>
      </c>
      <c r="Y767">
        <v>760</v>
      </c>
      <c r="Z767" t="str">
        <f t="shared" si="57"/>
        <v>Investissement</v>
      </c>
      <c r="AA767" t="str">
        <f t="shared" si="58"/>
        <v>travaux magasin</v>
      </c>
    </row>
    <row r="768" spans="20:27" x14ac:dyDescent="0.25">
      <c r="T768" s="68">
        <f t="shared" si="55"/>
        <v>67089</v>
      </c>
      <c r="U768" s="77">
        <f t="shared" si="56"/>
        <v>864.41</v>
      </c>
      <c r="V768" s="72">
        <f t="shared" si="59"/>
        <v>-6691.52</v>
      </c>
      <c r="W768" s="69">
        <f>D_Emprunts!$U768-D_Emprunts!$V768</f>
        <v>7555.93</v>
      </c>
      <c r="X768" s="70">
        <f>X767-D_Emprunts!$W768</f>
        <v>-2275829.8399999985</v>
      </c>
      <c r="Y768">
        <v>761</v>
      </c>
      <c r="Z768" t="str">
        <f t="shared" si="57"/>
        <v>Investissement</v>
      </c>
      <c r="AA768" t="str">
        <f t="shared" si="58"/>
        <v>travaux magasin</v>
      </c>
    </row>
    <row r="769" spans="20:27" x14ac:dyDescent="0.25">
      <c r="T769" s="71">
        <f t="shared" si="55"/>
        <v>67119</v>
      </c>
      <c r="U769" s="77">
        <f t="shared" si="56"/>
        <v>864.41</v>
      </c>
      <c r="V769" s="72">
        <f t="shared" si="59"/>
        <v>-6713.81</v>
      </c>
      <c r="W769" s="72">
        <f>D_Emprunts!$U769-D_Emprunts!$V769</f>
        <v>7578.22</v>
      </c>
      <c r="X769" s="73">
        <f>X768-D_Emprunts!$W769</f>
        <v>-2283408.0599999987</v>
      </c>
      <c r="Y769">
        <v>762</v>
      </c>
      <c r="Z769" t="str">
        <f t="shared" si="57"/>
        <v>Investissement</v>
      </c>
      <c r="AA769" t="str">
        <f t="shared" si="58"/>
        <v>travaux magasin</v>
      </c>
    </row>
    <row r="770" spans="20:27" x14ac:dyDescent="0.25">
      <c r="T770" s="68">
        <f t="shared" si="55"/>
        <v>67150</v>
      </c>
      <c r="U770" s="77">
        <f t="shared" si="56"/>
        <v>864.41</v>
      </c>
      <c r="V770" s="72">
        <f t="shared" si="59"/>
        <v>-6736.17</v>
      </c>
      <c r="W770" s="69">
        <f>D_Emprunts!$U770-D_Emprunts!$V770</f>
        <v>7600.58</v>
      </c>
      <c r="X770" s="70">
        <f>X769-D_Emprunts!$W770</f>
        <v>-2291008.6399999987</v>
      </c>
      <c r="Y770">
        <v>763</v>
      </c>
      <c r="Z770" t="str">
        <f t="shared" si="57"/>
        <v>Investissement</v>
      </c>
      <c r="AA770" t="str">
        <f t="shared" si="58"/>
        <v>travaux magasin</v>
      </c>
    </row>
    <row r="771" spans="20:27" x14ac:dyDescent="0.25">
      <c r="T771" s="71">
        <f t="shared" si="55"/>
        <v>67180</v>
      </c>
      <c r="U771" s="77">
        <f t="shared" si="56"/>
        <v>864.41</v>
      </c>
      <c r="V771" s="72">
        <f t="shared" si="59"/>
        <v>-6758.59</v>
      </c>
      <c r="W771" s="72">
        <f>D_Emprunts!$U771-D_Emprunts!$V771</f>
        <v>7623</v>
      </c>
      <c r="X771" s="73">
        <f>X770-D_Emprunts!$W771</f>
        <v>-2298631.6399999987</v>
      </c>
      <c r="Y771">
        <v>764</v>
      </c>
      <c r="Z771" t="str">
        <f t="shared" si="57"/>
        <v>Investissement</v>
      </c>
      <c r="AA771" t="str">
        <f t="shared" si="58"/>
        <v>travaux magasin</v>
      </c>
    </row>
    <row r="772" spans="20:27" x14ac:dyDescent="0.25">
      <c r="T772" s="68">
        <f t="shared" si="55"/>
        <v>67211</v>
      </c>
      <c r="U772" s="77">
        <f t="shared" si="56"/>
        <v>864.41</v>
      </c>
      <c r="V772" s="72">
        <f t="shared" si="59"/>
        <v>-6781.08</v>
      </c>
      <c r="W772" s="69">
        <f>D_Emprunts!$U772-D_Emprunts!$V772</f>
        <v>7645.49</v>
      </c>
      <c r="X772" s="70">
        <f>X771-D_Emprunts!$W772</f>
        <v>-2306277.129999999</v>
      </c>
      <c r="Y772">
        <v>765</v>
      </c>
      <c r="Z772" t="str">
        <f t="shared" si="57"/>
        <v>Investissement</v>
      </c>
      <c r="AA772" t="str">
        <f t="shared" si="58"/>
        <v>travaux magasin</v>
      </c>
    </row>
    <row r="773" spans="20:27" x14ac:dyDescent="0.25">
      <c r="T773" s="71">
        <f t="shared" si="55"/>
        <v>67242</v>
      </c>
      <c r="U773" s="77">
        <f t="shared" si="56"/>
        <v>864.41</v>
      </c>
      <c r="V773" s="72">
        <f t="shared" si="59"/>
        <v>-6803.64</v>
      </c>
      <c r="W773" s="72">
        <f>D_Emprunts!$U773-D_Emprunts!$V773</f>
        <v>7668.05</v>
      </c>
      <c r="X773" s="73">
        <f>X772-D_Emprunts!$W773</f>
        <v>-2313945.1799999988</v>
      </c>
      <c r="Y773">
        <v>766</v>
      </c>
      <c r="Z773" t="str">
        <f t="shared" si="57"/>
        <v>Investissement</v>
      </c>
      <c r="AA773" t="str">
        <f t="shared" si="58"/>
        <v>travaux magasin</v>
      </c>
    </row>
    <row r="774" spans="20:27" x14ac:dyDescent="0.25">
      <c r="T774" s="68">
        <f t="shared" si="55"/>
        <v>67271</v>
      </c>
      <c r="U774" s="77">
        <f t="shared" si="56"/>
        <v>864.41</v>
      </c>
      <c r="V774" s="72">
        <f t="shared" si="59"/>
        <v>-6826.26</v>
      </c>
      <c r="W774" s="69">
        <f>D_Emprunts!$U774-D_Emprunts!$V774</f>
        <v>7690.67</v>
      </c>
      <c r="X774" s="70">
        <f>X773-D_Emprunts!$W774</f>
        <v>-2321635.8499999987</v>
      </c>
      <c r="Y774">
        <v>767</v>
      </c>
      <c r="Z774" t="str">
        <f t="shared" si="57"/>
        <v>Investissement</v>
      </c>
      <c r="AA774" t="str">
        <f t="shared" si="58"/>
        <v>travaux magasin</v>
      </c>
    </row>
    <row r="775" spans="20:27" x14ac:dyDescent="0.25">
      <c r="T775" s="71">
        <f t="shared" si="55"/>
        <v>67302</v>
      </c>
      <c r="U775" s="77">
        <f t="shared" si="56"/>
        <v>864.41</v>
      </c>
      <c r="V775" s="72">
        <f t="shared" si="59"/>
        <v>-6848.94</v>
      </c>
      <c r="W775" s="72">
        <f>D_Emprunts!$U775-D_Emprunts!$V775</f>
        <v>7713.3499999999995</v>
      </c>
      <c r="X775" s="73">
        <f>X774-D_Emprunts!$W775</f>
        <v>-2329349.1999999988</v>
      </c>
      <c r="Y775">
        <v>768</v>
      </c>
      <c r="Z775" t="str">
        <f t="shared" si="57"/>
        <v>Investissement</v>
      </c>
      <c r="AA775" t="str">
        <f t="shared" si="58"/>
        <v>travaux magasin</v>
      </c>
    </row>
    <row r="776" spans="20:27" x14ac:dyDescent="0.25">
      <c r="T776" s="68">
        <f t="shared" ref="T776:T839" si="60">EDATE(T775,1)</f>
        <v>67332</v>
      </c>
      <c r="U776" s="77">
        <f t="shared" si="56"/>
        <v>864.41</v>
      </c>
      <c r="V776" s="72">
        <f t="shared" si="59"/>
        <v>-6871.7</v>
      </c>
      <c r="W776" s="69">
        <f>D_Emprunts!$U776-D_Emprunts!$V776</f>
        <v>7736.11</v>
      </c>
      <c r="X776" s="70">
        <f>X775-D_Emprunts!$W776</f>
        <v>-2337085.3099999987</v>
      </c>
      <c r="Y776">
        <v>769</v>
      </c>
      <c r="Z776" t="str">
        <f t="shared" si="57"/>
        <v>Investissement</v>
      </c>
      <c r="AA776" t="str">
        <f t="shared" si="58"/>
        <v>travaux magasin</v>
      </c>
    </row>
    <row r="777" spans="20:27" x14ac:dyDescent="0.25">
      <c r="T777" s="71">
        <f t="shared" si="60"/>
        <v>67363</v>
      </c>
      <c r="U777" s="77">
        <f t="shared" ref="U777:U840" si="61">$X$4</f>
        <v>864.41</v>
      </c>
      <c r="V777" s="72">
        <f t="shared" si="59"/>
        <v>-6894.52</v>
      </c>
      <c r="W777" s="72">
        <f>D_Emprunts!$U777-D_Emprunts!$V777</f>
        <v>7758.93</v>
      </c>
      <c r="X777" s="73">
        <f>X776-D_Emprunts!$W777</f>
        <v>-2344844.2399999988</v>
      </c>
      <c r="Y777">
        <v>770</v>
      </c>
      <c r="Z777" t="str">
        <f t="shared" ref="Z777:Z840" si="62">$Y$4</f>
        <v>Investissement</v>
      </c>
      <c r="AA777" t="str">
        <f t="shared" ref="AA777:AA840" si="63">$Z$4</f>
        <v>travaux magasin</v>
      </c>
    </row>
    <row r="778" spans="20:27" x14ac:dyDescent="0.25">
      <c r="T778" s="68">
        <f t="shared" si="60"/>
        <v>67393</v>
      </c>
      <c r="U778" s="77">
        <f t="shared" si="61"/>
        <v>864.41</v>
      </c>
      <c r="V778" s="72">
        <f t="shared" ref="V778:V841" si="64">ROUND(X777*$V$4/12,2)</f>
        <v>-6917.41</v>
      </c>
      <c r="W778" s="69">
        <f>D_Emprunts!$U778-D_Emprunts!$V778</f>
        <v>7781.82</v>
      </c>
      <c r="X778" s="70">
        <f>X777-D_Emprunts!$W778</f>
        <v>-2352626.0599999987</v>
      </c>
      <c r="Y778">
        <v>771</v>
      </c>
      <c r="Z778" t="str">
        <f t="shared" si="62"/>
        <v>Investissement</v>
      </c>
      <c r="AA778" t="str">
        <f t="shared" si="63"/>
        <v>travaux magasin</v>
      </c>
    </row>
    <row r="779" spans="20:27" x14ac:dyDescent="0.25">
      <c r="T779" s="71">
        <f t="shared" si="60"/>
        <v>67424</v>
      </c>
      <c r="U779" s="77">
        <f t="shared" si="61"/>
        <v>864.41</v>
      </c>
      <c r="V779" s="72">
        <f t="shared" si="64"/>
        <v>-6940.37</v>
      </c>
      <c r="W779" s="72">
        <f>D_Emprunts!$U779-D_Emprunts!$V779</f>
        <v>7804.78</v>
      </c>
      <c r="X779" s="73">
        <f>X778-D_Emprunts!$W779</f>
        <v>-2360430.8399999985</v>
      </c>
      <c r="Y779">
        <v>772</v>
      </c>
      <c r="Z779" t="str">
        <f t="shared" si="62"/>
        <v>Investissement</v>
      </c>
      <c r="AA779" t="str">
        <f t="shared" si="63"/>
        <v>travaux magasin</v>
      </c>
    </row>
    <row r="780" spans="20:27" x14ac:dyDescent="0.25">
      <c r="T780" s="68">
        <f t="shared" si="60"/>
        <v>67455</v>
      </c>
      <c r="U780" s="77">
        <f t="shared" si="61"/>
        <v>864.41</v>
      </c>
      <c r="V780" s="72">
        <f t="shared" si="64"/>
        <v>-6963.39</v>
      </c>
      <c r="W780" s="69">
        <f>D_Emprunts!$U780-D_Emprunts!$V780</f>
        <v>7827.8</v>
      </c>
      <c r="X780" s="70">
        <f>X779-D_Emprunts!$W780</f>
        <v>-2368258.6399999983</v>
      </c>
      <c r="Y780">
        <v>773</v>
      </c>
      <c r="Z780" t="str">
        <f t="shared" si="62"/>
        <v>Investissement</v>
      </c>
      <c r="AA780" t="str">
        <f t="shared" si="63"/>
        <v>travaux magasin</v>
      </c>
    </row>
    <row r="781" spans="20:27" x14ac:dyDescent="0.25">
      <c r="T781" s="71">
        <f t="shared" si="60"/>
        <v>67485</v>
      </c>
      <c r="U781" s="77">
        <f t="shared" si="61"/>
        <v>864.41</v>
      </c>
      <c r="V781" s="72">
        <f t="shared" si="64"/>
        <v>-6986.48</v>
      </c>
      <c r="W781" s="72">
        <f>D_Emprunts!$U781-D_Emprunts!$V781</f>
        <v>7850.8899999999994</v>
      </c>
      <c r="X781" s="73">
        <f>X780-D_Emprunts!$W781</f>
        <v>-2376109.5299999984</v>
      </c>
      <c r="Y781">
        <v>774</v>
      </c>
      <c r="Z781" t="str">
        <f t="shared" si="62"/>
        <v>Investissement</v>
      </c>
      <c r="AA781" t="str">
        <f t="shared" si="63"/>
        <v>travaux magasin</v>
      </c>
    </row>
    <row r="782" spans="20:27" x14ac:dyDescent="0.25">
      <c r="T782" s="68">
        <f t="shared" si="60"/>
        <v>67516</v>
      </c>
      <c r="U782" s="77">
        <f t="shared" si="61"/>
        <v>864.41</v>
      </c>
      <c r="V782" s="72">
        <f t="shared" si="64"/>
        <v>-7009.64</v>
      </c>
      <c r="W782" s="69">
        <f>D_Emprunts!$U782-D_Emprunts!$V782</f>
        <v>7874.05</v>
      </c>
      <c r="X782" s="70">
        <f>X781-D_Emprunts!$W782</f>
        <v>-2383983.5799999982</v>
      </c>
      <c r="Y782">
        <v>775</v>
      </c>
      <c r="Z782" t="str">
        <f t="shared" si="62"/>
        <v>Investissement</v>
      </c>
      <c r="AA782" t="str">
        <f t="shared" si="63"/>
        <v>travaux magasin</v>
      </c>
    </row>
    <row r="783" spans="20:27" x14ac:dyDescent="0.25">
      <c r="T783" s="71">
        <f t="shared" si="60"/>
        <v>67546</v>
      </c>
      <c r="U783" s="77">
        <f t="shared" si="61"/>
        <v>864.41</v>
      </c>
      <c r="V783" s="72">
        <f t="shared" si="64"/>
        <v>-7032.87</v>
      </c>
      <c r="W783" s="72">
        <f>D_Emprunts!$U783-D_Emprunts!$V783</f>
        <v>7897.28</v>
      </c>
      <c r="X783" s="73">
        <f>X782-D_Emprunts!$W783</f>
        <v>-2391880.859999998</v>
      </c>
      <c r="Y783">
        <v>776</v>
      </c>
      <c r="Z783" t="str">
        <f t="shared" si="62"/>
        <v>Investissement</v>
      </c>
      <c r="AA783" t="str">
        <f t="shared" si="63"/>
        <v>travaux magasin</v>
      </c>
    </row>
    <row r="784" spans="20:27" x14ac:dyDescent="0.25">
      <c r="T784" s="68">
        <f t="shared" si="60"/>
        <v>67577</v>
      </c>
      <c r="U784" s="77">
        <f t="shared" si="61"/>
        <v>864.41</v>
      </c>
      <c r="V784" s="72">
        <f t="shared" si="64"/>
        <v>-7056.17</v>
      </c>
      <c r="W784" s="69">
        <f>D_Emprunts!$U784-D_Emprunts!$V784</f>
        <v>7920.58</v>
      </c>
      <c r="X784" s="70">
        <f>X783-D_Emprunts!$W784</f>
        <v>-2399801.4399999981</v>
      </c>
      <c r="Y784">
        <v>777</v>
      </c>
      <c r="Z784" t="str">
        <f t="shared" si="62"/>
        <v>Investissement</v>
      </c>
      <c r="AA784" t="str">
        <f t="shared" si="63"/>
        <v>travaux magasin</v>
      </c>
    </row>
    <row r="785" spans="20:27" x14ac:dyDescent="0.25">
      <c r="T785" s="71">
        <f t="shared" si="60"/>
        <v>67608</v>
      </c>
      <c r="U785" s="77">
        <f t="shared" si="61"/>
        <v>864.41</v>
      </c>
      <c r="V785" s="72">
        <f t="shared" si="64"/>
        <v>-7079.54</v>
      </c>
      <c r="W785" s="72">
        <f>D_Emprunts!$U785-D_Emprunts!$V785</f>
        <v>7943.95</v>
      </c>
      <c r="X785" s="73">
        <f>X784-D_Emprunts!$W785</f>
        <v>-2407745.3899999983</v>
      </c>
      <c r="Y785">
        <v>778</v>
      </c>
      <c r="Z785" t="str">
        <f t="shared" si="62"/>
        <v>Investissement</v>
      </c>
      <c r="AA785" t="str">
        <f t="shared" si="63"/>
        <v>travaux magasin</v>
      </c>
    </row>
    <row r="786" spans="20:27" x14ac:dyDescent="0.25">
      <c r="T786" s="68">
        <f t="shared" si="60"/>
        <v>67636</v>
      </c>
      <c r="U786" s="77">
        <f t="shared" si="61"/>
        <v>864.41</v>
      </c>
      <c r="V786" s="72">
        <f t="shared" si="64"/>
        <v>-7102.97</v>
      </c>
      <c r="W786" s="69">
        <f>D_Emprunts!$U786-D_Emprunts!$V786</f>
        <v>7967.38</v>
      </c>
      <c r="X786" s="70">
        <f>X785-D_Emprunts!$W786</f>
        <v>-2415712.7699999982</v>
      </c>
      <c r="Y786">
        <v>779</v>
      </c>
      <c r="Z786" t="str">
        <f t="shared" si="62"/>
        <v>Investissement</v>
      </c>
      <c r="AA786" t="str">
        <f t="shared" si="63"/>
        <v>travaux magasin</v>
      </c>
    </row>
    <row r="787" spans="20:27" x14ac:dyDescent="0.25">
      <c r="T787" s="71">
        <f t="shared" si="60"/>
        <v>67667</v>
      </c>
      <c r="U787" s="77">
        <f t="shared" si="61"/>
        <v>864.41</v>
      </c>
      <c r="V787" s="72">
        <f t="shared" si="64"/>
        <v>-7126.48</v>
      </c>
      <c r="W787" s="72">
        <f>D_Emprunts!$U787-D_Emprunts!$V787</f>
        <v>7990.8899999999994</v>
      </c>
      <c r="X787" s="73">
        <f>X786-D_Emprunts!$W787</f>
        <v>-2423703.6599999983</v>
      </c>
      <c r="Y787">
        <v>780</v>
      </c>
      <c r="Z787" t="str">
        <f t="shared" si="62"/>
        <v>Investissement</v>
      </c>
      <c r="AA787" t="str">
        <f t="shared" si="63"/>
        <v>travaux magasin</v>
      </c>
    </row>
    <row r="788" spans="20:27" x14ac:dyDescent="0.25">
      <c r="T788" s="68">
        <f t="shared" si="60"/>
        <v>67697</v>
      </c>
      <c r="U788" s="77">
        <f t="shared" si="61"/>
        <v>864.41</v>
      </c>
      <c r="V788" s="72">
        <f t="shared" si="64"/>
        <v>-7150.05</v>
      </c>
      <c r="W788" s="69">
        <f>D_Emprunts!$U788-D_Emprunts!$V788</f>
        <v>8014.46</v>
      </c>
      <c r="X788" s="70">
        <f>X787-D_Emprunts!$W788</f>
        <v>-2431718.1199999982</v>
      </c>
      <c r="Y788">
        <v>781</v>
      </c>
      <c r="Z788" t="str">
        <f t="shared" si="62"/>
        <v>Investissement</v>
      </c>
      <c r="AA788" t="str">
        <f t="shared" si="63"/>
        <v>travaux magasin</v>
      </c>
    </row>
    <row r="789" spans="20:27" x14ac:dyDescent="0.25">
      <c r="T789" s="71">
        <f t="shared" si="60"/>
        <v>67728</v>
      </c>
      <c r="U789" s="77">
        <f t="shared" si="61"/>
        <v>864.41</v>
      </c>
      <c r="V789" s="72">
        <f t="shared" si="64"/>
        <v>-7173.69</v>
      </c>
      <c r="W789" s="72">
        <f>D_Emprunts!$U789-D_Emprunts!$V789</f>
        <v>8038.0999999999995</v>
      </c>
      <c r="X789" s="73">
        <f>X788-D_Emprunts!$W789</f>
        <v>-2439756.2199999983</v>
      </c>
      <c r="Y789">
        <v>782</v>
      </c>
      <c r="Z789" t="str">
        <f t="shared" si="62"/>
        <v>Investissement</v>
      </c>
      <c r="AA789" t="str">
        <f t="shared" si="63"/>
        <v>travaux magasin</v>
      </c>
    </row>
    <row r="790" spans="20:27" x14ac:dyDescent="0.25">
      <c r="T790" s="68">
        <f t="shared" si="60"/>
        <v>67758</v>
      </c>
      <c r="U790" s="77">
        <f t="shared" si="61"/>
        <v>864.41</v>
      </c>
      <c r="V790" s="72">
        <f t="shared" si="64"/>
        <v>-7197.41</v>
      </c>
      <c r="W790" s="69">
        <f>D_Emprunts!$U790-D_Emprunts!$V790</f>
        <v>8061.82</v>
      </c>
      <c r="X790" s="70">
        <f>X789-D_Emprunts!$W790</f>
        <v>-2447818.0399999982</v>
      </c>
      <c r="Y790">
        <v>783</v>
      </c>
      <c r="Z790" t="str">
        <f t="shared" si="62"/>
        <v>Investissement</v>
      </c>
      <c r="AA790" t="str">
        <f t="shared" si="63"/>
        <v>travaux magasin</v>
      </c>
    </row>
    <row r="791" spans="20:27" x14ac:dyDescent="0.25">
      <c r="T791" s="71">
        <f t="shared" si="60"/>
        <v>67789</v>
      </c>
      <c r="U791" s="77">
        <f t="shared" si="61"/>
        <v>864.41</v>
      </c>
      <c r="V791" s="72">
        <f t="shared" si="64"/>
        <v>-7221.19</v>
      </c>
      <c r="W791" s="72">
        <f>D_Emprunts!$U791-D_Emprunts!$V791</f>
        <v>8085.5999999999995</v>
      </c>
      <c r="X791" s="73">
        <f>X790-D_Emprunts!$W791</f>
        <v>-2455903.6399999983</v>
      </c>
      <c r="Y791">
        <v>784</v>
      </c>
      <c r="Z791" t="str">
        <f t="shared" si="62"/>
        <v>Investissement</v>
      </c>
      <c r="AA791" t="str">
        <f t="shared" si="63"/>
        <v>travaux magasin</v>
      </c>
    </row>
    <row r="792" spans="20:27" x14ac:dyDescent="0.25">
      <c r="T792" s="68">
        <f t="shared" si="60"/>
        <v>67820</v>
      </c>
      <c r="U792" s="77">
        <f t="shared" si="61"/>
        <v>864.41</v>
      </c>
      <c r="V792" s="72">
        <f t="shared" si="64"/>
        <v>-7245.04</v>
      </c>
      <c r="W792" s="69">
        <f>D_Emprunts!$U792-D_Emprunts!$V792</f>
        <v>8109.45</v>
      </c>
      <c r="X792" s="70">
        <f>X791-D_Emprunts!$W792</f>
        <v>-2464013.0899999985</v>
      </c>
      <c r="Y792">
        <v>785</v>
      </c>
      <c r="Z792" t="str">
        <f t="shared" si="62"/>
        <v>Investissement</v>
      </c>
      <c r="AA792" t="str">
        <f t="shared" si="63"/>
        <v>travaux magasin</v>
      </c>
    </row>
    <row r="793" spans="20:27" x14ac:dyDescent="0.25">
      <c r="T793" s="71">
        <f t="shared" si="60"/>
        <v>67850</v>
      </c>
      <c r="U793" s="77">
        <f t="shared" si="61"/>
        <v>864.41</v>
      </c>
      <c r="V793" s="72">
        <f t="shared" si="64"/>
        <v>-7268.96</v>
      </c>
      <c r="W793" s="72">
        <f>D_Emprunts!$U793-D_Emprunts!$V793</f>
        <v>8133.37</v>
      </c>
      <c r="X793" s="73">
        <f>X792-D_Emprunts!$W793</f>
        <v>-2472146.4599999986</v>
      </c>
      <c r="Y793">
        <v>786</v>
      </c>
      <c r="Z793" t="str">
        <f t="shared" si="62"/>
        <v>Investissement</v>
      </c>
      <c r="AA793" t="str">
        <f t="shared" si="63"/>
        <v>travaux magasin</v>
      </c>
    </row>
    <row r="794" spans="20:27" x14ac:dyDescent="0.25">
      <c r="T794" s="68">
        <f t="shared" si="60"/>
        <v>67881</v>
      </c>
      <c r="U794" s="77">
        <f t="shared" si="61"/>
        <v>864.41</v>
      </c>
      <c r="V794" s="72">
        <f t="shared" si="64"/>
        <v>-7292.96</v>
      </c>
      <c r="W794" s="69">
        <f>D_Emprunts!$U794-D_Emprunts!$V794</f>
        <v>8157.37</v>
      </c>
      <c r="X794" s="70">
        <f>X793-D_Emprunts!$W794</f>
        <v>-2480303.8299999987</v>
      </c>
      <c r="Y794">
        <v>787</v>
      </c>
      <c r="Z794" t="str">
        <f t="shared" si="62"/>
        <v>Investissement</v>
      </c>
      <c r="AA794" t="str">
        <f t="shared" si="63"/>
        <v>travaux magasin</v>
      </c>
    </row>
    <row r="795" spans="20:27" x14ac:dyDescent="0.25">
      <c r="T795" s="71">
        <f t="shared" si="60"/>
        <v>67911</v>
      </c>
      <c r="U795" s="77">
        <f t="shared" si="61"/>
        <v>864.41</v>
      </c>
      <c r="V795" s="72">
        <f t="shared" si="64"/>
        <v>-7317.02</v>
      </c>
      <c r="W795" s="72">
        <f>D_Emprunts!$U795-D_Emprunts!$V795</f>
        <v>8181.43</v>
      </c>
      <c r="X795" s="73">
        <f>X794-D_Emprunts!$W795</f>
        <v>-2488485.2599999988</v>
      </c>
      <c r="Y795">
        <v>788</v>
      </c>
      <c r="Z795" t="str">
        <f t="shared" si="62"/>
        <v>Investissement</v>
      </c>
      <c r="AA795" t="str">
        <f t="shared" si="63"/>
        <v>travaux magasin</v>
      </c>
    </row>
    <row r="796" spans="20:27" x14ac:dyDescent="0.25">
      <c r="T796" s="68">
        <f t="shared" si="60"/>
        <v>67942</v>
      </c>
      <c r="U796" s="77">
        <f t="shared" si="61"/>
        <v>864.41</v>
      </c>
      <c r="V796" s="72">
        <f t="shared" si="64"/>
        <v>-7341.16</v>
      </c>
      <c r="W796" s="69">
        <f>D_Emprunts!$U796-D_Emprunts!$V796</f>
        <v>8205.57</v>
      </c>
      <c r="X796" s="70">
        <f>X795-D_Emprunts!$W796</f>
        <v>-2496690.8299999987</v>
      </c>
      <c r="Y796">
        <v>789</v>
      </c>
      <c r="Z796" t="str">
        <f t="shared" si="62"/>
        <v>Investissement</v>
      </c>
      <c r="AA796" t="str">
        <f t="shared" si="63"/>
        <v>travaux magasin</v>
      </c>
    </row>
    <row r="797" spans="20:27" x14ac:dyDescent="0.25">
      <c r="T797" s="71">
        <f t="shared" si="60"/>
        <v>67973</v>
      </c>
      <c r="U797" s="77">
        <f t="shared" si="61"/>
        <v>864.41</v>
      </c>
      <c r="V797" s="72">
        <f t="shared" si="64"/>
        <v>-7365.37</v>
      </c>
      <c r="W797" s="72">
        <f>D_Emprunts!$U797-D_Emprunts!$V797</f>
        <v>8229.7800000000007</v>
      </c>
      <c r="X797" s="73">
        <f>X796-D_Emprunts!$W797</f>
        <v>-2504920.6099999985</v>
      </c>
      <c r="Y797">
        <v>790</v>
      </c>
      <c r="Z797" t="str">
        <f t="shared" si="62"/>
        <v>Investissement</v>
      </c>
      <c r="AA797" t="str">
        <f t="shared" si="63"/>
        <v>travaux magasin</v>
      </c>
    </row>
    <row r="798" spans="20:27" x14ac:dyDescent="0.25">
      <c r="T798" s="68">
        <f t="shared" si="60"/>
        <v>68001</v>
      </c>
      <c r="U798" s="77">
        <f t="shared" si="61"/>
        <v>864.41</v>
      </c>
      <c r="V798" s="72">
        <f t="shared" si="64"/>
        <v>-7389.64</v>
      </c>
      <c r="W798" s="69">
        <f>D_Emprunts!$U798-D_Emprunts!$V798</f>
        <v>8254.0500000000011</v>
      </c>
      <c r="X798" s="70">
        <f>X797-D_Emprunts!$W798</f>
        <v>-2513174.6599999983</v>
      </c>
      <c r="Y798">
        <v>791</v>
      </c>
      <c r="Z798" t="str">
        <f t="shared" si="62"/>
        <v>Investissement</v>
      </c>
      <c r="AA798" t="str">
        <f t="shared" si="63"/>
        <v>travaux magasin</v>
      </c>
    </row>
    <row r="799" spans="20:27" x14ac:dyDescent="0.25">
      <c r="T799" s="71">
        <f t="shared" si="60"/>
        <v>68032</v>
      </c>
      <c r="U799" s="77">
        <f t="shared" si="61"/>
        <v>864.41</v>
      </c>
      <c r="V799" s="72">
        <f t="shared" si="64"/>
        <v>-7413.99</v>
      </c>
      <c r="W799" s="72">
        <f>D_Emprunts!$U799-D_Emprunts!$V799</f>
        <v>8278.4</v>
      </c>
      <c r="X799" s="73">
        <f>X798-D_Emprunts!$W799</f>
        <v>-2521453.0599999982</v>
      </c>
      <c r="Y799">
        <v>792</v>
      </c>
      <c r="Z799" t="str">
        <f t="shared" si="62"/>
        <v>Investissement</v>
      </c>
      <c r="AA799" t="str">
        <f t="shared" si="63"/>
        <v>travaux magasin</v>
      </c>
    </row>
    <row r="800" spans="20:27" x14ac:dyDescent="0.25">
      <c r="T800" s="68">
        <f t="shared" si="60"/>
        <v>68062</v>
      </c>
      <c r="U800" s="77">
        <f t="shared" si="61"/>
        <v>864.41</v>
      </c>
      <c r="V800" s="72">
        <f t="shared" si="64"/>
        <v>-7438.42</v>
      </c>
      <c r="W800" s="69">
        <f>D_Emprunts!$U800-D_Emprunts!$V800</f>
        <v>8302.83</v>
      </c>
      <c r="X800" s="70">
        <f>X799-D_Emprunts!$W800</f>
        <v>-2529755.8899999983</v>
      </c>
      <c r="Y800">
        <v>793</v>
      </c>
      <c r="Z800" t="str">
        <f t="shared" si="62"/>
        <v>Investissement</v>
      </c>
      <c r="AA800" t="str">
        <f t="shared" si="63"/>
        <v>travaux magasin</v>
      </c>
    </row>
    <row r="801" spans="20:27" x14ac:dyDescent="0.25">
      <c r="T801" s="71">
        <f t="shared" si="60"/>
        <v>68093</v>
      </c>
      <c r="U801" s="77">
        <f t="shared" si="61"/>
        <v>864.41</v>
      </c>
      <c r="V801" s="72">
        <f t="shared" si="64"/>
        <v>-7462.91</v>
      </c>
      <c r="W801" s="72">
        <f>D_Emprunts!$U801-D_Emprunts!$V801</f>
        <v>8327.32</v>
      </c>
      <c r="X801" s="73">
        <f>X800-D_Emprunts!$W801</f>
        <v>-2538083.2099999981</v>
      </c>
      <c r="Y801">
        <v>794</v>
      </c>
      <c r="Z801" t="str">
        <f t="shared" si="62"/>
        <v>Investissement</v>
      </c>
      <c r="AA801" t="str">
        <f t="shared" si="63"/>
        <v>travaux magasin</v>
      </c>
    </row>
    <row r="802" spans="20:27" x14ac:dyDescent="0.25">
      <c r="T802" s="68">
        <f t="shared" si="60"/>
        <v>68123</v>
      </c>
      <c r="U802" s="77">
        <f t="shared" si="61"/>
        <v>864.41</v>
      </c>
      <c r="V802" s="72">
        <f t="shared" si="64"/>
        <v>-7487.48</v>
      </c>
      <c r="W802" s="69">
        <f>D_Emprunts!$U802-D_Emprunts!$V802</f>
        <v>8351.89</v>
      </c>
      <c r="X802" s="70">
        <f>X801-D_Emprunts!$W802</f>
        <v>-2546435.0999999982</v>
      </c>
      <c r="Y802">
        <v>795</v>
      </c>
      <c r="Z802" t="str">
        <f t="shared" si="62"/>
        <v>Investissement</v>
      </c>
      <c r="AA802" t="str">
        <f t="shared" si="63"/>
        <v>travaux magasin</v>
      </c>
    </row>
    <row r="803" spans="20:27" x14ac:dyDescent="0.25">
      <c r="T803" s="71">
        <f t="shared" si="60"/>
        <v>68154</v>
      </c>
      <c r="U803" s="77">
        <f t="shared" si="61"/>
        <v>864.41</v>
      </c>
      <c r="V803" s="72">
        <f t="shared" si="64"/>
        <v>-7512.11</v>
      </c>
      <c r="W803" s="72">
        <f>D_Emprunts!$U803-D_Emprunts!$V803</f>
        <v>8376.52</v>
      </c>
      <c r="X803" s="73">
        <f>X802-D_Emprunts!$W803</f>
        <v>-2554811.6199999982</v>
      </c>
      <c r="Y803">
        <v>796</v>
      </c>
      <c r="Z803" t="str">
        <f t="shared" si="62"/>
        <v>Investissement</v>
      </c>
      <c r="AA803" t="str">
        <f t="shared" si="63"/>
        <v>travaux magasin</v>
      </c>
    </row>
    <row r="804" spans="20:27" x14ac:dyDescent="0.25">
      <c r="T804" s="68">
        <f t="shared" si="60"/>
        <v>68185</v>
      </c>
      <c r="U804" s="77">
        <f t="shared" si="61"/>
        <v>864.41</v>
      </c>
      <c r="V804" s="72">
        <f t="shared" si="64"/>
        <v>-7536.82</v>
      </c>
      <c r="W804" s="69">
        <f>D_Emprunts!$U804-D_Emprunts!$V804</f>
        <v>8401.23</v>
      </c>
      <c r="X804" s="70">
        <f>X803-D_Emprunts!$W804</f>
        <v>-2563212.8499999982</v>
      </c>
      <c r="Y804">
        <v>797</v>
      </c>
      <c r="Z804" t="str">
        <f t="shared" si="62"/>
        <v>Investissement</v>
      </c>
      <c r="AA804" t="str">
        <f t="shared" si="63"/>
        <v>travaux magasin</v>
      </c>
    </row>
    <row r="805" spans="20:27" x14ac:dyDescent="0.25">
      <c r="T805" s="71">
        <f t="shared" si="60"/>
        <v>68215</v>
      </c>
      <c r="U805" s="77">
        <f t="shared" si="61"/>
        <v>864.41</v>
      </c>
      <c r="V805" s="72">
        <f t="shared" si="64"/>
        <v>-7561.61</v>
      </c>
      <c r="W805" s="72">
        <f>D_Emprunts!$U805-D_Emprunts!$V805</f>
        <v>8426.02</v>
      </c>
      <c r="X805" s="73">
        <f>X804-D_Emprunts!$W805</f>
        <v>-2571638.8699999982</v>
      </c>
      <c r="Y805">
        <v>798</v>
      </c>
      <c r="Z805" t="str">
        <f t="shared" si="62"/>
        <v>Investissement</v>
      </c>
      <c r="AA805" t="str">
        <f t="shared" si="63"/>
        <v>travaux magasin</v>
      </c>
    </row>
    <row r="806" spans="20:27" x14ac:dyDescent="0.25">
      <c r="T806" s="68">
        <f t="shared" si="60"/>
        <v>68246</v>
      </c>
      <c r="U806" s="77">
        <f t="shared" si="61"/>
        <v>864.41</v>
      </c>
      <c r="V806" s="72">
        <f t="shared" si="64"/>
        <v>-7586.47</v>
      </c>
      <c r="W806" s="69">
        <f>D_Emprunts!$U806-D_Emprunts!$V806</f>
        <v>8450.880000000001</v>
      </c>
      <c r="X806" s="70">
        <f>X805-D_Emprunts!$W806</f>
        <v>-2580089.7499999981</v>
      </c>
      <c r="Y806">
        <v>799</v>
      </c>
      <c r="Z806" t="str">
        <f t="shared" si="62"/>
        <v>Investissement</v>
      </c>
      <c r="AA806" t="str">
        <f t="shared" si="63"/>
        <v>travaux magasin</v>
      </c>
    </row>
    <row r="807" spans="20:27" x14ac:dyDescent="0.25">
      <c r="T807" s="71">
        <f t="shared" si="60"/>
        <v>68276</v>
      </c>
      <c r="U807" s="77">
        <f t="shared" si="61"/>
        <v>864.41</v>
      </c>
      <c r="V807" s="72">
        <f t="shared" si="64"/>
        <v>-7611.4</v>
      </c>
      <c r="W807" s="72">
        <f>D_Emprunts!$U807-D_Emprunts!$V807</f>
        <v>8475.81</v>
      </c>
      <c r="X807" s="73">
        <f>X806-D_Emprunts!$W807</f>
        <v>-2588565.5599999982</v>
      </c>
      <c r="Y807">
        <v>800</v>
      </c>
      <c r="Z807" t="str">
        <f t="shared" si="62"/>
        <v>Investissement</v>
      </c>
      <c r="AA807" t="str">
        <f t="shared" si="63"/>
        <v>travaux magasin</v>
      </c>
    </row>
    <row r="808" spans="20:27" x14ac:dyDescent="0.25">
      <c r="T808" s="68">
        <f t="shared" si="60"/>
        <v>68307</v>
      </c>
      <c r="U808" s="77">
        <f t="shared" si="61"/>
        <v>864.41</v>
      </c>
      <c r="V808" s="72">
        <f t="shared" si="64"/>
        <v>-7636.4</v>
      </c>
      <c r="W808" s="69">
        <f>D_Emprunts!$U808-D_Emprunts!$V808</f>
        <v>8500.81</v>
      </c>
      <c r="X808" s="70">
        <f>X807-D_Emprunts!$W808</f>
        <v>-2597066.3699999982</v>
      </c>
      <c r="Y808">
        <v>801</v>
      </c>
      <c r="Z808" t="str">
        <f t="shared" si="62"/>
        <v>Investissement</v>
      </c>
      <c r="AA808" t="str">
        <f t="shared" si="63"/>
        <v>travaux magasin</v>
      </c>
    </row>
    <row r="809" spans="20:27" x14ac:dyDescent="0.25">
      <c r="T809" s="71">
        <f t="shared" si="60"/>
        <v>68338</v>
      </c>
      <c r="U809" s="77">
        <f t="shared" si="61"/>
        <v>864.41</v>
      </c>
      <c r="V809" s="72">
        <f t="shared" si="64"/>
        <v>-7661.48</v>
      </c>
      <c r="W809" s="72">
        <f>D_Emprunts!$U809-D_Emprunts!$V809</f>
        <v>8525.89</v>
      </c>
      <c r="X809" s="73">
        <f>X808-D_Emprunts!$W809</f>
        <v>-2605592.2599999984</v>
      </c>
      <c r="Y809">
        <v>802</v>
      </c>
      <c r="Z809" t="str">
        <f t="shared" si="62"/>
        <v>Investissement</v>
      </c>
      <c r="AA809" t="str">
        <f t="shared" si="63"/>
        <v>travaux magasin</v>
      </c>
    </row>
    <row r="810" spans="20:27" x14ac:dyDescent="0.25">
      <c r="T810" s="68">
        <f t="shared" si="60"/>
        <v>68366</v>
      </c>
      <c r="U810" s="77">
        <f t="shared" si="61"/>
        <v>864.41</v>
      </c>
      <c r="V810" s="72">
        <f t="shared" si="64"/>
        <v>-7686.63</v>
      </c>
      <c r="W810" s="69">
        <f>D_Emprunts!$U810-D_Emprunts!$V810</f>
        <v>8551.0400000000009</v>
      </c>
      <c r="X810" s="70">
        <f>X809-D_Emprunts!$W810</f>
        <v>-2614143.2999999984</v>
      </c>
      <c r="Y810">
        <v>803</v>
      </c>
      <c r="Z810" t="str">
        <f t="shared" si="62"/>
        <v>Investissement</v>
      </c>
      <c r="AA810" t="str">
        <f t="shared" si="63"/>
        <v>travaux magasin</v>
      </c>
    </row>
    <row r="811" spans="20:27" x14ac:dyDescent="0.25">
      <c r="T811" s="71">
        <f t="shared" si="60"/>
        <v>68397</v>
      </c>
      <c r="U811" s="77">
        <f t="shared" si="61"/>
        <v>864.41</v>
      </c>
      <c r="V811" s="72">
        <f t="shared" si="64"/>
        <v>-7711.86</v>
      </c>
      <c r="W811" s="72">
        <f>D_Emprunts!$U811-D_Emprunts!$V811</f>
        <v>8576.27</v>
      </c>
      <c r="X811" s="73">
        <f>X810-D_Emprunts!$W811</f>
        <v>-2622719.5699999984</v>
      </c>
      <c r="Y811">
        <v>804</v>
      </c>
      <c r="Z811" t="str">
        <f t="shared" si="62"/>
        <v>Investissement</v>
      </c>
      <c r="AA811" t="str">
        <f t="shared" si="63"/>
        <v>travaux magasin</v>
      </c>
    </row>
    <row r="812" spans="20:27" x14ac:dyDescent="0.25">
      <c r="T812" s="68">
        <f t="shared" si="60"/>
        <v>68427</v>
      </c>
      <c r="U812" s="77">
        <f t="shared" si="61"/>
        <v>864.41</v>
      </c>
      <c r="V812" s="72">
        <f t="shared" si="64"/>
        <v>-7737.16</v>
      </c>
      <c r="W812" s="69">
        <f>D_Emprunts!$U812-D_Emprunts!$V812</f>
        <v>8601.57</v>
      </c>
      <c r="X812" s="70">
        <f>X811-D_Emprunts!$W812</f>
        <v>-2631321.1399999983</v>
      </c>
      <c r="Y812">
        <v>805</v>
      </c>
      <c r="Z812" t="str">
        <f t="shared" si="62"/>
        <v>Investissement</v>
      </c>
      <c r="AA812" t="str">
        <f t="shared" si="63"/>
        <v>travaux magasin</v>
      </c>
    </row>
    <row r="813" spans="20:27" x14ac:dyDescent="0.25">
      <c r="T813" s="71">
        <f t="shared" si="60"/>
        <v>68458</v>
      </c>
      <c r="U813" s="77">
        <f t="shared" si="61"/>
        <v>864.41</v>
      </c>
      <c r="V813" s="72">
        <f t="shared" si="64"/>
        <v>-7762.53</v>
      </c>
      <c r="W813" s="72">
        <f>D_Emprunts!$U813-D_Emprunts!$V813</f>
        <v>8626.94</v>
      </c>
      <c r="X813" s="73">
        <f>X812-D_Emprunts!$W813</f>
        <v>-2639948.0799999982</v>
      </c>
      <c r="Y813">
        <v>806</v>
      </c>
      <c r="Z813" t="str">
        <f t="shared" si="62"/>
        <v>Investissement</v>
      </c>
      <c r="AA813" t="str">
        <f t="shared" si="63"/>
        <v>travaux magasin</v>
      </c>
    </row>
    <row r="814" spans="20:27" x14ac:dyDescent="0.25">
      <c r="T814" s="68">
        <f t="shared" si="60"/>
        <v>68488</v>
      </c>
      <c r="U814" s="77">
        <f t="shared" si="61"/>
        <v>864.41</v>
      </c>
      <c r="V814" s="72">
        <f t="shared" si="64"/>
        <v>-7787.98</v>
      </c>
      <c r="W814" s="69">
        <f>D_Emprunts!$U814-D_Emprunts!$V814</f>
        <v>8652.39</v>
      </c>
      <c r="X814" s="70">
        <f>X813-D_Emprunts!$W814</f>
        <v>-2648600.4699999983</v>
      </c>
      <c r="Y814">
        <v>807</v>
      </c>
      <c r="Z814" t="str">
        <f t="shared" si="62"/>
        <v>Investissement</v>
      </c>
      <c r="AA814" t="str">
        <f t="shared" si="63"/>
        <v>travaux magasin</v>
      </c>
    </row>
    <row r="815" spans="20:27" x14ac:dyDescent="0.25">
      <c r="T815" s="71">
        <f t="shared" si="60"/>
        <v>68519</v>
      </c>
      <c r="U815" s="77">
        <f t="shared" si="61"/>
        <v>864.41</v>
      </c>
      <c r="V815" s="72">
        <f t="shared" si="64"/>
        <v>-7813.51</v>
      </c>
      <c r="W815" s="72">
        <f>D_Emprunts!$U815-D_Emprunts!$V815</f>
        <v>8677.92</v>
      </c>
      <c r="X815" s="73">
        <f>X814-D_Emprunts!$W815</f>
        <v>-2657278.3899999983</v>
      </c>
      <c r="Y815">
        <v>808</v>
      </c>
      <c r="Z815" t="str">
        <f t="shared" si="62"/>
        <v>Investissement</v>
      </c>
      <c r="AA815" t="str">
        <f t="shared" si="63"/>
        <v>travaux magasin</v>
      </c>
    </row>
    <row r="816" spans="20:27" x14ac:dyDescent="0.25">
      <c r="T816" s="68">
        <f t="shared" si="60"/>
        <v>68550</v>
      </c>
      <c r="U816" s="77">
        <f t="shared" si="61"/>
        <v>864.41</v>
      </c>
      <c r="V816" s="72">
        <f t="shared" si="64"/>
        <v>-7839.11</v>
      </c>
      <c r="W816" s="69">
        <f>D_Emprunts!$U816-D_Emprunts!$V816</f>
        <v>8703.52</v>
      </c>
      <c r="X816" s="70">
        <f>X815-D_Emprunts!$W816</f>
        <v>-2665981.9099999983</v>
      </c>
      <c r="Y816">
        <v>809</v>
      </c>
      <c r="Z816" t="str">
        <f t="shared" si="62"/>
        <v>Investissement</v>
      </c>
      <c r="AA816" t="str">
        <f t="shared" si="63"/>
        <v>travaux magasin</v>
      </c>
    </row>
    <row r="817" spans="20:27" x14ac:dyDescent="0.25">
      <c r="T817" s="71">
        <f t="shared" si="60"/>
        <v>68580</v>
      </c>
      <c r="U817" s="77">
        <f t="shared" si="61"/>
        <v>864.41</v>
      </c>
      <c r="V817" s="72">
        <f t="shared" si="64"/>
        <v>-7864.78</v>
      </c>
      <c r="W817" s="72">
        <f>D_Emprunts!$U817-D_Emprunts!$V817</f>
        <v>8729.19</v>
      </c>
      <c r="X817" s="73">
        <f>X816-D_Emprunts!$W817</f>
        <v>-2674711.0999999982</v>
      </c>
      <c r="Y817">
        <v>810</v>
      </c>
      <c r="Z817" t="str">
        <f t="shared" si="62"/>
        <v>Investissement</v>
      </c>
      <c r="AA817" t="str">
        <f t="shared" si="63"/>
        <v>travaux magasin</v>
      </c>
    </row>
    <row r="818" spans="20:27" x14ac:dyDescent="0.25">
      <c r="T818" s="68">
        <f t="shared" si="60"/>
        <v>68611</v>
      </c>
      <c r="U818" s="77">
        <f t="shared" si="61"/>
        <v>864.41</v>
      </c>
      <c r="V818" s="72">
        <f t="shared" si="64"/>
        <v>-7890.53</v>
      </c>
      <c r="W818" s="69">
        <f>D_Emprunts!$U818-D_Emprunts!$V818</f>
        <v>8754.94</v>
      </c>
      <c r="X818" s="70">
        <f>X817-D_Emprunts!$W818</f>
        <v>-2683466.0399999982</v>
      </c>
      <c r="Y818">
        <v>811</v>
      </c>
      <c r="Z818" t="str">
        <f t="shared" si="62"/>
        <v>Investissement</v>
      </c>
      <c r="AA818" t="str">
        <f t="shared" si="63"/>
        <v>travaux magasin</v>
      </c>
    </row>
    <row r="819" spans="20:27" x14ac:dyDescent="0.25">
      <c r="T819" s="71">
        <f t="shared" si="60"/>
        <v>68641</v>
      </c>
      <c r="U819" s="77">
        <f t="shared" si="61"/>
        <v>864.41</v>
      </c>
      <c r="V819" s="72">
        <f t="shared" si="64"/>
        <v>-7916.36</v>
      </c>
      <c r="W819" s="72">
        <f>D_Emprunts!$U819-D_Emprunts!$V819</f>
        <v>8780.77</v>
      </c>
      <c r="X819" s="73">
        <f>X818-D_Emprunts!$W819</f>
        <v>-2692246.8099999982</v>
      </c>
      <c r="Y819">
        <v>812</v>
      </c>
      <c r="Z819" t="str">
        <f t="shared" si="62"/>
        <v>Investissement</v>
      </c>
      <c r="AA819" t="str">
        <f t="shared" si="63"/>
        <v>travaux magasin</v>
      </c>
    </row>
    <row r="820" spans="20:27" x14ac:dyDescent="0.25">
      <c r="T820" s="68">
        <f t="shared" si="60"/>
        <v>68672</v>
      </c>
      <c r="U820" s="77">
        <f t="shared" si="61"/>
        <v>864.41</v>
      </c>
      <c r="V820" s="72">
        <f t="shared" si="64"/>
        <v>-7942.27</v>
      </c>
      <c r="W820" s="69">
        <f>D_Emprunts!$U820-D_Emprunts!$V820</f>
        <v>8806.68</v>
      </c>
      <c r="X820" s="70">
        <f>X819-D_Emprunts!$W820</f>
        <v>-2701053.4899999984</v>
      </c>
      <c r="Y820">
        <v>813</v>
      </c>
      <c r="Z820" t="str">
        <f t="shared" si="62"/>
        <v>Investissement</v>
      </c>
      <c r="AA820" t="str">
        <f t="shared" si="63"/>
        <v>travaux magasin</v>
      </c>
    </row>
    <row r="821" spans="20:27" x14ac:dyDescent="0.25">
      <c r="T821" s="71">
        <f t="shared" si="60"/>
        <v>68703</v>
      </c>
      <c r="U821" s="77">
        <f t="shared" si="61"/>
        <v>864.41</v>
      </c>
      <c r="V821" s="72">
        <f t="shared" si="64"/>
        <v>-7968.25</v>
      </c>
      <c r="W821" s="72">
        <f>D_Emprunts!$U821-D_Emprunts!$V821</f>
        <v>8832.66</v>
      </c>
      <c r="X821" s="73">
        <f>X820-D_Emprunts!$W821</f>
        <v>-2709886.1499999985</v>
      </c>
      <c r="Y821">
        <v>814</v>
      </c>
      <c r="Z821" t="str">
        <f t="shared" si="62"/>
        <v>Investissement</v>
      </c>
      <c r="AA821" t="str">
        <f t="shared" si="63"/>
        <v>travaux magasin</v>
      </c>
    </row>
    <row r="822" spans="20:27" x14ac:dyDescent="0.25">
      <c r="T822" s="68">
        <f t="shared" si="60"/>
        <v>68732</v>
      </c>
      <c r="U822" s="77">
        <f t="shared" si="61"/>
        <v>864.41</v>
      </c>
      <c r="V822" s="72">
        <f t="shared" si="64"/>
        <v>-7994.3</v>
      </c>
      <c r="W822" s="69">
        <f>D_Emprunts!$U822-D_Emprunts!$V822</f>
        <v>8858.7100000000009</v>
      </c>
      <c r="X822" s="70">
        <f>X821-D_Emprunts!$W822</f>
        <v>-2718744.8599999985</v>
      </c>
      <c r="Y822">
        <v>815</v>
      </c>
      <c r="Z822" t="str">
        <f t="shared" si="62"/>
        <v>Investissement</v>
      </c>
      <c r="AA822" t="str">
        <f t="shared" si="63"/>
        <v>travaux magasin</v>
      </c>
    </row>
    <row r="823" spans="20:27" x14ac:dyDescent="0.25">
      <c r="T823" s="71">
        <f t="shared" si="60"/>
        <v>68763</v>
      </c>
      <c r="U823" s="77">
        <f t="shared" si="61"/>
        <v>864.41</v>
      </c>
      <c r="V823" s="72">
        <f t="shared" si="64"/>
        <v>-8020.44</v>
      </c>
      <c r="W823" s="72">
        <f>D_Emprunts!$U823-D_Emprunts!$V823</f>
        <v>8884.85</v>
      </c>
      <c r="X823" s="73">
        <f>X822-D_Emprunts!$W823</f>
        <v>-2727629.7099999986</v>
      </c>
      <c r="Y823">
        <v>816</v>
      </c>
      <c r="Z823" t="str">
        <f t="shared" si="62"/>
        <v>Investissement</v>
      </c>
      <c r="AA823" t="str">
        <f t="shared" si="63"/>
        <v>travaux magasin</v>
      </c>
    </row>
    <row r="824" spans="20:27" x14ac:dyDescent="0.25">
      <c r="T824" s="68">
        <f t="shared" si="60"/>
        <v>68793</v>
      </c>
      <c r="U824" s="77">
        <f t="shared" si="61"/>
        <v>864.41</v>
      </c>
      <c r="V824" s="72">
        <f t="shared" si="64"/>
        <v>-8046.65</v>
      </c>
      <c r="W824" s="69">
        <f>D_Emprunts!$U824-D_Emprunts!$V824</f>
        <v>8911.06</v>
      </c>
      <c r="X824" s="70">
        <f>X823-D_Emprunts!$W824</f>
        <v>-2736540.7699999986</v>
      </c>
      <c r="Y824">
        <v>817</v>
      </c>
      <c r="Z824" t="str">
        <f t="shared" si="62"/>
        <v>Investissement</v>
      </c>
      <c r="AA824" t="str">
        <f t="shared" si="63"/>
        <v>travaux magasin</v>
      </c>
    </row>
    <row r="825" spans="20:27" x14ac:dyDescent="0.25">
      <c r="T825" s="71">
        <f t="shared" si="60"/>
        <v>68824</v>
      </c>
      <c r="U825" s="77">
        <f t="shared" si="61"/>
        <v>864.41</v>
      </c>
      <c r="V825" s="72">
        <f t="shared" si="64"/>
        <v>-8072.94</v>
      </c>
      <c r="W825" s="72">
        <f>D_Emprunts!$U825-D_Emprunts!$V825</f>
        <v>8937.35</v>
      </c>
      <c r="X825" s="73">
        <f>X824-D_Emprunts!$W825</f>
        <v>-2745478.1199999987</v>
      </c>
      <c r="Y825">
        <v>818</v>
      </c>
      <c r="Z825" t="str">
        <f t="shared" si="62"/>
        <v>Investissement</v>
      </c>
      <c r="AA825" t="str">
        <f t="shared" si="63"/>
        <v>travaux magasin</v>
      </c>
    </row>
    <row r="826" spans="20:27" x14ac:dyDescent="0.25">
      <c r="T826" s="68">
        <f t="shared" si="60"/>
        <v>68854</v>
      </c>
      <c r="U826" s="77">
        <f t="shared" si="61"/>
        <v>864.41</v>
      </c>
      <c r="V826" s="72">
        <f t="shared" si="64"/>
        <v>-8099.3</v>
      </c>
      <c r="W826" s="69">
        <f>D_Emprunts!$U826-D_Emprunts!$V826</f>
        <v>8963.7100000000009</v>
      </c>
      <c r="X826" s="70">
        <f>X825-D_Emprunts!$W826</f>
        <v>-2754441.8299999987</v>
      </c>
      <c r="Y826">
        <v>819</v>
      </c>
      <c r="Z826" t="str">
        <f t="shared" si="62"/>
        <v>Investissement</v>
      </c>
      <c r="AA826" t="str">
        <f t="shared" si="63"/>
        <v>travaux magasin</v>
      </c>
    </row>
    <row r="827" spans="20:27" x14ac:dyDescent="0.25">
      <c r="T827" s="71">
        <f t="shared" si="60"/>
        <v>68885</v>
      </c>
      <c r="U827" s="77">
        <f t="shared" si="61"/>
        <v>864.41</v>
      </c>
      <c r="V827" s="72">
        <f t="shared" si="64"/>
        <v>-8125.74</v>
      </c>
      <c r="W827" s="72">
        <f>D_Emprunts!$U827-D_Emprunts!$V827</f>
        <v>8990.15</v>
      </c>
      <c r="X827" s="73">
        <f>X826-D_Emprunts!$W827</f>
        <v>-2763431.9799999986</v>
      </c>
      <c r="Y827">
        <v>820</v>
      </c>
      <c r="Z827" t="str">
        <f t="shared" si="62"/>
        <v>Investissement</v>
      </c>
      <c r="AA827" t="str">
        <f t="shared" si="63"/>
        <v>travaux magasin</v>
      </c>
    </row>
    <row r="828" spans="20:27" x14ac:dyDescent="0.25">
      <c r="T828" s="68">
        <f t="shared" si="60"/>
        <v>68916</v>
      </c>
      <c r="U828" s="77">
        <f t="shared" si="61"/>
        <v>864.41</v>
      </c>
      <c r="V828" s="72">
        <f t="shared" si="64"/>
        <v>-8152.27</v>
      </c>
      <c r="W828" s="69">
        <f>D_Emprunts!$U828-D_Emprunts!$V828</f>
        <v>9016.68</v>
      </c>
      <c r="X828" s="70">
        <f>X827-D_Emprunts!$W828</f>
        <v>-2772448.6599999988</v>
      </c>
      <c r="Y828">
        <v>821</v>
      </c>
      <c r="Z828" t="str">
        <f t="shared" si="62"/>
        <v>Investissement</v>
      </c>
      <c r="AA828" t="str">
        <f t="shared" si="63"/>
        <v>travaux magasin</v>
      </c>
    </row>
    <row r="829" spans="20:27" x14ac:dyDescent="0.25">
      <c r="T829" s="71">
        <f t="shared" si="60"/>
        <v>68946</v>
      </c>
      <c r="U829" s="77">
        <f t="shared" si="61"/>
        <v>864.41</v>
      </c>
      <c r="V829" s="72">
        <f t="shared" si="64"/>
        <v>-8178.87</v>
      </c>
      <c r="W829" s="72">
        <f>D_Emprunts!$U829-D_Emprunts!$V829</f>
        <v>9043.2800000000007</v>
      </c>
      <c r="X829" s="73">
        <f>X828-D_Emprunts!$W829</f>
        <v>-2781491.9399999985</v>
      </c>
      <c r="Y829">
        <v>822</v>
      </c>
      <c r="Z829" t="str">
        <f t="shared" si="62"/>
        <v>Investissement</v>
      </c>
      <c r="AA829" t="str">
        <f t="shared" si="63"/>
        <v>travaux magasin</v>
      </c>
    </row>
    <row r="830" spans="20:27" x14ac:dyDescent="0.25">
      <c r="T830" s="68">
        <f t="shared" si="60"/>
        <v>68977</v>
      </c>
      <c r="U830" s="77">
        <f t="shared" si="61"/>
        <v>864.41</v>
      </c>
      <c r="V830" s="72">
        <f t="shared" si="64"/>
        <v>-8205.5400000000009</v>
      </c>
      <c r="W830" s="69">
        <f>D_Emprunts!$U830-D_Emprunts!$V830</f>
        <v>9069.9500000000007</v>
      </c>
      <c r="X830" s="70">
        <f>X829-D_Emprunts!$W830</f>
        <v>-2790561.8899999987</v>
      </c>
      <c r="Y830">
        <v>823</v>
      </c>
      <c r="Z830" t="str">
        <f t="shared" si="62"/>
        <v>Investissement</v>
      </c>
      <c r="AA830" t="str">
        <f t="shared" si="63"/>
        <v>travaux magasin</v>
      </c>
    </row>
    <row r="831" spans="20:27" x14ac:dyDescent="0.25">
      <c r="T831" s="71">
        <f t="shared" si="60"/>
        <v>69007</v>
      </c>
      <c r="U831" s="77">
        <f t="shared" si="61"/>
        <v>864.41</v>
      </c>
      <c r="V831" s="72">
        <f t="shared" si="64"/>
        <v>-8232.2999999999993</v>
      </c>
      <c r="W831" s="72">
        <f>D_Emprunts!$U831-D_Emprunts!$V831</f>
        <v>9096.7099999999991</v>
      </c>
      <c r="X831" s="73">
        <f>X830-D_Emprunts!$W831</f>
        <v>-2799658.5999999987</v>
      </c>
      <c r="Y831">
        <v>824</v>
      </c>
      <c r="Z831" t="str">
        <f t="shared" si="62"/>
        <v>Investissement</v>
      </c>
      <c r="AA831" t="str">
        <f t="shared" si="63"/>
        <v>travaux magasin</v>
      </c>
    </row>
    <row r="832" spans="20:27" x14ac:dyDescent="0.25">
      <c r="T832" s="68">
        <f t="shared" si="60"/>
        <v>69038</v>
      </c>
      <c r="U832" s="77">
        <f t="shared" si="61"/>
        <v>864.41</v>
      </c>
      <c r="V832" s="72">
        <f t="shared" si="64"/>
        <v>-8259.14</v>
      </c>
      <c r="W832" s="69">
        <f>D_Emprunts!$U832-D_Emprunts!$V832</f>
        <v>9123.5499999999993</v>
      </c>
      <c r="X832" s="70">
        <f>X831-D_Emprunts!$W832</f>
        <v>-2808782.1499999985</v>
      </c>
      <c r="Y832">
        <v>825</v>
      </c>
      <c r="Z832" t="str">
        <f t="shared" si="62"/>
        <v>Investissement</v>
      </c>
      <c r="AA832" t="str">
        <f t="shared" si="63"/>
        <v>travaux magasin</v>
      </c>
    </row>
    <row r="833" spans="20:27" x14ac:dyDescent="0.25">
      <c r="T833" s="71">
        <f t="shared" si="60"/>
        <v>69069</v>
      </c>
      <c r="U833" s="77">
        <f t="shared" si="61"/>
        <v>864.41</v>
      </c>
      <c r="V833" s="72">
        <f t="shared" si="64"/>
        <v>-8286.0499999999993</v>
      </c>
      <c r="W833" s="72">
        <f>D_Emprunts!$U833-D_Emprunts!$V833</f>
        <v>9150.4599999999991</v>
      </c>
      <c r="X833" s="73">
        <f>X832-D_Emprunts!$W833</f>
        <v>-2817932.6099999985</v>
      </c>
      <c r="Y833">
        <v>826</v>
      </c>
      <c r="Z833" t="str">
        <f t="shared" si="62"/>
        <v>Investissement</v>
      </c>
      <c r="AA833" t="str">
        <f t="shared" si="63"/>
        <v>travaux magasin</v>
      </c>
    </row>
    <row r="834" spans="20:27" x14ac:dyDescent="0.25">
      <c r="T834" s="68">
        <f t="shared" si="60"/>
        <v>69097</v>
      </c>
      <c r="U834" s="77">
        <f t="shared" si="61"/>
        <v>864.41</v>
      </c>
      <c r="V834" s="72">
        <f t="shared" si="64"/>
        <v>-8313.0499999999993</v>
      </c>
      <c r="W834" s="69">
        <f>D_Emprunts!$U834-D_Emprunts!$V834</f>
        <v>9177.4599999999991</v>
      </c>
      <c r="X834" s="70">
        <f>X833-D_Emprunts!$W834</f>
        <v>-2827110.0699999984</v>
      </c>
      <c r="Y834">
        <v>827</v>
      </c>
      <c r="Z834" t="str">
        <f t="shared" si="62"/>
        <v>Investissement</v>
      </c>
      <c r="AA834" t="str">
        <f t="shared" si="63"/>
        <v>travaux magasin</v>
      </c>
    </row>
    <row r="835" spans="20:27" x14ac:dyDescent="0.25">
      <c r="T835" s="71">
        <f t="shared" si="60"/>
        <v>69128</v>
      </c>
      <c r="U835" s="77">
        <f t="shared" si="61"/>
        <v>864.41</v>
      </c>
      <c r="V835" s="72">
        <f t="shared" si="64"/>
        <v>-8340.1200000000008</v>
      </c>
      <c r="W835" s="72">
        <f>D_Emprunts!$U835-D_Emprunts!$V835</f>
        <v>9204.5300000000007</v>
      </c>
      <c r="X835" s="73">
        <f>X834-D_Emprunts!$W835</f>
        <v>-2836314.5999999982</v>
      </c>
      <c r="Y835">
        <v>828</v>
      </c>
      <c r="Z835" t="str">
        <f t="shared" si="62"/>
        <v>Investissement</v>
      </c>
      <c r="AA835" t="str">
        <f t="shared" si="63"/>
        <v>travaux magasin</v>
      </c>
    </row>
    <row r="836" spans="20:27" x14ac:dyDescent="0.25">
      <c r="T836" s="68">
        <f t="shared" si="60"/>
        <v>69158</v>
      </c>
      <c r="U836" s="77">
        <f t="shared" si="61"/>
        <v>864.41</v>
      </c>
      <c r="V836" s="72">
        <f t="shared" si="64"/>
        <v>-8367.27</v>
      </c>
      <c r="W836" s="69">
        <f>D_Emprunts!$U836-D_Emprunts!$V836</f>
        <v>9231.68</v>
      </c>
      <c r="X836" s="70">
        <f>X835-D_Emprunts!$W836</f>
        <v>-2845546.2799999984</v>
      </c>
      <c r="Y836">
        <v>829</v>
      </c>
      <c r="Z836" t="str">
        <f t="shared" si="62"/>
        <v>Investissement</v>
      </c>
      <c r="AA836" t="str">
        <f t="shared" si="63"/>
        <v>travaux magasin</v>
      </c>
    </row>
    <row r="837" spans="20:27" x14ac:dyDescent="0.25">
      <c r="T837" s="71">
        <f t="shared" si="60"/>
        <v>69189</v>
      </c>
      <c r="U837" s="77">
        <f t="shared" si="61"/>
        <v>864.41</v>
      </c>
      <c r="V837" s="72">
        <f t="shared" si="64"/>
        <v>-8394.51</v>
      </c>
      <c r="W837" s="72">
        <f>D_Emprunts!$U837-D_Emprunts!$V837</f>
        <v>9258.92</v>
      </c>
      <c r="X837" s="73">
        <f>X836-D_Emprunts!$W837</f>
        <v>-2854805.1999999983</v>
      </c>
      <c r="Y837">
        <v>830</v>
      </c>
      <c r="Z837" t="str">
        <f t="shared" si="62"/>
        <v>Investissement</v>
      </c>
      <c r="AA837" t="str">
        <f t="shared" si="63"/>
        <v>travaux magasin</v>
      </c>
    </row>
    <row r="838" spans="20:27" x14ac:dyDescent="0.25">
      <c r="T838" s="68">
        <f t="shared" si="60"/>
        <v>69219</v>
      </c>
      <c r="U838" s="77">
        <f t="shared" si="61"/>
        <v>864.41</v>
      </c>
      <c r="V838" s="72">
        <f t="shared" si="64"/>
        <v>-8421.82</v>
      </c>
      <c r="W838" s="69">
        <f>D_Emprunts!$U838-D_Emprunts!$V838</f>
        <v>9286.23</v>
      </c>
      <c r="X838" s="70">
        <f>X837-D_Emprunts!$W838</f>
        <v>-2864091.4299999983</v>
      </c>
      <c r="Y838">
        <v>831</v>
      </c>
      <c r="Z838" t="str">
        <f t="shared" si="62"/>
        <v>Investissement</v>
      </c>
      <c r="AA838" t="str">
        <f t="shared" si="63"/>
        <v>travaux magasin</v>
      </c>
    </row>
    <row r="839" spans="20:27" x14ac:dyDescent="0.25">
      <c r="T839" s="71">
        <f t="shared" si="60"/>
        <v>69250</v>
      </c>
      <c r="U839" s="77">
        <f t="shared" si="61"/>
        <v>864.41</v>
      </c>
      <c r="V839" s="72">
        <f t="shared" si="64"/>
        <v>-8449.2199999999993</v>
      </c>
      <c r="W839" s="72">
        <f>D_Emprunts!$U839-D_Emprunts!$V839</f>
        <v>9313.6299999999992</v>
      </c>
      <c r="X839" s="73">
        <f>X838-D_Emprunts!$W839</f>
        <v>-2873405.0599999982</v>
      </c>
      <c r="Y839">
        <v>832</v>
      </c>
      <c r="Z839" t="str">
        <f t="shared" si="62"/>
        <v>Investissement</v>
      </c>
      <c r="AA839" t="str">
        <f t="shared" si="63"/>
        <v>travaux magasin</v>
      </c>
    </row>
    <row r="840" spans="20:27" x14ac:dyDescent="0.25">
      <c r="T840" s="68">
        <f t="shared" ref="T840:T903" si="65">EDATE(T839,1)</f>
        <v>69281</v>
      </c>
      <c r="U840" s="77">
        <f t="shared" si="61"/>
        <v>864.41</v>
      </c>
      <c r="V840" s="72">
        <f t="shared" si="64"/>
        <v>-8476.69</v>
      </c>
      <c r="W840" s="69">
        <f>D_Emprunts!$U840-D_Emprunts!$V840</f>
        <v>9341.1</v>
      </c>
      <c r="X840" s="70">
        <f>X839-D_Emprunts!$W840</f>
        <v>-2882746.1599999983</v>
      </c>
      <c r="Y840">
        <v>833</v>
      </c>
      <c r="Z840" t="str">
        <f t="shared" si="62"/>
        <v>Investissement</v>
      </c>
      <c r="AA840" t="str">
        <f t="shared" si="63"/>
        <v>travaux magasin</v>
      </c>
    </row>
    <row r="841" spans="20:27" x14ac:dyDescent="0.25">
      <c r="T841" s="71">
        <f t="shared" si="65"/>
        <v>69311</v>
      </c>
      <c r="U841" s="77">
        <f t="shared" ref="U841:U904" si="66">$X$4</f>
        <v>864.41</v>
      </c>
      <c r="V841" s="72">
        <f t="shared" si="64"/>
        <v>-8504.25</v>
      </c>
      <c r="W841" s="72">
        <f>D_Emprunts!$U841-D_Emprunts!$V841</f>
        <v>9368.66</v>
      </c>
      <c r="X841" s="73">
        <f>X840-D_Emprunts!$W841</f>
        <v>-2892114.8199999984</v>
      </c>
      <c r="Y841">
        <v>834</v>
      </c>
      <c r="Z841" t="str">
        <f t="shared" ref="Z841:Z904" si="67">$Y$4</f>
        <v>Investissement</v>
      </c>
      <c r="AA841" t="str">
        <f t="shared" ref="AA841:AA904" si="68">$Z$4</f>
        <v>travaux magasin</v>
      </c>
    </row>
    <row r="842" spans="20:27" x14ac:dyDescent="0.25">
      <c r="T842" s="68">
        <f t="shared" si="65"/>
        <v>69342</v>
      </c>
      <c r="U842" s="77">
        <f t="shared" si="66"/>
        <v>864.41</v>
      </c>
      <c r="V842" s="72">
        <f t="shared" ref="V842:V905" si="69">ROUND(X841*$V$4/12,2)</f>
        <v>-8531.89</v>
      </c>
      <c r="W842" s="69">
        <f>D_Emprunts!$U842-D_Emprunts!$V842</f>
        <v>9396.2999999999993</v>
      </c>
      <c r="X842" s="70">
        <f>X841-D_Emprunts!$W842</f>
        <v>-2901511.1199999982</v>
      </c>
      <c r="Y842">
        <v>835</v>
      </c>
      <c r="Z842" t="str">
        <f t="shared" si="67"/>
        <v>Investissement</v>
      </c>
      <c r="AA842" t="str">
        <f t="shared" si="68"/>
        <v>travaux magasin</v>
      </c>
    </row>
    <row r="843" spans="20:27" x14ac:dyDescent="0.25">
      <c r="T843" s="71">
        <f t="shared" si="65"/>
        <v>69372</v>
      </c>
      <c r="U843" s="77">
        <f t="shared" si="66"/>
        <v>864.41</v>
      </c>
      <c r="V843" s="72">
        <f t="shared" si="69"/>
        <v>-8559.61</v>
      </c>
      <c r="W843" s="72">
        <f>D_Emprunts!$U843-D_Emprunts!$V843</f>
        <v>9424.02</v>
      </c>
      <c r="X843" s="73">
        <f>X842-D_Emprunts!$W843</f>
        <v>-2910935.1399999983</v>
      </c>
      <c r="Y843">
        <v>836</v>
      </c>
      <c r="Z843" t="str">
        <f t="shared" si="67"/>
        <v>Investissement</v>
      </c>
      <c r="AA843" t="str">
        <f t="shared" si="68"/>
        <v>travaux magasin</v>
      </c>
    </row>
    <row r="844" spans="20:27" x14ac:dyDescent="0.25">
      <c r="T844" s="68">
        <f t="shared" si="65"/>
        <v>69403</v>
      </c>
      <c r="U844" s="77">
        <f t="shared" si="66"/>
        <v>864.41</v>
      </c>
      <c r="V844" s="72">
        <f t="shared" si="69"/>
        <v>-8587.41</v>
      </c>
      <c r="W844" s="69">
        <f>D_Emprunts!$U844-D_Emprunts!$V844</f>
        <v>9451.82</v>
      </c>
      <c r="X844" s="70">
        <f>X843-D_Emprunts!$W844</f>
        <v>-2920386.9599999981</v>
      </c>
      <c r="Y844">
        <v>837</v>
      </c>
      <c r="Z844" t="str">
        <f t="shared" si="67"/>
        <v>Investissement</v>
      </c>
      <c r="AA844" t="str">
        <f t="shared" si="68"/>
        <v>travaux magasin</v>
      </c>
    </row>
    <row r="845" spans="20:27" x14ac:dyDescent="0.25">
      <c r="T845" s="71">
        <f t="shared" si="65"/>
        <v>69434</v>
      </c>
      <c r="U845" s="77">
        <f t="shared" si="66"/>
        <v>864.41</v>
      </c>
      <c r="V845" s="72">
        <f t="shared" si="69"/>
        <v>-8615.2900000000009</v>
      </c>
      <c r="W845" s="72">
        <f>D_Emprunts!$U845-D_Emprunts!$V845</f>
        <v>9479.7000000000007</v>
      </c>
      <c r="X845" s="73">
        <f>X844-D_Emprunts!$W845</f>
        <v>-2929866.6599999983</v>
      </c>
      <c r="Y845">
        <v>838</v>
      </c>
      <c r="Z845" t="str">
        <f t="shared" si="67"/>
        <v>Investissement</v>
      </c>
      <c r="AA845" t="str">
        <f t="shared" si="68"/>
        <v>travaux magasin</v>
      </c>
    </row>
    <row r="846" spans="20:27" x14ac:dyDescent="0.25">
      <c r="T846" s="68">
        <f t="shared" si="65"/>
        <v>69462</v>
      </c>
      <c r="U846" s="77">
        <f t="shared" si="66"/>
        <v>864.41</v>
      </c>
      <c r="V846" s="72">
        <f t="shared" si="69"/>
        <v>-8643.26</v>
      </c>
      <c r="W846" s="69">
        <f>D_Emprunts!$U846-D_Emprunts!$V846</f>
        <v>9507.67</v>
      </c>
      <c r="X846" s="70">
        <f>X845-D_Emprunts!$W846</f>
        <v>-2939374.3299999982</v>
      </c>
      <c r="Y846">
        <v>839</v>
      </c>
      <c r="Z846" t="str">
        <f t="shared" si="67"/>
        <v>Investissement</v>
      </c>
      <c r="AA846" t="str">
        <f t="shared" si="68"/>
        <v>travaux magasin</v>
      </c>
    </row>
    <row r="847" spans="20:27" x14ac:dyDescent="0.25">
      <c r="T847" s="71">
        <f t="shared" si="65"/>
        <v>69493</v>
      </c>
      <c r="U847" s="77">
        <f t="shared" si="66"/>
        <v>864.41</v>
      </c>
      <c r="V847" s="72">
        <f t="shared" si="69"/>
        <v>-8671.2999999999993</v>
      </c>
      <c r="W847" s="72">
        <f>D_Emprunts!$U847-D_Emprunts!$V847</f>
        <v>9535.7099999999991</v>
      </c>
      <c r="X847" s="73">
        <f>X846-D_Emprunts!$W847</f>
        <v>-2948910.0399999982</v>
      </c>
      <c r="Y847">
        <v>840</v>
      </c>
      <c r="Z847" t="str">
        <f t="shared" si="67"/>
        <v>Investissement</v>
      </c>
      <c r="AA847" t="str">
        <f t="shared" si="68"/>
        <v>travaux magasin</v>
      </c>
    </row>
    <row r="848" spans="20:27" x14ac:dyDescent="0.25">
      <c r="T848" s="68">
        <f t="shared" si="65"/>
        <v>69523</v>
      </c>
      <c r="U848" s="77">
        <f t="shared" si="66"/>
        <v>864.41</v>
      </c>
      <c r="V848" s="72">
        <f t="shared" si="69"/>
        <v>-8699.44</v>
      </c>
      <c r="W848" s="69">
        <f>D_Emprunts!$U848-D_Emprunts!$V848</f>
        <v>9563.85</v>
      </c>
      <c r="X848" s="70">
        <f>X847-D_Emprunts!$W848</f>
        <v>-2958473.8899999983</v>
      </c>
      <c r="Y848">
        <v>841</v>
      </c>
      <c r="Z848" t="str">
        <f t="shared" si="67"/>
        <v>Investissement</v>
      </c>
      <c r="AA848" t="str">
        <f t="shared" si="68"/>
        <v>travaux magasin</v>
      </c>
    </row>
    <row r="849" spans="20:27" x14ac:dyDescent="0.25">
      <c r="T849" s="71">
        <f t="shared" si="65"/>
        <v>69554</v>
      </c>
      <c r="U849" s="77">
        <f t="shared" si="66"/>
        <v>864.41</v>
      </c>
      <c r="V849" s="72">
        <f t="shared" si="69"/>
        <v>-8727.65</v>
      </c>
      <c r="W849" s="72">
        <f>D_Emprunts!$U849-D_Emprunts!$V849</f>
        <v>9592.06</v>
      </c>
      <c r="X849" s="73">
        <f>X848-D_Emprunts!$W849</f>
        <v>-2968065.9499999983</v>
      </c>
      <c r="Y849">
        <v>842</v>
      </c>
      <c r="Z849" t="str">
        <f t="shared" si="67"/>
        <v>Investissement</v>
      </c>
      <c r="AA849" t="str">
        <f t="shared" si="68"/>
        <v>travaux magasin</v>
      </c>
    </row>
    <row r="850" spans="20:27" x14ac:dyDescent="0.25">
      <c r="T850" s="68">
        <f t="shared" si="65"/>
        <v>69584</v>
      </c>
      <c r="U850" s="77">
        <f t="shared" si="66"/>
        <v>864.41</v>
      </c>
      <c r="V850" s="72">
        <f t="shared" si="69"/>
        <v>-8755.9500000000007</v>
      </c>
      <c r="W850" s="69">
        <f>D_Emprunts!$U850-D_Emprunts!$V850</f>
        <v>9620.36</v>
      </c>
      <c r="X850" s="70">
        <f>X849-D_Emprunts!$W850</f>
        <v>-2977686.3099999982</v>
      </c>
      <c r="Y850">
        <v>843</v>
      </c>
      <c r="Z850" t="str">
        <f t="shared" si="67"/>
        <v>Investissement</v>
      </c>
      <c r="AA850" t="str">
        <f t="shared" si="68"/>
        <v>travaux magasin</v>
      </c>
    </row>
    <row r="851" spans="20:27" x14ac:dyDescent="0.25">
      <c r="T851" s="71">
        <f t="shared" si="65"/>
        <v>69615</v>
      </c>
      <c r="U851" s="77">
        <f t="shared" si="66"/>
        <v>864.41</v>
      </c>
      <c r="V851" s="72">
        <f t="shared" si="69"/>
        <v>-8784.33</v>
      </c>
      <c r="W851" s="72">
        <f>D_Emprunts!$U851-D_Emprunts!$V851</f>
        <v>9648.74</v>
      </c>
      <c r="X851" s="73">
        <f>X850-D_Emprunts!$W851</f>
        <v>-2987335.0499999984</v>
      </c>
      <c r="Y851">
        <v>844</v>
      </c>
      <c r="Z851" t="str">
        <f t="shared" si="67"/>
        <v>Investissement</v>
      </c>
      <c r="AA851" t="str">
        <f t="shared" si="68"/>
        <v>travaux magasin</v>
      </c>
    </row>
    <row r="852" spans="20:27" x14ac:dyDescent="0.25">
      <c r="T852" s="68">
        <f t="shared" si="65"/>
        <v>69646</v>
      </c>
      <c r="U852" s="77">
        <f t="shared" si="66"/>
        <v>864.41</v>
      </c>
      <c r="V852" s="72">
        <f t="shared" si="69"/>
        <v>-8812.7900000000009</v>
      </c>
      <c r="W852" s="69">
        <f>D_Emprunts!$U852-D_Emprunts!$V852</f>
        <v>9677.2000000000007</v>
      </c>
      <c r="X852" s="70">
        <f>X851-D_Emprunts!$W852</f>
        <v>-2997012.2499999986</v>
      </c>
      <c r="Y852">
        <v>845</v>
      </c>
      <c r="Z852" t="str">
        <f t="shared" si="67"/>
        <v>Investissement</v>
      </c>
      <c r="AA852" t="str">
        <f t="shared" si="68"/>
        <v>travaux magasin</v>
      </c>
    </row>
    <row r="853" spans="20:27" x14ac:dyDescent="0.25">
      <c r="T853" s="71">
        <f t="shared" si="65"/>
        <v>69676</v>
      </c>
      <c r="U853" s="77">
        <f t="shared" si="66"/>
        <v>864.41</v>
      </c>
      <c r="V853" s="72">
        <f t="shared" si="69"/>
        <v>-8841.34</v>
      </c>
      <c r="W853" s="72">
        <f>D_Emprunts!$U853-D_Emprunts!$V853</f>
        <v>9705.75</v>
      </c>
      <c r="X853" s="73">
        <f>X852-D_Emprunts!$W853</f>
        <v>-3006717.9999999986</v>
      </c>
      <c r="Y853">
        <v>846</v>
      </c>
      <c r="Z853" t="str">
        <f t="shared" si="67"/>
        <v>Investissement</v>
      </c>
      <c r="AA853" t="str">
        <f t="shared" si="68"/>
        <v>travaux magasin</v>
      </c>
    </row>
    <row r="854" spans="20:27" x14ac:dyDescent="0.25">
      <c r="T854" s="68">
        <f t="shared" si="65"/>
        <v>69707</v>
      </c>
      <c r="U854" s="77">
        <f t="shared" si="66"/>
        <v>864.41</v>
      </c>
      <c r="V854" s="72">
        <f t="shared" si="69"/>
        <v>-8869.9699999999993</v>
      </c>
      <c r="W854" s="69">
        <f>D_Emprunts!$U854-D_Emprunts!$V854</f>
        <v>9734.3799999999992</v>
      </c>
      <c r="X854" s="70">
        <f>X853-D_Emprunts!$W854</f>
        <v>-3016452.3799999985</v>
      </c>
      <c r="Y854">
        <v>847</v>
      </c>
      <c r="Z854" t="str">
        <f t="shared" si="67"/>
        <v>Investissement</v>
      </c>
      <c r="AA854" t="str">
        <f t="shared" si="68"/>
        <v>travaux magasin</v>
      </c>
    </row>
    <row r="855" spans="20:27" x14ac:dyDescent="0.25">
      <c r="T855" s="71">
        <f t="shared" si="65"/>
        <v>69737</v>
      </c>
      <c r="U855" s="77">
        <f t="shared" si="66"/>
        <v>864.41</v>
      </c>
      <c r="V855" s="72">
        <f t="shared" si="69"/>
        <v>-8898.69</v>
      </c>
      <c r="W855" s="72">
        <f>D_Emprunts!$U855-D_Emprunts!$V855</f>
        <v>9763.1</v>
      </c>
      <c r="X855" s="73">
        <f>X854-D_Emprunts!$W855</f>
        <v>-3026215.4799999986</v>
      </c>
      <c r="Y855">
        <v>848</v>
      </c>
      <c r="Z855" t="str">
        <f t="shared" si="67"/>
        <v>Investissement</v>
      </c>
      <c r="AA855" t="str">
        <f t="shared" si="68"/>
        <v>travaux magasin</v>
      </c>
    </row>
    <row r="856" spans="20:27" x14ac:dyDescent="0.25">
      <c r="T856" s="68">
        <f t="shared" si="65"/>
        <v>69768</v>
      </c>
      <c r="U856" s="77">
        <f t="shared" si="66"/>
        <v>864.41</v>
      </c>
      <c r="V856" s="72">
        <f t="shared" si="69"/>
        <v>-8927.49</v>
      </c>
      <c r="W856" s="69">
        <f>D_Emprunts!$U856-D_Emprunts!$V856</f>
        <v>9791.9</v>
      </c>
      <c r="X856" s="70">
        <f>X855-D_Emprunts!$W856</f>
        <v>-3036007.3799999985</v>
      </c>
      <c r="Y856">
        <v>849</v>
      </c>
      <c r="Z856" t="str">
        <f t="shared" si="67"/>
        <v>Investissement</v>
      </c>
      <c r="AA856" t="str">
        <f t="shared" si="68"/>
        <v>travaux magasin</v>
      </c>
    </row>
    <row r="857" spans="20:27" x14ac:dyDescent="0.25">
      <c r="T857" s="71">
        <f t="shared" si="65"/>
        <v>69799</v>
      </c>
      <c r="U857" s="77">
        <f t="shared" si="66"/>
        <v>864.41</v>
      </c>
      <c r="V857" s="72">
        <f t="shared" si="69"/>
        <v>-8956.3799999999992</v>
      </c>
      <c r="W857" s="72">
        <f>D_Emprunts!$U857-D_Emprunts!$V857</f>
        <v>9820.7899999999991</v>
      </c>
      <c r="X857" s="73">
        <f>X856-D_Emprunts!$W857</f>
        <v>-3045828.1699999985</v>
      </c>
      <c r="Y857">
        <v>850</v>
      </c>
      <c r="Z857" t="str">
        <f t="shared" si="67"/>
        <v>Investissement</v>
      </c>
      <c r="AA857" t="str">
        <f t="shared" si="68"/>
        <v>travaux magasin</v>
      </c>
    </row>
    <row r="858" spans="20:27" x14ac:dyDescent="0.25">
      <c r="T858" s="68">
        <f t="shared" si="65"/>
        <v>69827</v>
      </c>
      <c r="U858" s="77">
        <f t="shared" si="66"/>
        <v>864.41</v>
      </c>
      <c r="V858" s="72">
        <f t="shared" si="69"/>
        <v>-8985.35</v>
      </c>
      <c r="W858" s="69">
        <f>D_Emprunts!$U858-D_Emprunts!$V858</f>
        <v>9849.76</v>
      </c>
      <c r="X858" s="70">
        <f>X857-D_Emprunts!$W858</f>
        <v>-3055677.9299999983</v>
      </c>
      <c r="Y858">
        <v>851</v>
      </c>
      <c r="Z858" t="str">
        <f t="shared" si="67"/>
        <v>Investissement</v>
      </c>
      <c r="AA858" t="str">
        <f t="shared" si="68"/>
        <v>travaux magasin</v>
      </c>
    </row>
    <row r="859" spans="20:27" x14ac:dyDescent="0.25">
      <c r="T859" s="71">
        <f t="shared" si="65"/>
        <v>69858</v>
      </c>
      <c r="U859" s="77">
        <f t="shared" si="66"/>
        <v>864.41</v>
      </c>
      <c r="V859" s="72">
        <f t="shared" si="69"/>
        <v>-9014.41</v>
      </c>
      <c r="W859" s="72">
        <f>D_Emprunts!$U859-D_Emprunts!$V859</f>
        <v>9878.82</v>
      </c>
      <c r="X859" s="73">
        <f>X858-D_Emprunts!$W859</f>
        <v>-3065556.7499999981</v>
      </c>
      <c r="Y859">
        <v>852</v>
      </c>
      <c r="Z859" t="str">
        <f t="shared" si="67"/>
        <v>Investissement</v>
      </c>
      <c r="AA859" t="str">
        <f t="shared" si="68"/>
        <v>travaux magasin</v>
      </c>
    </row>
    <row r="860" spans="20:27" x14ac:dyDescent="0.25">
      <c r="T860" s="68">
        <f t="shared" si="65"/>
        <v>69888</v>
      </c>
      <c r="U860" s="77">
        <f t="shared" si="66"/>
        <v>864.41</v>
      </c>
      <c r="V860" s="72">
        <f t="shared" si="69"/>
        <v>-9043.5499999999993</v>
      </c>
      <c r="W860" s="69">
        <f>D_Emprunts!$U860-D_Emprunts!$V860</f>
        <v>9907.9599999999991</v>
      </c>
      <c r="X860" s="70">
        <f>X859-D_Emprunts!$W860</f>
        <v>-3075464.7099999981</v>
      </c>
      <c r="Y860">
        <v>853</v>
      </c>
      <c r="Z860" t="str">
        <f t="shared" si="67"/>
        <v>Investissement</v>
      </c>
      <c r="AA860" t="str">
        <f t="shared" si="68"/>
        <v>travaux magasin</v>
      </c>
    </row>
    <row r="861" spans="20:27" x14ac:dyDescent="0.25">
      <c r="T861" s="71">
        <f t="shared" si="65"/>
        <v>69919</v>
      </c>
      <c r="U861" s="77">
        <f t="shared" si="66"/>
        <v>864.41</v>
      </c>
      <c r="V861" s="72">
        <f t="shared" si="69"/>
        <v>-9072.7800000000007</v>
      </c>
      <c r="W861" s="72">
        <f>D_Emprunts!$U861-D_Emprunts!$V861</f>
        <v>9937.19</v>
      </c>
      <c r="X861" s="73">
        <f>X860-D_Emprunts!$W861</f>
        <v>-3085401.899999998</v>
      </c>
      <c r="Y861">
        <v>854</v>
      </c>
      <c r="Z861" t="str">
        <f t="shared" si="67"/>
        <v>Investissement</v>
      </c>
      <c r="AA861" t="str">
        <f t="shared" si="68"/>
        <v>travaux magasin</v>
      </c>
    </row>
    <row r="862" spans="20:27" x14ac:dyDescent="0.25">
      <c r="T862" s="68">
        <f t="shared" si="65"/>
        <v>69949</v>
      </c>
      <c r="U862" s="77">
        <f t="shared" si="66"/>
        <v>864.41</v>
      </c>
      <c r="V862" s="72">
        <f t="shared" si="69"/>
        <v>-9102.09</v>
      </c>
      <c r="W862" s="69">
        <f>D_Emprunts!$U862-D_Emprunts!$V862</f>
        <v>9966.5</v>
      </c>
      <c r="X862" s="70">
        <f>X861-D_Emprunts!$W862</f>
        <v>-3095368.399999998</v>
      </c>
      <c r="Y862">
        <v>855</v>
      </c>
      <c r="Z862" t="str">
        <f t="shared" si="67"/>
        <v>Investissement</v>
      </c>
      <c r="AA862" t="str">
        <f t="shared" si="68"/>
        <v>travaux magasin</v>
      </c>
    </row>
    <row r="863" spans="20:27" x14ac:dyDescent="0.25">
      <c r="T863" s="71">
        <f t="shared" si="65"/>
        <v>69980</v>
      </c>
      <c r="U863" s="77">
        <f t="shared" si="66"/>
        <v>864.41</v>
      </c>
      <c r="V863" s="72">
        <f t="shared" si="69"/>
        <v>-9131.5</v>
      </c>
      <c r="W863" s="72">
        <f>D_Emprunts!$U863-D_Emprunts!$V863</f>
        <v>9995.91</v>
      </c>
      <c r="X863" s="73">
        <f>X862-D_Emprunts!$W863</f>
        <v>-3105364.3099999982</v>
      </c>
      <c r="Y863">
        <v>856</v>
      </c>
      <c r="Z863" t="str">
        <f t="shared" si="67"/>
        <v>Investissement</v>
      </c>
      <c r="AA863" t="str">
        <f t="shared" si="68"/>
        <v>travaux magasin</v>
      </c>
    </row>
    <row r="864" spans="20:27" x14ac:dyDescent="0.25">
      <c r="T864" s="68">
        <f t="shared" si="65"/>
        <v>70011</v>
      </c>
      <c r="U864" s="77">
        <f t="shared" si="66"/>
        <v>864.41</v>
      </c>
      <c r="V864" s="72">
        <f t="shared" si="69"/>
        <v>-9160.98</v>
      </c>
      <c r="W864" s="69">
        <f>D_Emprunts!$U864-D_Emprunts!$V864</f>
        <v>10025.39</v>
      </c>
      <c r="X864" s="70">
        <f>X863-D_Emprunts!$W864</f>
        <v>-3115389.6999999983</v>
      </c>
      <c r="Y864">
        <v>857</v>
      </c>
      <c r="Z864" t="str">
        <f t="shared" si="67"/>
        <v>Investissement</v>
      </c>
      <c r="AA864" t="str">
        <f t="shared" si="68"/>
        <v>travaux magasin</v>
      </c>
    </row>
    <row r="865" spans="20:27" x14ac:dyDescent="0.25">
      <c r="T865" s="71">
        <f t="shared" si="65"/>
        <v>70041</v>
      </c>
      <c r="U865" s="77">
        <f t="shared" si="66"/>
        <v>864.41</v>
      </c>
      <c r="V865" s="72">
        <f t="shared" si="69"/>
        <v>-9190.56</v>
      </c>
      <c r="W865" s="72">
        <f>D_Emprunts!$U865-D_Emprunts!$V865</f>
        <v>10054.969999999999</v>
      </c>
      <c r="X865" s="73">
        <f>X864-D_Emprunts!$W865</f>
        <v>-3125444.6699999985</v>
      </c>
      <c r="Y865">
        <v>858</v>
      </c>
      <c r="Z865" t="str">
        <f t="shared" si="67"/>
        <v>Investissement</v>
      </c>
      <c r="AA865" t="str">
        <f t="shared" si="68"/>
        <v>travaux magasin</v>
      </c>
    </row>
    <row r="866" spans="20:27" x14ac:dyDescent="0.25">
      <c r="T866" s="68">
        <f t="shared" si="65"/>
        <v>70072</v>
      </c>
      <c r="U866" s="77">
        <f t="shared" si="66"/>
        <v>864.41</v>
      </c>
      <c r="V866" s="72">
        <f t="shared" si="69"/>
        <v>-9220.2199999999993</v>
      </c>
      <c r="W866" s="69">
        <f>D_Emprunts!$U866-D_Emprunts!$V866</f>
        <v>10084.629999999999</v>
      </c>
      <c r="X866" s="70">
        <f>X865-D_Emprunts!$W866</f>
        <v>-3135529.2999999984</v>
      </c>
      <c r="Y866">
        <v>859</v>
      </c>
      <c r="Z866" t="str">
        <f t="shared" si="67"/>
        <v>Investissement</v>
      </c>
      <c r="AA866" t="str">
        <f t="shared" si="68"/>
        <v>travaux magasin</v>
      </c>
    </row>
    <row r="867" spans="20:27" x14ac:dyDescent="0.25">
      <c r="T867" s="71">
        <f t="shared" si="65"/>
        <v>70102</v>
      </c>
      <c r="U867" s="77">
        <f t="shared" si="66"/>
        <v>864.41</v>
      </c>
      <c r="V867" s="72">
        <f t="shared" si="69"/>
        <v>-9249.9699999999993</v>
      </c>
      <c r="W867" s="72">
        <f>D_Emprunts!$U867-D_Emprunts!$V867</f>
        <v>10114.379999999999</v>
      </c>
      <c r="X867" s="73">
        <f>X866-D_Emprunts!$W867</f>
        <v>-3145643.6799999983</v>
      </c>
      <c r="Y867">
        <v>860</v>
      </c>
      <c r="Z867" t="str">
        <f t="shared" si="67"/>
        <v>Investissement</v>
      </c>
      <c r="AA867" t="str">
        <f t="shared" si="68"/>
        <v>travaux magasin</v>
      </c>
    </row>
    <row r="868" spans="20:27" x14ac:dyDescent="0.25">
      <c r="T868" s="68">
        <f t="shared" si="65"/>
        <v>70133</v>
      </c>
      <c r="U868" s="77">
        <f t="shared" si="66"/>
        <v>864.41</v>
      </c>
      <c r="V868" s="72">
        <f t="shared" si="69"/>
        <v>-9279.81</v>
      </c>
      <c r="W868" s="69">
        <f>D_Emprunts!$U868-D_Emprunts!$V868</f>
        <v>10144.219999999999</v>
      </c>
      <c r="X868" s="70">
        <f>X867-D_Emprunts!$W868</f>
        <v>-3155787.8999999985</v>
      </c>
      <c r="Y868">
        <v>861</v>
      </c>
      <c r="Z868" t="str">
        <f t="shared" si="67"/>
        <v>Investissement</v>
      </c>
      <c r="AA868" t="str">
        <f t="shared" si="68"/>
        <v>travaux magasin</v>
      </c>
    </row>
    <row r="869" spans="20:27" x14ac:dyDescent="0.25">
      <c r="T869" s="71">
        <f t="shared" si="65"/>
        <v>70164</v>
      </c>
      <c r="U869" s="77">
        <f t="shared" si="66"/>
        <v>864.41</v>
      </c>
      <c r="V869" s="72">
        <f t="shared" si="69"/>
        <v>-9309.74</v>
      </c>
      <c r="W869" s="72">
        <f>D_Emprunts!$U869-D_Emprunts!$V869</f>
        <v>10174.15</v>
      </c>
      <c r="X869" s="73">
        <f>X868-D_Emprunts!$W869</f>
        <v>-3165962.0499999984</v>
      </c>
      <c r="Y869">
        <v>862</v>
      </c>
      <c r="Z869" t="str">
        <f t="shared" si="67"/>
        <v>Investissement</v>
      </c>
      <c r="AA869" t="str">
        <f t="shared" si="68"/>
        <v>travaux magasin</v>
      </c>
    </row>
    <row r="870" spans="20:27" x14ac:dyDescent="0.25">
      <c r="T870" s="68">
        <f t="shared" si="65"/>
        <v>70193</v>
      </c>
      <c r="U870" s="77">
        <f t="shared" si="66"/>
        <v>864.41</v>
      </c>
      <c r="V870" s="72">
        <f t="shared" si="69"/>
        <v>-9339.75</v>
      </c>
      <c r="W870" s="69">
        <f>D_Emprunts!$U870-D_Emprunts!$V870</f>
        <v>10204.16</v>
      </c>
      <c r="X870" s="70">
        <f>X869-D_Emprunts!$W870</f>
        <v>-3176166.2099999986</v>
      </c>
      <c r="Y870">
        <v>863</v>
      </c>
      <c r="Z870" t="str">
        <f t="shared" si="67"/>
        <v>Investissement</v>
      </c>
      <c r="AA870" t="str">
        <f t="shared" si="68"/>
        <v>travaux magasin</v>
      </c>
    </row>
    <row r="871" spans="20:27" x14ac:dyDescent="0.25">
      <c r="T871" s="71">
        <f t="shared" si="65"/>
        <v>70224</v>
      </c>
      <c r="U871" s="77">
        <f t="shared" si="66"/>
        <v>864.41</v>
      </c>
      <c r="V871" s="72">
        <f t="shared" si="69"/>
        <v>-9369.85</v>
      </c>
      <c r="W871" s="72">
        <f>D_Emprunts!$U871-D_Emprunts!$V871</f>
        <v>10234.26</v>
      </c>
      <c r="X871" s="73">
        <f>X870-D_Emprunts!$W871</f>
        <v>-3186400.4699999983</v>
      </c>
      <c r="Y871">
        <v>864</v>
      </c>
      <c r="Z871" t="str">
        <f t="shared" si="67"/>
        <v>Investissement</v>
      </c>
      <c r="AA871" t="str">
        <f t="shared" si="68"/>
        <v>travaux magasin</v>
      </c>
    </row>
    <row r="872" spans="20:27" x14ac:dyDescent="0.25">
      <c r="T872" s="68">
        <f t="shared" si="65"/>
        <v>70254</v>
      </c>
      <c r="U872" s="77">
        <f t="shared" si="66"/>
        <v>864.41</v>
      </c>
      <c r="V872" s="72">
        <f t="shared" si="69"/>
        <v>-9400.0400000000009</v>
      </c>
      <c r="W872" s="69">
        <f>D_Emprunts!$U872-D_Emprunts!$V872</f>
        <v>10264.450000000001</v>
      </c>
      <c r="X872" s="70">
        <f>X871-D_Emprunts!$W872</f>
        <v>-3196664.9199999985</v>
      </c>
      <c r="Y872">
        <v>865</v>
      </c>
      <c r="Z872" t="str">
        <f t="shared" si="67"/>
        <v>Investissement</v>
      </c>
      <c r="AA872" t="str">
        <f t="shared" si="68"/>
        <v>travaux magasin</v>
      </c>
    </row>
    <row r="873" spans="20:27" x14ac:dyDescent="0.25">
      <c r="T873" s="71">
        <f t="shared" si="65"/>
        <v>70285</v>
      </c>
      <c r="U873" s="77">
        <f t="shared" si="66"/>
        <v>864.41</v>
      </c>
      <c r="V873" s="72">
        <f t="shared" si="69"/>
        <v>-9430.33</v>
      </c>
      <c r="W873" s="72">
        <f>D_Emprunts!$U873-D_Emprunts!$V873</f>
        <v>10294.74</v>
      </c>
      <c r="X873" s="73">
        <f>X872-D_Emprunts!$W873</f>
        <v>-3206959.6599999988</v>
      </c>
      <c r="Y873">
        <v>866</v>
      </c>
      <c r="Z873" t="str">
        <f t="shared" si="67"/>
        <v>Investissement</v>
      </c>
      <c r="AA873" t="str">
        <f t="shared" si="68"/>
        <v>travaux magasin</v>
      </c>
    </row>
    <row r="874" spans="20:27" x14ac:dyDescent="0.25">
      <c r="T874" s="68">
        <f t="shared" si="65"/>
        <v>70315</v>
      </c>
      <c r="U874" s="77">
        <f t="shared" si="66"/>
        <v>864.41</v>
      </c>
      <c r="V874" s="72">
        <f t="shared" si="69"/>
        <v>-9460.7000000000007</v>
      </c>
      <c r="W874" s="69">
        <f>D_Emprunts!$U874-D_Emprunts!$V874</f>
        <v>10325.11</v>
      </c>
      <c r="X874" s="70">
        <f>X873-D_Emprunts!$W874</f>
        <v>-3217284.7699999986</v>
      </c>
      <c r="Y874">
        <v>867</v>
      </c>
      <c r="Z874" t="str">
        <f t="shared" si="67"/>
        <v>Investissement</v>
      </c>
      <c r="AA874" t="str">
        <f t="shared" si="68"/>
        <v>travaux magasin</v>
      </c>
    </row>
    <row r="875" spans="20:27" x14ac:dyDescent="0.25">
      <c r="T875" s="71">
        <f t="shared" si="65"/>
        <v>70346</v>
      </c>
      <c r="U875" s="77">
        <f t="shared" si="66"/>
        <v>864.41</v>
      </c>
      <c r="V875" s="72">
        <f t="shared" si="69"/>
        <v>-9491.15</v>
      </c>
      <c r="W875" s="72">
        <f>D_Emprunts!$U875-D_Emprunts!$V875</f>
        <v>10355.56</v>
      </c>
      <c r="X875" s="73">
        <f>X874-D_Emprunts!$W875</f>
        <v>-3227640.3299999987</v>
      </c>
      <c r="Y875">
        <v>868</v>
      </c>
      <c r="Z875" t="str">
        <f t="shared" si="67"/>
        <v>Investissement</v>
      </c>
      <c r="AA875" t="str">
        <f t="shared" si="68"/>
        <v>travaux magasin</v>
      </c>
    </row>
    <row r="876" spans="20:27" x14ac:dyDescent="0.25">
      <c r="T876" s="68">
        <f t="shared" si="65"/>
        <v>70377</v>
      </c>
      <c r="U876" s="77">
        <f t="shared" si="66"/>
        <v>864.41</v>
      </c>
      <c r="V876" s="72">
        <f t="shared" si="69"/>
        <v>-9521.7000000000007</v>
      </c>
      <c r="W876" s="69">
        <f>D_Emprunts!$U876-D_Emprunts!$V876</f>
        <v>10386.11</v>
      </c>
      <c r="X876" s="70">
        <f>X875-D_Emprunts!$W876</f>
        <v>-3238026.4399999985</v>
      </c>
      <c r="Y876">
        <v>869</v>
      </c>
      <c r="Z876" t="str">
        <f t="shared" si="67"/>
        <v>Investissement</v>
      </c>
      <c r="AA876" t="str">
        <f t="shared" si="68"/>
        <v>travaux magasin</v>
      </c>
    </row>
    <row r="877" spans="20:27" x14ac:dyDescent="0.25">
      <c r="T877" s="71">
        <f t="shared" si="65"/>
        <v>70407</v>
      </c>
      <c r="U877" s="77">
        <f t="shared" si="66"/>
        <v>864.41</v>
      </c>
      <c r="V877" s="72">
        <f t="shared" si="69"/>
        <v>-9552.34</v>
      </c>
      <c r="W877" s="72">
        <f>D_Emprunts!$U877-D_Emprunts!$V877</f>
        <v>10416.75</v>
      </c>
      <c r="X877" s="73">
        <f>X876-D_Emprunts!$W877</f>
        <v>-3248443.1899999985</v>
      </c>
      <c r="Y877">
        <v>870</v>
      </c>
      <c r="Z877" t="str">
        <f t="shared" si="67"/>
        <v>Investissement</v>
      </c>
      <c r="AA877" t="str">
        <f t="shared" si="68"/>
        <v>travaux magasin</v>
      </c>
    </row>
    <row r="878" spans="20:27" x14ac:dyDescent="0.25">
      <c r="T878" s="68">
        <f t="shared" si="65"/>
        <v>70438</v>
      </c>
      <c r="U878" s="77">
        <f t="shared" si="66"/>
        <v>864.41</v>
      </c>
      <c r="V878" s="72">
        <f t="shared" si="69"/>
        <v>-9583.07</v>
      </c>
      <c r="W878" s="69">
        <f>D_Emprunts!$U878-D_Emprunts!$V878</f>
        <v>10447.48</v>
      </c>
      <c r="X878" s="70">
        <f>X877-D_Emprunts!$W878</f>
        <v>-3258890.6699999985</v>
      </c>
      <c r="Y878">
        <v>871</v>
      </c>
      <c r="Z878" t="str">
        <f t="shared" si="67"/>
        <v>Investissement</v>
      </c>
      <c r="AA878" t="str">
        <f t="shared" si="68"/>
        <v>travaux magasin</v>
      </c>
    </row>
    <row r="879" spans="20:27" x14ac:dyDescent="0.25">
      <c r="T879" s="71">
        <f t="shared" si="65"/>
        <v>70468</v>
      </c>
      <c r="U879" s="77">
        <f t="shared" si="66"/>
        <v>864.41</v>
      </c>
      <c r="V879" s="72">
        <f t="shared" si="69"/>
        <v>-9613.89</v>
      </c>
      <c r="W879" s="72">
        <f>D_Emprunts!$U879-D_Emprunts!$V879</f>
        <v>10478.299999999999</v>
      </c>
      <c r="X879" s="73">
        <f>X878-D_Emprunts!$W879</f>
        <v>-3269368.9699999983</v>
      </c>
      <c r="Y879">
        <v>872</v>
      </c>
      <c r="Z879" t="str">
        <f t="shared" si="67"/>
        <v>Investissement</v>
      </c>
      <c r="AA879" t="str">
        <f t="shared" si="68"/>
        <v>travaux magasin</v>
      </c>
    </row>
    <row r="880" spans="20:27" x14ac:dyDescent="0.25">
      <c r="T880" s="68">
        <f t="shared" si="65"/>
        <v>70499</v>
      </c>
      <c r="U880" s="77">
        <f t="shared" si="66"/>
        <v>864.41</v>
      </c>
      <c r="V880" s="72">
        <f t="shared" si="69"/>
        <v>-9644.81</v>
      </c>
      <c r="W880" s="69">
        <f>D_Emprunts!$U880-D_Emprunts!$V880</f>
        <v>10509.22</v>
      </c>
      <c r="X880" s="70">
        <f>X879-D_Emprunts!$W880</f>
        <v>-3279878.1899999985</v>
      </c>
      <c r="Y880">
        <v>873</v>
      </c>
      <c r="Z880" t="str">
        <f t="shared" si="67"/>
        <v>Investissement</v>
      </c>
      <c r="AA880" t="str">
        <f t="shared" si="68"/>
        <v>travaux magasin</v>
      </c>
    </row>
    <row r="881" spans="20:27" x14ac:dyDescent="0.25">
      <c r="T881" s="71">
        <f t="shared" si="65"/>
        <v>70530</v>
      </c>
      <c r="U881" s="77">
        <f t="shared" si="66"/>
        <v>864.41</v>
      </c>
      <c r="V881" s="72">
        <f t="shared" si="69"/>
        <v>-9675.81</v>
      </c>
      <c r="W881" s="72">
        <f>D_Emprunts!$U881-D_Emprunts!$V881</f>
        <v>10540.22</v>
      </c>
      <c r="X881" s="73">
        <f>X880-D_Emprunts!$W881</f>
        <v>-3290418.4099999988</v>
      </c>
      <c r="Y881">
        <v>874</v>
      </c>
      <c r="Z881" t="str">
        <f t="shared" si="67"/>
        <v>Investissement</v>
      </c>
      <c r="AA881" t="str">
        <f t="shared" si="68"/>
        <v>travaux magasin</v>
      </c>
    </row>
    <row r="882" spans="20:27" x14ac:dyDescent="0.25">
      <c r="T882" s="68">
        <f t="shared" si="65"/>
        <v>70558</v>
      </c>
      <c r="U882" s="77">
        <f t="shared" si="66"/>
        <v>864.41</v>
      </c>
      <c r="V882" s="72">
        <f t="shared" si="69"/>
        <v>-9706.9</v>
      </c>
      <c r="W882" s="69">
        <f>D_Emprunts!$U882-D_Emprunts!$V882</f>
        <v>10571.31</v>
      </c>
      <c r="X882" s="70">
        <f>X881-D_Emprunts!$W882</f>
        <v>-3300989.7199999988</v>
      </c>
      <c r="Y882">
        <v>875</v>
      </c>
      <c r="Z882" t="str">
        <f t="shared" si="67"/>
        <v>Investissement</v>
      </c>
      <c r="AA882" t="str">
        <f t="shared" si="68"/>
        <v>travaux magasin</v>
      </c>
    </row>
    <row r="883" spans="20:27" x14ac:dyDescent="0.25">
      <c r="T883" s="71">
        <f t="shared" si="65"/>
        <v>70589</v>
      </c>
      <c r="U883" s="77">
        <f t="shared" si="66"/>
        <v>864.41</v>
      </c>
      <c r="V883" s="72">
        <f t="shared" si="69"/>
        <v>-9738.09</v>
      </c>
      <c r="W883" s="72">
        <f>D_Emprunts!$U883-D_Emprunts!$V883</f>
        <v>10602.5</v>
      </c>
      <c r="X883" s="73">
        <f>X882-D_Emprunts!$W883</f>
        <v>-3311592.2199999988</v>
      </c>
      <c r="Y883">
        <v>876</v>
      </c>
      <c r="Z883" t="str">
        <f t="shared" si="67"/>
        <v>Investissement</v>
      </c>
      <c r="AA883" t="str">
        <f t="shared" si="68"/>
        <v>travaux magasin</v>
      </c>
    </row>
    <row r="884" spans="20:27" x14ac:dyDescent="0.25">
      <c r="T884" s="68">
        <f t="shared" si="65"/>
        <v>70619</v>
      </c>
      <c r="U884" s="77">
        <f t="shared" si="66"/>
        <v>864.41</v>
      </c>
      <c r="V884" s="72">
        <f t="shared" si="69"/>
        <v>-9769.3700000000008</v>
      </c>
      <c r="W884" s="69">
        <f>D_Emprunts!$U884-D_Emprunts!$V884</f>
        <v>10633.78</v>
      </c>
      <c r="X884" s="70">
        <f>X883-D_Emprunts!$W884</f>
        <v>-3322225.9999999986</v>
      </c>
      <c r="Y884">
        <v>877</v>
      </c>
      <c r="Z884" t="str">
        <f t="shared" si="67"/>
        <v>Investissement</v>
      </c>
      <c r="AA884" t="str">
        <f t="shared" si="68"/>
        <v>travaux magasin</v>
      </c>
    </row>
    <row r="885" spans="20:27" x14ac:dyDescent="0.25">
      <c r="T885" s="71">
        <f t="shared" si="65"/>
        <v>70650</v>
      </c>
      <c r="U885" s="77">
        <f t="shared" si="66"/>
        <v>864.41</v>
      </c>
      <c r="V885" s="72">
        <f t="shared" si="69"/>
        <v>-9800.74</v>
      </c>
      <c r="W885" s="72">
        <f>D_Emprunts!$U885-D_Emprunts!$V885</f>
        <v>10665.15</v>
      </c>
      <c r="X885" s="73">
        <f>X884-D_Emprunts!$W885</f>
        <v>-3332891.1499999985</v>
      </c>
      <c r="Y885">
        <v>878</v>
      </c>
      <c r="Z885" t="str">
        <f t="shared" si="67"/>
        <v>Investissement</v>
      </c>
      <c r="AA885" t="str">
        <f t="shared" si="68"/>
        <v>travaux magasin</v>
      </c>
    </row>
    <row r="886" spans="20:27" x14ac:dyDescent="0.25">
      <c r="T886" s="68">
        <f t="shared" si="65"/>
        <v>70680</v>
      </c>
      <c r="U886" s="77">
        <f t="shared" si="66"/>
        <v>864.41</v>
      </c>
      <c r="V886" s="72">
        <f t="shared" si="69"/>
        <v>-9832.2000000000007</v>
      </c>
      <c r="W886" s="69">
        <f>D_Emprunts!$U886-D_Emprunts!$V886</f>
        <v>10696.61</v>
      </c>
      <c r="X886" s="70">
        <f>X885-D_Emprunts!$W886</f>
        <v>-3343587.7599999984</v>
      </c>
      <c r="Y886">
        <v>879</v>
      </c>
      <c r="Z886" t="str">
        <f t="shared" si="67"/>
        <v>Investissement</v>
      </c>
      <c r="AA886" t="str">
        <f t="shared" si="68"/>
        <v>travaux magasin</v>
      </c>
    </row>
    <row r="887" spans="20:27" x14ac:dyDescent="0.25">
      <c r="T887" s="71">
        <f t="shared" si="65"/>
        <v>70711</v>
      </c>
      <c r="U887" s="77">
        <f t="shared" si="66"/>
        <v>864.41</v>
      </c>
      <c r="V887" s="72">
        <f t="shared" si="69"/>
        <v>-9863.75</v>
      </c>
      <c r="W887" s="72">
        <f>D_Emprunts!$U887-D_Emprunts!$V887</f>
        <v>10728.16</v>
      </c>
      <c r="X887" s="73">
        <f>X886-D_Emprunts!$W887</f>
        <v>-3354315.9199999985</v>
      </c>
      <c r="Y887">
        <v>880</v>
      </c>
      <c r="Z887" t="str">
        <f t="shared" si="67"/>
        <v>Investissement</v>
      </c>
      <c r="AA887" t="str">
        <f t="shared" si="68"/>
        <v>travaux magasin</v>
      </c>
    </row>
    <row r="888" spans="20:27" x14ac:dyDescent="0.25">
      <c r="T888" s="68">
        <f t="shared" si="65"/>
        <v>70742</v>
      </c>
      <c r="U888" s="77">
        <f t="shared" si="66"/>
        <v>864.41</v>
      </c>
      <c r="V888" s="72">
        <f t="shared" si="69"/>
        <v>-9895.4</v>
      </c>
      <c r="W888" s="69">
        <f>D_Emprunts!$U888-D_Emprunts!$V888</f>
        <v>10759.81</v>
      </c>
      <c r="X888" s="70">
        <f>X887-D_Emprunts!$W888</f>
        <v>-3365075.7299999986</v>
      </c>
      <c r="Y888">
        <v>881</v>
      </c>
      <c r="Z888" t="str">
        <f t="shared" si="67"/>
        <v>Investissement</v>
      </c>
      <c r="AA888" t="str">
        <f t="shared" si="68"/>
        <v>travaux magasin</v>
      </c>
    </row>
    <row r="889" spans="20:27" x14ac:dyDescent="0.25">
      <c r="T889" s="71">
        <f t="shared" si="65"/>
        <v>70772</v>
      </c>
      <c r="U889" s="77">
        <f t="shared" si="66"/>
        <v>864.41</v>
      </c>
      <c r="V889" s="72">
        <f t="shared" si="69"/>
        <v>-9927.15</v>
      </c>
      <c r="W889" s="72">
        <f>D_Emprunts!$U889-D_Emprunts!$V889</f>
        <v>10791.56</v>
      </c>
      <c r="X889" s="73">
        <f>X888-D_Emprunts!$W889</f>
        <v>-3375867.2899999986</v>
      </c>
      <c r="Y889">
        <v>882</v>
      </c>
      <c r="Z889" t="str">
        <f t="shared" si="67"/>
        <v>Investissement</v>
      </c>
      <c r="AA889" t="str">
        <f t="shared" si="68"/>
        <v>travaux magasin</v>
      </c>
    </row>
    <row r="890" spans="20:27" x14ac:dyDescent="0.25">
      <c r="T890" s="68">
        <f t="shared" si="65"/>
        <v>70803</v>
      </c>
      <c r="U890" s="77">
        <f t="shared" si="66"/>
        <v>864.41</v>
      </c>
      <c r="V890" s="72">
        <f t="shared" si="69"/>
        <v>-9958.98</v>
      </c>
      <c r="W890" s="69">
        <f>D_Emprunts!$U890-D_Emprunts!$V890</f>
        <v>10823.39</v>
      </c>
      <c r="X890" s="70">
        <f>X889-D_Emprunts!$W890</f>
        <v>-3386690.6799999988</v>
      </c>
      <c r="Y890">
        <v>883</v>
      </c>
      <c r="Z890" t="str">
        <f t="shared" si="67"/>
        <v>Investissement</v>
      </c>
      <c r="AA890" t="str">
        <f t="shared" si="68"/>
        <v>travaux magasin</v>
      </c>
    </row>
    <row r="891" spans="20:27" x14ac:dyDescent="0.25">
      <c r="T891" s="71">
        <f t="shared" si="65"/>
        <v>70833</v>
      </c>
      <c r="U891" s="77">
        <f t="shared" si="66"/>
        <v>864.41</v>
      </c>
      <c r="V891" s="72">
        <f t="shared" si="69"/>
        <v>-9990.91</v>
      </c>
      <c r="W891" s="72">
        <f>D_Emprunts!$U891-D_Emprunts!$V891</f>
        <v>10855.32</v>
      </c>
      <c r="X891" s="73">
        <f>X890-D_Emprunts!$W891</f>
        <v>-3397545.9999999986</v>
      </c>
      <c r="Y891">
        <v>884</v>
      </c>
      <c r="Z891" t="str">
        <f t="shared" si="67"/>
        <v>Investissement</v>
      </c>
      <c r="AA891" t="str">
        <f t="shared" si="68"/>
        <v>travaux magasin</v>
      </c>
    </row>
    <row r="892" spans="20:27" x14ac:dyDescent="0.25">
      <c r="T892" s="68">
        <f t="shared" si="65"/>
        <v>70864</v>
      </c>
      <c r="U892" s="77">
        <f t="shared" si="66"/>
        <v>864.41</v>
      </c>
      <c r="V892" s="72">
        <f t="shared" si="69"/>
        <v>-10022.93</v>
      </c>
      <c r="W892" s="69">
        <f>D_Emprunts!$U892-D_Emprunts!$V892</f>
        <v>10887.34</v>
      </c>
      <c r="X892" s="70">
        <f>X891-D_Emprunts!$W892</f>
        <v>-3408433.3399999985</v>
      </c>
      <c r="Y892">
        <v>885</v>
      </c>
      <c r="Z892" t="str">
        <f t="shared" si="67"/>
        <v>Investissement</v>
      </c>
      <c r="AA892" t="str">
        <f t="shared" si="68"/>
        <v>travaux magasin</v>
      </c>
    </row>
    <row r="893" spans="20:27" x14ac:dyDescent="0.25">
      <c r="T893" s="71">
        <f t="shared" si="65"/>
        <v>70895</v>
      </c>
      <c r="U893" s="77">
        <f t="shared" si="66"/>
        <v>864.41</v>
      </c>
      <c r="V893" s="72">
        <f t="shared" si="69"/>
        <v>-10055.049999999999</v>
      </c>
      <c r="W893" s="72">
        <f>D_Emprunts!$U893-D_Emprunts!$V893</f>
        <v>10919.46</v>
      </c>
      <c r="X893" s="73">
        <f>X892-D_Emprunts!$W893</f>
        <v>-3419352.7999999984</v>
      </c>
      <c r="Y893">
        <v>886</v>
      </c>
      <c r="Z893" t="str">
        <f t="shared" si="67"/>
        <v>Investissement</v>
      </c>
      <c r="AA893" t="str">
        <f t="shared" si="68"/>
        <v>travaux magasin</v>
      </c>
    </row>
    <row r="894" spans="20:27" x14ac:dyDescent="0.25">
      <c r="T894" s="68">
        <f t="shared" si="65"/>
        <v>70923</v>
      </c>
      <c r="U894" s="77">
        <f t="shared" si="66"/>
        <v>864.41</v>
      </c>
      <c r="V894" s="72">
        <f t="shared" si="69"/>
        <v>-10087.27</v>
      </c>
      <c r="W894" s="69">
        <f>D_Emprunts!$U894-D_Emprunts!$V894</f>
        <v>10951.68</v>
      </c>
      <c r="X894" s="70">
        <f>X893-D_Emprunts!$W894</f>
        <v>-3430304.4799999986</v>
      </c>
      <c r="Y894">
        <v>887</v>
      </c>
      <c r="Z894" t="str">
        <f t="shared" si="67"/>
        <v>Investissement</v>
      </c>
      <c r="AA894" t="str">
        <f t="shared" si="68"/>
        <v>travaux magasin</v>
      </c>
    </row>
    <row r="895" spans="20:27" x14ac:dyDescent="0.25">
      <c r="T895" s="71">
        <f t="shared" si="65"/>
        <v>70954</v>
      </c>
      <c r="U895" s="77">
        <f t="shared" si="66"/>
        <v>864.41</v>
      </c>
      <c r="V895" s="72">
        <f t="shared" si="69"/>
        <v>-10119.57</v>
      </c>
      <c r="W895" s="72">
        <f>D_Emprunts!$U895-D_Emprunts!$V895</f>
        <v>10983.98</v>
      </c>
      <c r="X895" s="73">
        <f>X894-D_Emprunts!$W895</f>
        <v>-3441288.4599999986</v>
      </c>
      <c r="Y895">
        <v>888</v>
      </c>
      <c r="Z895" t="str">
        <f t="shared" si="67"/>
        <v>Investissement</v>
      </c>
      <c r="AA895" t="str">
        <f t="shared" si="68"/>
        <v>travaux magasin</v>
      </c>
    </row>
    <row r="896" spans="20:27" x14ac:dyDescent="0.25">
      <c r="T896" s="68">
        <f t="shared" si="65"/>
        <v>70984</v>
      </c>
      <c r="U896" s="77">
        <f t="shared" si="66"/>
        <v>864.41</v>
      </c>
      <c r="V896" s="72">
        <f t="shared" si="69"/>
        <v>-10151.98</v>
      </c>
      <c r="W896" s="69">
        <f>D_Emprunts!$U896-D_Emprunts!$V896</f>
        <v>11016.39</v>
      </c>
      <c r="X896" s="70">
        <f>X895-D_Emprunts!$W896</f>
        <v>-3452304.8499999987</v>
      </c>
      <c r="Y896">
        <v>889</v>
      </c>
      <c r="Z896" t="str">
        <f t="shared" si="67"/>
        <v>Investissement</v>
      </c>
      <c r="AA896" t="str">
        <f t="shared" si="68"/>
        <v>travaux magasin</v>
      </c>
    </row>
    <row r="897" spans="20:27" x14ac:dyDescent="0.25">
      <c r="T897" s="71">
        <f t="shared" si="65"/>
        <v>71015</v>
      </c>
      <c r="U897" s="77">
        <f t="shared" si="66"/>
        <v>864.41</v>
      </c>
      <c r="V897" s="72">
        <f t="shared" si="69"/>
        <v>-10184.48</v>
      </c>
      <c r="W897" s="72">
        <f>D_Emprunts!$U897-D_Emprunts!$V897</f>
        <v>11048.89</v>
      </c>
      <c r="X897" s="73">
        <f>X896-D_Emprunts!$W897</f>
        <v>-3463353.7399999988</v>
      </c>
      <c r="Y897">
        <v>890</v>
      </c>
      <c r="Z897" t="str">
        <f t="shared" si="67"/>
        <v>Investissement</v>
      </c>
      <c r="AA897" t="str">
        <f t="shared" si="68"/>
        <v>travaux magasin</v>
      </c>
    </row>
    <row r="898" spans="20:27" x14ac:dyDescent="0.25">
      <c r="T898" s="68">
        <f t="shared" si="65"/>
        <v>71045</v>
      </c>
      <c r="U898" s="77">
        <f t="shared" si="66"/>
        <v>864.41</v>
      </c>
      <c r="V898" s="72">
        <f t="shared" si="69"/>
        <v>-10217.07</v>
      </c>
      <c r="W898" s="69">
        <f>D_Emprunts!$U898-D_Emprunts!$V898</f>
        <v>11081.48</v>
      </c>
      <c r="X898" s="70">
        <f>X897-D_Emprunts!$W898</f>
        <v>-3474435.2199999988</v>
      </c>
      <c r="Y898">
        <v>891</v>
      </c>
      <c r="Z898" t="str">
        <f t="shared" si="67"/>
        <v>Investissement</v>
      </c>
      <c r="AA898" t="str">
        <f t="shared" si="68"/>
        <v>travaux magasin</v>
      </c>
    </row>
    <row r="899" spans="20:27" x14ac:dyDescent="0.25">
      <c r="T899" s="71">
        <f t="shared" si="65"/>
        <v>71076</v>
      </c>
      <c r="U899" s="77">
        <f t="shared" si="66"/>
        <v>864.41</v>
      </c>
      <c r="V899" s="72">
        <f t="shared" si="69"/>
        <v>-10249.76</v>
      </c>
      <c r="W899" s="72">
        <f>D_Emprunts!$U899-D_Emprunts!$V899</f>
        <v>11114.17</v>
      </c>
      <c r="X899" s="73">
        <f>X898-D_Emprunts!$W899</f>
        <v>-3485549.3899999987</v>
      </c>
      <c r="Y899">
        <v>892</v>
      </c>
      <c r="Z899" t="str">
        <f t="shared" si="67"/>
        <v>Investissement</v>
      </c>
      <c r="AA899" t="str">
        <f t="shared" si="68"/>
        <v>travaux magasin</v>
      </c>
    </row>
    <row r="900" spans="20:27" x14ac:dyDescent="0.25">
      <c r="T900" s="68">
        <f t="shared" si="65"/>
        <v>71107</v>
      </c>
      <c r="U900" s="77">
        <f t="shared" si="66"/>
        <v>864.41</v>
      </c>
      <c r="V900" s="72">
        <f t="shared" si="69"/>
        <v>-10282.549999999999</v>
      </c>
      <c r="W900" s="69">
        <f>D_Emprunts!$U900-D_Emprunts!$V900</f>
        <v>11146.96</v>
      </c>
      <c r="X900" s="70">
        <f>X899-D_Emprunts!$W900</f>
        <v>-3496696.3499999987</v>
      </c>
      <c r="Y900">
        <v>893</v>
      </c>
      <c r="Z900" t="str">
        <f t="shared" si="67"/>
        <v>Investissement</v>
      </c>
      <c r="AA900" t="str">
        <f t="shared" si="68"/>
        <v>travaux magasin</v>
      </c>
    </row>
    <row r="901" spans="20:27" x14ac:dyDescent="0.25">
      <c r="T901" s="71">
        <f t="shared" si="65"/>
        <v>71137</v>
      </c>
      <c r="U901" s="77">
        <f t="shared" si="66"/>
        <v>864.41</v>
      </c>
      <c r="V901" s="72">
        <f t="shared" si="69"/>
        <v>-10315.43</v>
      </c>
      <c r="W901" s="72">
        <f>D_Emprunts!$U901-D_Emprunts!$V901</f>
        <v>11179.84</v>
      </c>
      <c r="X901" s="73">
        <f>X900-D_Emprunts!$W901</f>
        <v>-3507876.1899999985</v>
      </c>
      <c r="Y901">
        <v>894</v>
      </c>
      <c r="Z901" t="str">
        <f t="shared" si="67"/>
        <v>Investissement</v>
      </c>
      <c r="AA901" t="str">
        <f t="shared" si="68"/>
        <v>travaux magasin</v>
      </c>
    </row>
    <row r="902" spans="20:27" x14ac:dyDescent="0.25">
      <c r="T902" s="68">
        <f t="shared" si="65"/>
        <v>71168</v>
      </c>
      <c r="U902" s="77">
        <f t="shared" si="66"/>
        <v>864.41</v>
      </c>
      <c r="V902" s="72">
        <f t="shared" si="69"/>
        <v>-10348.41</v>
      </c>
      <c r="W902" s="69">
        <f>D_Emprunts!$U902-D_Emprunts!$V902</f>
        <v>11212.82</v>
      </c>
      <c r="X902" s="70">
        <f>X901-D_Emprunts!$W902</f>
        <v>-3519089.0099999984</v>
      </c>
      <c r="Y902">
        <v>895</v>
      </c>
      <c r="Z902" t="str">
        <f t="shared" si="67"/>
        <v>Investissement</v>
      </c>
      <c r="AA902" t="str">
        <f t="shared" si="68"/>
        <v>travaux magasin</v>
      </c>
    </row>
    <row r="903" spans="20:27" x14ac:dyDescent="0.25">
      <c r="T903" s="71">
        <f t="shared" si="65"/>
        <v>71198</v>
      </c>
      <c r="U903" s="77">
        <f t="shared" si="66"/>
        <v>864.41</v>
      </c>
      <c r="V903" s="72">
        <f t="shared" si="69"/>
        <v>-10381.49</v>
      </c>
      <c r="W903" s="72">
        <f>D_Emprunts!$U903-D_Emprunts!$V903</f>
        <v>11245.9</v>
      </c>
      <c r="X903" s="73">
        <f>X902-D_Emprunts!$W903</f>
        <v>-3530334.9099999983</v>
      </c>
      <c r="Y903">
        <v>896</v>
      </c>
      <c r="Z903" t="str">
        <f t="shared" si="67"/>
        <v>Investissement</v>
      </c>
      <c r="AA903" t="str">
        <f t="shared" si="68"/>
        <v>travaux magasin</v>
      </c>
    </row>
    <row r="904" spans="20:27" x14ac:dyDescent="0.25">
      <c r="T904" s="68">
        <f t="shared" ref="T904:T967" si="70">EDATE(T903,1)</f>
        <v>71229</v>
      </c>
      <c r="U904" s="77">
        <f t="shared" si="66"/>
        <v>864.41</v>
      </c>
      <c r="V904" s="72">
        <f t="shared" si="69"/>
        <v>-10414.67</v>
      </c>
      <c r="W904" s="69">
        <f>D_Emprunts!$U904-D_Emprunts!$V904</f>
        <v>11279.08</v>
      </c>
      <c r="X904" s="70">
        <f>X903-D_Emprunts!$W904</f>
        <v>-3541613.9899999984</v>
      </c>
      <c r="Y904">
        <v>897</v>
      </c>
      <c r="Z904" t="str">
        <f t="shared" si="67"/>
        <v>Investissement</v>
      </c>
      <c r="AA904" t="str">
        <f t="shared" si="68"/>
        <v>travaux magasin</v>
      </c>
    </row>
    <row r="905" spans="20:27" x14ac:dyDescent="0.25">
      <c r="T905" s="71">
        <f t="shared" si="70"/>
        <v>71260</v>
      </c>
      <c r="U905" s="77">
        <f t="shared" ref="U905:U968" si="71">$X$4</f>
        <v>864.41</v>
      </c>
      <c r="V905" s="72">
        <f t="shared" si="69"/>
        <v>-10447.94</v>
      </c>
      <c r="W905" s="72">
        <f>D_Emprunts!$U905-D_Emprunts!$V905</f>
        <v>11312.35</v>
      </c>
      <c r="X905" s="73">
        <f>X904-D_Emprunts!$W905</f>
        <v>-3552926.3399999985</v>
      </c>
      <c r="Y905">
        <v>898</v>
      </c>
      <c r="Z905" t="str">
        <f t="shared" ref="Z905:Z968" si="72">$Y$4</f>
        <v>Investissement</v>
      </c>
      <c r="AA905" t="str">
        <f t="shared" ref="AA905:AA968" si="73">$Z$4</f>
        <v>travaux magasin</v>
      </c>
    </row>
    <row r="906" spans="20:27" x14ac:dyDescent="0.25">
      <c r="T906" s="68">
        <f t="shared" si="70"/>
        <v>71288</v>
      </c>
      <c r="U906" s="77">
        <f t="shared" si="71"/>
        <v>864.41</v>
      </c>
      <c r="V906" s="72">
        <f t="shared" ref="V906:V969" si="74">ROUND(X905*$V$4/12,2)</f>
        <v>-10481.31</v>
      </c>
      <c r="W906" s="69">
        <f>D_Emprunts!$U906-D_Emprunts!$V906</f>
        <v>11345.72</v>
      </c>
      <c r="X906" s="70">
        <f>X905-D_Emprunts!$W906</f>
        <v>-3564272.0599999987</v>
      </c>
      <c r="Y906">
        <v>899</v>
      </c>
      <c r="Z906" t="str">
        <f t="shared" si="72"/>
        <v>Investissement</v>
      </c>
      <c r="AA906" t="str">
        <f t="shared" si="73"/>
        <v>travaux magasin</v>
      </c>
    </row>
    <row r="907" spans="20:27" x14ac:dyDescent="0.25">
      <c r="T907" s="71">
        <f t="shared" si="70"/>
        <v>71319</v>
      </c>
      <c r="U907" s="77">
        <f t="shared" si="71"/>
        <v>864.41</v>
      </c>
      <c r="V907" s="72">
        <f t="shared" si="74"/>
        <v>-10514.78</v>
      </c>
      <c r="W907" s="72">
        <f>D_Emprunts!$U907-D_Emprunts!$V907</f>
        <v>11379.19</v>
      </c>
      <c r="X907" s="73">
        <f>X906-D_Emprunts!$W907</f>
        <v>-3575651.2499999986</v>
      </c>
      <c r="Y907">
        <v>900</v>
      </c>
      <c r="Z907" t="str">
        <f t="shared" si="72"/>
        <v>Investissement</v>
      </c>
      <c r="AA907" t="str">
        <f t="shared" si="73"/>
        <v>travaux magasin</v>
      </c>
    </row>
    <row r="908" spans="20:27" x14ac:dyDescent="0.25">
      <c r="T908" s="68">
        <f t="shared" si="70"/>
        <v>71349</v>
      </c>
      <c r="U908" s="77">
        <f t="shared" si="71"/>
        <v>864.41</v>
      </c>
      <c r="V908" s="72">
        <f t="shared" si="74"/>
        <v>-10548.35</v>
      </c>
      <c r="W908" s="69">
        <f>D_Emprunts!$U908-D_Emprunts!$V908</f>
        <v>11412.76</v>
      </c>
      <c r="X908" s="70">
        <f>X907-D_Emprunts!$W908</f>
        <v>-3587064.0099999984</v>
      </c>
      <c r="Y908">
        <v>901</v>
      </c>
      <c r="Z908" t="str">
        <f t="shared" si="72"/>
        <v>Investissement</v>
      </c>
      <c r="AA908" t="str">
        <f t="shared" si="73"/>
        <v>travaux magasin</v>
      </c>
    </row>
    <row r="909" spans="20:27" x14ac:dyDescent="0.25">
      <c r="T909" s="71">
        <f t="shared" si="70"/>
        <v>71380</v>
      </c>
      <c r="U909" s="77">
        <f t="shared" si="71"/>
        <v>864.41</v>
      </c>
      <c r="V909" s="72">
        <f t="shared" si="74"/>
        <v>-10582.02</v>
      </c>
      <c r="W909" s="72">
        <f>D_Emprunts!$U909-D_Emprunts!$V909</f>
        <v>11446.43</v>
      </c>
      <c r="X909" s="73">
        <f>X908-D_Emprunts!$W909</f>
        <v>-3598510.4399999985</v>
      </c>
      <c r="Y909">
        <v>902</v>
      </c>
      <c r="Z909" t="str">
        <f t="shared" si="72"/>
        <v>Investissement</v>
      </c>
      <c r="AA909" t="str">
        <f t="shared" si="73"/>
        <v>travaux magasin</v>
      </c>
    </row>
    <row r="910" spans="20:27" x14ac:dyDescent="0.25">
      <c r="T910" s="68">
        <f t="shared" si="70"/>
        <v>71410</v>
      </c>
      <c r="U910" s="77">
        <f t="shared" si="71"/>
        <v>864.41</v>
      </c>
      <c r="V910" s="72">
        <f t="shared" si="74"/>
        <v>-10615.79</v>
      </c>
      <c r="W910" s="69">
        <f>D_Emprunts!$U910-D_Emprunts!$V910</f>
        <v>11480.2</v>
      </c>
      <c r="X910" s="70">
        <f>X909-D_Emprunts!$W910</f>
        <v>-3609990.6399999987</v>
      </c>
      <c r="Y910">
        <v>903</v>
      </c>
      <c r="Z910" t="str">
        <f t="shared" si="72"/>
        <v>Investissement</v>
      </c>
      <c r="AA910" t="str">
        <f t="shared" si="73"/>
        <v>travaux magasin</v>
      </c>
    </row>
    <row r="911" spans="20:27" x14ac:dyDescent="0.25">
      <c r="T911" s="71">
        <f t="shared" si="70"/>
        <v>71441</v>
      </c>
      <c r="U911" s="77">
        <f t="shared" si="71"/>
        <v>864.41</v>
      </c>
      <c r="V911" s="72">
        <f t="shared" si="74"/>
        <v>-10649.66</v>
      </c>
      <c r="W911" s="72">
        <f>D_Emprunts!$U911-D_Emprunts!$V911</f>
        <v>11514.07</v>
      </c>
      <c r="X911" s="73">
        <f>X910-D_Emprunts!$W911</f>
        <v>-3621504.7099999986</v>
      </c>
      <c r="Y911">
        <v>904</v>
      </c>
      <c r="Z911" t="str">
        <f t="shared" si="72"/>
        <v>Investissement</v>
      </c>
      <c r="AA911" t="str">
        <f t="shared" si="73"/>
        <v>travaux magasin</v>
      </c>
    </row>
    <row r="912" spans="20:27" x14ac:dyDescent="0.25">
      <c r="T912" s="68">
        <f t="shared" si="70"/>
        <v>71472</v>
      </c>
      <c r="U912" s="77">
        <f t="shared" si="71"/>
        <v>864.41</v>
      </c>
      <c r="V912" s="72">
        <f t="shared" si="74"/>
        <v>-10683.62</v>
      </c>
      <c r="W912" s="69">
        <f>D_Emprunts!$U912-D_Emprunts!$V912</f>
        <v>11548.03</v>
      </c>
      <c r="X912" s="70">
        <f>X911-D_Emprunts!$W912</f>
        <v>-3633052.7399999984</v>
      </c>
      <c r="Y912">
        <v>905</v>
      </c>
      <c r="Z912" t="str">
        <f t="shared" si="72"/>
        <v>Investissement</v>
      </c>
      <c r="AA912" t="str">
        <f t="shared" si="73"/>
        <v>travaux magasin</v>
      </c>
    </row>
    <row r="913" spans="20:27" x14ac:dyDescent="0.25">
      <c r="T913" s="71">
        <f t="shared" si="70"/>
        <v>71502</v>
      </c>
      <c r="U913" s="77">
        <f t="shared" si="71"/>
        <v>864.41</v>
      </c>
      <c r="V913" s="72">
        <f t="shared" si="74"/>
        <v>-10717.69</v>
      </c>
      <c r="W913" s="72">
        <f>D_Emprunts!$U913-D_Emprunts!$V913</f>
        <v>11582.1</v>
      </c>
      <c r="X913" s="73">
        <f>X912-D_Emprunts!$W913</f>
        <v>-3644634.8399999985</v>
      </c>
      <c r="Y913">
        <v>906</v>
      </c>
      <c r="Z913" t="str">
        <f t="shared" si="72"/>
        <v>Investissement</v>
      </c>
      <c r="AA913" t="str">
        <f t="shared" si="73"/>
        <v>travaux magasin</v>
      </c>
    </row>
    <row r="914" spans="20:27" x14ac:dyDescent="0.25">
      <c r="T914" s="68">
        <f t="shared" si="70"/>
        <v>71533</v>
      </c>
      <c r="U914" s="77">
        <f t="shared" si="71"/>
        <v>864.41</v>
      </c>
      <c r="V914" s="72">
        <f t="shared" si="74"/>
        <v>-10751.86</v>
      </c>
      <c r="W914" s="69">
        <f>D_Emprunts!$U914-D_Emprunts!$V914</f>
        <v>11616.27</v>
      </c>
      <c r="X914" s="70">
        <f>X913-D_Emprunts!$W914</f>
        <v>-3656251.1099999985</v>
      </c>
      <c r="Y914">
        <v>907</v>
      </c>
      <c r="Z914" t="str">
        <f t="shared" si="72"/>
        <v>Investissement</v>
      </c>
      <c r="AA914" t="str">
        <f t="shared" si="73"/>
        <v>travaux magasin</v>
      </c>
    </row>
    <row r="915" spans="20:27" x14ac:dyDescent="0.25">
      <c r="T915" s="71">
        <f t="shared" si="70"/>
        <v>71563</v>
      </c>
      <c r="U915" s="77">
        <f t="shared" si="71"/>
        <v>864.41</v>
      </c>
      <c r="V915" s="72">
        <f t="shared" si="74"/>
        <v>-10786.13</v>
      </c>
      <c r="W915" s="72">
        <f>D_Emprunts!$U915-D_Emprunts!$V915</f>
        <v>11650.539999999999</v>
      </c>
      <c r="X915" s="73">
        <f>X914-D_Emprunts!$W915</f>
        <v>-3667901.6499999985</v>
      </c>
      <c r="Y915">
        <v>908</v>
      </c>
      <c r="Z915" t="str">
        <f t="shared" si="72"/>
        <v>Investissement</v>
      </c>
      <c r="AA915" t="str">
        <f t="shared" si="73"/>
        <v>travaux magasin</v>
      </c>
    </row>
    <row r="916" spans="20:27" x14ac:dyDescent="0.25">
      <c r="T916" s="68">
        <f t="shared" si="70"/>
        <v>71594</v>
      </c>
      <c r="U916" s="77">
        <f t="shared" si="71"/>
        <v>864.41</v>
      </c>
      <c r="V916" s="72">
        <f t="shared" si="74"/>
        <v>-10820.5</v>
      </c>
      <c r="W916" s="69">
        <f>D_Emprunts!$U916-D_Emprunts!$V916</f>
        <v>11684.91</v>
      </c>
      <c r="X916" s="70">
        <f>X915-D_Emprunts!$W916</f>
        <v>-3679586.5599999987</v>
      </c>
      <c r="Y916">
        <v>909</v>
      </c>
      <c r="Z916" t="str">
        <f t="shared" si="72"/>
        <v>Investissement</v>
      </c>
      <c r="AA916" t="str">
        <f t="shared" si="73"/>
        <v>travaux magasin</v>
      </c>
    </row>
    <row r="917" spans="20:27" x14ac:dyDescent="0.25">
      <c r="T917" s="71">
        <f t="shared" si="70"/>
        <v>71625</v>
      </c>
      <c r="U917" s="77">
        <f t="shared" si="71"/>
        <v>864.41</v>
      </c>
      <c r="V917" s="72">
        <f t="shared" si="74"/>
        <v>-10854.97</v>
      </c>
      <c r="W917" s="72">
        <f>D_Emprunts!$U917-D_Emprunts!$V917</f>
        <v>11719.38</v>
      </c>
      <c r="X917" s="73">
        <f>X916-D_Emprunts!$W917</f>
        <v>-3691305.9399999985</v>
      </c>
      <c r="Y917">
        <v>910</v>
      </c>
      <c r="Z917" t="str">
        <f t="shared" si="72"/>
        <v>Investissement</v>
      </c>
      <c r="AA917" t="str">
        <f t="shared" si="73"/>
        <v>travaux magasin</v>
      </c>
    </row>
    <row r="918" spans="20:27" x14ac:dyDescent="0.25">
      <c r="T918" s="68">
        <f t="shared" si="70"/>
        <v>71654</v>
      </c>
      <c r="U918" s="77">
        <f t="shared" si="71"/>
        <v>864.41</v>
      </c>
      <c r="V918" s="72">
        <f t="shared" si="74"/>
        <v>-10889.54</v>
      </c>
      <c r="W918" s="69">
        <f>D_Emprunts!$U918-D_Emprunts!$V918</f>
        <v>11753.95</v>
      </c>
      <c r="X918" s="70">
        <f>X917-D_Emprunts!$W918</f>
        <v>-3703059.8899999987</v>
      </c>
      <c r="Y918">
        <v>911</v>
      </c>
      <c r="Z918" t="str">
        <f t="shared" si="72"/>
        <v>Investissement</v>
      </c>
      <c r="AA918" t="str">
        <f t="shared" si="73"/>
        <v>travaux magasin</v>
      </c>
    </row>
    <row r="919" spans="20:27" x14ac:dyDescent="0.25">
      <c r="T919" s="71">
        <f t="shared" si="70"/>
        <v>71685</v>
      </c>
      <c r="U919" s="77">
        <f t="shared" si="71"/>
        <v>864.41</v>
      </c>
      <c r="V919" s="72">
        <f t="shared" si="74"/>
        <v>-10924.22</v>
      </c>
      <c r="W919" s="72">
        <f>D_Emprunts!$U919-D_Emprunts!$V919</f>
        <v>11788.63</v>
      </c>
      <c r="X919" s="73">
        <f>X918-D_Emprunts!$W919</f>
        <v>-3714848.5199999986</v>
      </c>
      <c r="Y919">
        <v>912</v>
      </c>
      <c r="Z919" t="str">
        <f t="shared" si="72"/>
        <v>Investissement</v>
      </c>
      <c r="AA919" t="str">
        <f t="shared" si="73"/>
        <v>travaux magasin</v>
      </c>
    </row>
    <row r="920" spans="20:27" x14ac:dyDescent="0.25">
      <c r="T920" s="68">
        <f t="shared" si="70"/>
        <v>71715</v>
      </c>
      <c r="U920" s="77">
        <f t="shared" si="71"/>
        <v>864.41</v>
      </c>
      <c r="V920" s="72">
        <f t="shared" si="74"/>
        <v>-10958.99</v>
      </c>
      <c r="W920" s="69">
        <f>D_Emprunts!$U920-D_Emprunts!$V920</f>
        <v>11823.4</v>
      </c>
      <c r="X920" s="70">
        <f>X919-D_Emprunts!$W920</f>
        <v>-3726671.9199999985</v>
      </c>
      <c r="Y920">
        <v>913</v>
      </c>
      <c r="Z920" t="str">
        <f t="shared" si="72"/>
        <v>Investissement</v>
      </c>
      <c r="AA920" t="str">
        <f t="shared" si="73"/>
        <v>travaux magasin</v>
      </c>
    </row>
    <row r="921" spans="20:27" x14ac:dyDescent="0.25">
      <c r="T921" s="71">
        <f t="shared" si="70"/>
        <v>71746</v>
      </c>
      <c r="U921" s="77">
        <f t="shared" si="71"/>
        <v>864.41</v>
      </c>
      <c r="V921" s="72">
        <f t="shared" si="74"/>
        <v>-10993.87</v>
      </c>
      <c r="W921" s="72">
        <f>D_Emprunts!$U921-D_Emprunts!$V921</f>
        <v>11858.28</v>
      </c>
      <c r="X921" s="73">
        <f>X920-D_Emprunts!$W921</f>
        <v>-3738530.1999999983</v>
      </c>
      <c r="Y921">
        <v>914</v>
      </c>
      <c r="Z921" t="str">
        <f t="shared" si="72"/>
        <v>Investissement</v>
      </c>
      <c r="AA921" t="str">
        <f t="shared" si="73"/>
        <v>travaux magasin</v>
      </c>
    </row>
    <row r="922" spans="20:27" x14ac:dyDescent="0.25">
      <c r="T922" s="68">
        <f t="shared" si="70"/>
        <v>71776</v>
      </c>
      <c r="U922" s="77">
        <f t="shared" si="71"/>
        <v>864.41</v>
      </c>
      <c r="V922" s="72">
        <f t="shared" si="74"/>
        <v>-11028.86</v>
      </c>
      <c r="W922" s="69">
        <f>D_Emprunts!$U922-D_Emprunts!$V922</f>
        <v>11893.27</v>
      </c>
      <c r="X922" s="70">
        <f>X921-D_Emprunts!$W922</f>
        <v>-3750423.4699999983</v>
      </c>
      <c r="Y922">
        <v>915</v>
      </c>
      <c r="Z922" t="str">
        <f t="shared" si="72"/>
        <v>Investissement</v>
      </c>
      <c r="AA922" t="str">
        <f t="shared" si="73"/>
        <v>travaux magasin</v>
      </c>
    </row>
    <row r="923" spans="20:27" x14ac:dyDescent="0.25">
      <c r="T923" s="71">
        <f t="shared" si="70"/>
        <v>71807</v>
      </c>
      <c r="U923" s="77">
        <f t="shared" si="71"/>
        <v>864.41</v>
      </c>
      <c r="V923" s="72">
        <f t="shared" si="74"/>
        <v>-11063.94</v>
      </c>
      <c r="W923" s="72">
        <f>D_Emprunts!$U923-D_Emprunts!$V923</f>
        <v>11928.35</v>
      </c>
      <c r="X923" s="73">
        <f>X922-D_Emprunts!$W923</f>
        <v>-3762351.8199999984</v>
      </c>
      <c r="Y923">
        <v>916</v>
      </c>
      <c r="Z923" t="str">
        <f t="shared" si="72"/>
        <v>Investissement</v>
      </c>
      <c r="AA923" t="str">
        <f t="shared" si="73"/>
        <v>travaux magasin</v>
      </c>
    </row>
    <row r="924" spans="20:27" x14ac:dyDescent="0.25">
      <c r="T924" s="68">
        <f t="shared" si="70"/>
        <v>71838</v>
      </c>
      <c r="U924" s="77">
        <f t="shared" si="71"/>
        <v>864.41</v>
      </c>
      <c r="V924" s="72">
        <f t="shared" si="74"/>
        <v>-11099.13</v>
      </c>
      <c r="W924" s="69">
        <f>D_Emprunts!$U924-D_Emprunts!$V924</f>
        <v>11963.539999999999</v>
      </c>
      <c r="X924" s="70">
        <f>X923-D_Emprunts!$W924</f>
        <v>-3774315.3599999985</v>
      </c>
      <c r="Y924">
        <v>917</v>
      </c>
      <c r="Z924" t="str">
        <f t="shared" si="72"/>
        <v>Investissement</v>
      </c>
      <c r="AA924" t="str">
        <f t="shared" si="73"/>
        <v>travaux magasin</v>
      </c>
    </row>
    <row r="925" spans="20:27" x14ac:dyDescent="0.25">
      <c r="T925" s="71">
        <f t="shared" si="70"/>
        <v>71868</v>
      </c>
      <c r="U925" s="77">
        <f t="shared" si="71"/>
        <v>864.41</v>
      </c>
      <c r="V925" s="72">
        <f t="shared" si="74"/>
        <v>-11134.42</v>
      </c>
      <c r="W925" s="72">
        <f>D_Emprunts!$U925-D_Emprunts!$V925</f>
        <v>11998.83</v>
      </c>
      <c r="X925" s="73">
        <f>X924-D_Emprunts!$W925</f>
        <v>-3786314.1899999985</v>
      </c>
      <c r="Y925">
        <v>918</v>
      </c>
      <c r="Z925" t="str">
        <f t="shared" si="72"/>
        <v>Investissement</v>
      </c>
      <c r="AA925" t="str">
        <f t="shared" si="73"/>
        <v>travaux magasin</v>
      </c>
    </row>
    <row r="926" spans="20:27" x14ac:dyDescent="0.25">
      <c r="T926" s="68">
        <f t="shared" si="70"/>
        <v>71899</v>
      </c>
      <c r="U926" s="77">
        <f t="shared" si="71"/>
        <v>864.41</v>
      </c>
      <c r="V926" s="72">
        <f t="shared" si="74"/>
        <v>-11169.82</v>
      </c>
      <c r="W926" s="69">
        <f>D_Emprunts!$U926-D_Emprunts!$V926</f>
        <v>12034.23</v>
      </c>
      <c r="X926" s="70">
        <f>X925-D_Emprunts!$W926</f>
        <v>-3798348.4199999985</v>
      </c>
      <c r="Y926">
        <v>919</v>
      </c>
      <c r="Z926" t="str">
        <f t="shared" si="72"/>
        <v>Investissement</v>
      </c>
      <c r="AA926" t="str">
        <f t="shared" si="73"/>
        <v>travaux magasin</v>
      </c>
    </row>
    <row r="927" spans="20:27" x14ac:dyDescent="0.25">
      <c r="T927" s="71">
        <f t="shared" si="70"/>
        <v>71929</v>
      </c>
      <c r="U927" s="77">
        <f t="shared" si="71"/>
        <v>864.41</v>
      </c>
      <c r="V927" s="72">
        <f t="shared" si="74"/>
        <v>-11205.32</v>
      </c>
      <c r="W927" s="72">
        <f>D_Emprunts!$U927-D_Emprunts!$V927</f>
        <v>12069.73</v>
      </c>
      <c r="X927" s="73">
        <f>X926-D_Emprunts!$W927</f>
        <v>-3810418.1499999985</v>
      </c>
      <c r="Y927">
        <v>920</v>
      </c>
      <c r="Z927" t="str">
        <f t="shared" si="72"/>
        <v>Investissement</v>
      </c>
      <c r="AA927" t="str">
        <f t="shared" si="73"/>
        <v>travaux magasin</v>
      </c>
    </row>
    <row r="928" spans="20:27" x14ac:dyDescent="0.25">
      <c r="T928" s="68">
        <f t="shared" si="70"/>
        <v>71960</v>
      </c>
      <c r="U928" s="77">
        <f t="shared" si="71"/>
        <v>864.41</v>
      </c>
      <c r="V928" s="72">
        <f t="shared" si="74"/>
        <v>-11240.93</v>
      </c>
      <c r="W928" s="69">
        <f>D_Emprunts!$U928-D_Emprunts!$V928</f>
        <v>12105.34</v>
      </c>
      <c r="X928" s="70">
        <f>X927-D_Emprunts!$W928</f>
        <v>-3822523.4899999984</v>
      </c>
      <c r="Y928">
        <v>921</v>
      </c>
      <c r="Z928" t="str">
        <f t="shared" si="72"/>
        <v>Investissement</v>
      </c>
      <c r="AA928" t="str">
        <f t="shared" si="73"/>
        <v>travaux magasin</v>
      </c>
    </row>
    <row r="929" spans="20:27" x14ac:dyDescent="0.25">
      <c r="T929" s="71">
        <f t="shared" si="70"/>
        <v>71991</v>
      </c>
      <c r="U929" s="77">
        <f t="shared" si="71"/>
        <v>864.41</v>
      </c>
      <c r="V929" s="72">
        <f t="shared" si="74"/>
        <v>-11276.64</v>
      </c>
      <c r="W929" s="72">
        <f>D_Emprunts!$U929-D_Emprunts!$V929</f>
        <v>12141.05</v>
      </c>
      <c r="X929" s="73">
        <f>X928-D_Emprunts!$W929</f>
        <v>-3834664.5399999982</v>
      </c>
      <c r="Y929">
        <v>922</v>
      </c>
      <c r="Z929" t="str">
        <f t="shared" si="72"/>
        <v>Investissement</v>
      </c>
      <c r="AA929" t="str">
        <f t="shared" si="73"/>
        <v>travaux magasin</v>
      </c>
    </row>
    <row r="930" spans="20:27" x14ac:dyDescent="0.25">
      <c r="T930" s="68">
        <f t="shared" si="70"/>
        <v>72019</v>
      </c>
      <c r="U930" s="77">
        <f t="shared" si="71"/>
        <v>864.41</v>
      </c>
      <c r="V930" s="72">
        <f t="shared" si="74"/>
        <v>-11312.46</v>
      </c>
      <c r="W930" s="69">
        <f>D_Emprunts!$U930-D_Emprunts!$V930</f>
        <v>12176.869999999999</v>
      </c>
      <c r="X930" s="70">
        <f>X929-D_Emprunts!$W930</f>
        <v>-3846841.4099999983</v>
      </c>
      <c r="Y930">
        <v>923</v>
      </c>
      <c r="Z930" t="str">
        <f t="shared" si="72"/>
        <v>Investissement</v>
      </c>
      <c r="AA930" t="str">
        <f t="shared" si="73"/>
        <v>travaux magasin</v>
      </c>
    </row>
    <row r="931" spans="20:27" x14ac:dyDescent="0.25">
      <c r="T931" s="71">
        <f t="shared" si="70"/>
        <v>72050</v>
      </c>
      <c r="U931" s="77">
        <f t="shared" si="71"/>
        <v>864.41</v>
      </c>
      <c r="V931" s="72">
        <f t="shared" si="74"/>
        <v>-11348.38</v>
      </c>
      <c r="W931" s="72">
        <f>D_Emprunts!$U931-D_Emprunts!$V931</f>
        <v>12212.789999999999</v>
      </c>
      <c r="X931" s="73">
        <f>X930-D_Emprunts!$W931</f>
        <v>-3859054.1999999983</v>
      </c>
      <c r="Y931">
        <v>924</v>
      </c>
      <c r="Z931" t="str">
        <f t="shared" si="72"/>
        <v>Investissement</v>
      </c>
      <c r="AA931" t="str">
        <f t="shared" si="73"/>
        <v>travaux magasin</v>
      </c>
    </row>
    <row r="932" spans="20:27" x14ac:dyDescent="0.25">
      <c r="T932" s="68">
        <f t="shared" si="70"/>
        <v>72080</v>
      </c>
      <c r="U932" s="77">
        <f t="shared" si="71"/>
        <v>864.41</v>
      </c>
      <c r="V932" s="72">
        <f t="shared" si="74"/>
        <v>-11384.41</v>
      </c>
      <c r="W932" s="69">
        <f>D_Emprunts!$U932-D_Emprunts!$V932</f>
        <v>12248.82</v>
      </c>
      <c r="X932" s="70">
        <f>X931-D_Emprunts!$W932</f>
        <v>-3871303.0199999982</v>
      </c>
      <c r="Y932">
        <v>925</v>
      </c>
      <c r="Z932" t="str">
        <f t="shared" si="72"/>
        <v>Investissement</v>
      </c>
      <c r="AA932" t="str">
        <f t="shared" si="73"/>
        <v>travaux magasin</v>
      </c>
    </row>
    <row r="933" spans="20:27" x14ac:dyDescent="0.25">
      <c r="T933" s="71">
        <f t="shared" si="70"/>
        <v>72111</v>
      </c>
      <c r="U933" s="77">
        <f t="shared" si="71"/>
        <v>864.41</v>
      </c>
      <c r="V933" s="72">
        <f t="shared" si="74"/>
        <v>-11420.54</v>
      </c>
      <c r="W933" s="72">
        <f>D_Emprunts!$U933-D_Emprunts!$V933</f>
        <v>12284.95</v>
      </c>
      <c r="X933" s="73">
        <f>X932-D_Emprunts!$W933</f>
        <v>-3883587.9699999983</v>
      </c>
      <c r="Y933">
        <v>926</v>
      </c>
      <c r="Z933" t="str">
        <f t="shared" si="72"/>
        <v>Investissement</v>
      </c>
      <c r="AA933" t="str">
        <f t="shared" si="73"/>
        <v>travaux magasin</v>
      </c>
    </row>
    <row r="934" spans="20:27" x14ac:dyDescent="0.25">
      <c r="T934" s="68">
        <f t="shared" si="70"/>
        <v>72141</v>
      </c>
      <c r="U934" s="77">
        <f t="shared" si="71"/>
        <v>864.41</v>
      </c>
      <c r="V934" s="72">
        <f t="shared" si="74"/>
        <v>-11456.78</v>
      </c>
      <c r="W934" s="69">
        <f>D_Emprunts!$U934-D_Emprunts!$V934</f>
        <v>12321.19</v>
      </c>
      <c r="X934" s="70">
        <f>X933-D_Emprunts!$W934</f>
        <v>-3895909.1599999983</v>
      </c>
      <c r="Y934">
        <v>927</v>
      </c>
      <c r="Z934" t="str">
        <f t="shared" si="72"/>
        <v>Investissement</v>
      </c>
      <c r="AA934" t="str">
        <f t="shared" si="73"/>
        <v>travaux magasin</v>
      </c>
    </row>
    <row r="935" spans="20:27" x14ac:dyDescent="0.25">
      <c r="T935" s="71">
        <f t="shared" si="70"/>
        <v>72172</v>
      </c>
      <c r="U935" s="77">
        <f t="shared" si="71"/>
        <v>864.41</v>
      </c>
      <c r="V935" s="72">
        <f t="shared" si="74"/>
        <v>-11493.13</v>
      </c>
      <c r="W935" s="72">
        <f>D_Emprunts!$U935-D_Emprunts!$V935</f>
        <v>12357.539999999999</v>
      </c>
      <c r="X935" s="73">
        <f>X934-D_Emprunts!$W935</f>
        <v>-3908266.6999999983</v>
      </c>
      <c r="Y935">
        <v>928</v>
      </c>
      <c r="Z935" t="str">
        <f t="shared" si="72"/>
        <v>Investissement</v>
      </c>
      <c r="AA935" t="str">
        <f t="shared" si="73"/>
        <v>travaux magasin</v>
      </c>
    </row>
    <row r="936" spans="20:27" x14ac:dyDescent="0.25">
      <c r="T936" s="68">
        <f t="shared" si="70"/>
        <v>72203</v>
      </c>
      <c r="U936" s="77">
        <f t="shared" si="71"/>
        <v>864.41</v>
      </c>
      <c r="V936" s="72">
        <f t="shared" si="74"/>
        <v>-11529.59</v>
      </c>
      <c r="W936" s="69">
        <f>D_Emprunts!$U936-D_Emprunts!$V936</f>
        <v>12394</v>
      </c>
      <c r="X936" s="70">
        <f>X935-D_Emprunts!$W936</f>
        <v>-3920660.6999999983</v>
      </c>
      <c r="Y936">
        <v>929</v>
      </c>
      <c r="Z936" t="str">
        <f t="shared" si="72"/>
        <v>Investissement</v>
      </c>
      <c r="AA936" t="str">
        <f t="shared" si="73"/>
        <v>travaux magasin</v>
      </c>
    </row>
    <row r="937" spans="20:27" x14ac:dyDescent="0.25">
      <c r="T937" s="71">
        <f t="shared" si="70"/>
        <v>72233</v>
      </c>
      <c r="U937" s="77">
        <f t="shared" si="71"/>
        <v>864.41</v>
      </c>
      <c r="V937" s="72">
        <f t="shared" si="74"/>
        <v>-11566.15</v>
      </c>
      <c r="W937" s="72">
        <f>D_Emprunts!$U937-D_Emprunts!$V937</f>
        <v>12430.56</v>
      </c>
      <c r="X937" s="73">
        <f>X936-D_Emprunts!$W937</f>
        <v>-3933091.2599999984</v>
      </c>
      <c r="Y937">
        <v>930</v>
      </c>
      <c r="Z937" t="str">
        <f t="shared" si="72"/>
        <v>Investissement</v>
      </c>
      <c r="AA937" t="str">
        <f t="shared" si="73"/>
        <v>travaux magasin</v>
      </c>
    </row>
    <row r="938" spans="20:27" x14ac:dyDescent="0.25">
      <c r="T938" s="68">
        <f t="shared" si="70"/>
        <v>72264</v>
      </c>
      <c r="U938" s="77">
        <f t="shared" si="71"/>
        <v>864.41</v>
      </c>
      <c r="V938" s="72">
        <f t="shared" si="74"/>
        <v>-11602.82</v>
      </c>
      <c r="W938" s="69">
        <f>D_Emprunts!$U938-D_Emprunts!$V938</f>
        <v>12467.23</v>
      </c>
      <c r="X938" s="70">
        <f>X937-D_Emprunts!$W938</f>
        <v>-3945558.4899999984</v>
      </c>
      <c r="Y938">
        <v>931</v>
      </c>
      <c r="Z938" t="str">
        <f t="shared" si="72"/>
        <v>Investissement</v>
      </c>
      <c r="AA938" t="str">
        <f t="shared" si="73"/>
        <v>travaux magasin</v>
      </c>
    </row>
    <row r="939" spans="20:27" x14ac:dyDescent="0.25">
      <c r="T939" s="71">
        <f t="shared" si="70"/>
        <v>72294</v>
      </c>
      <c r="U939" s="77">
        <f t="shared" si="71"/>
        <v>864.41</v>
      </c>
      <c r="V939" s="72">
        <f t="shared" si="74"/>
        <v>-11639.6</v>
      </c>
      <c r="W939" s="72">
        <f>D_Emprunts!$U939-D_Emprunts!$V939</f>
        <v>12504.01</v>
      </c>
      <c r="X939" s="73">
        <f>X938-D_Emprunts!$W939</f>
        <v>-3958062.4999999981</v>
      </c>
      <c r="Y939">
        <v>932</v>
      </c>
      <c r="Z939" t="str">
        <f t="shared" si="72"/>
        <v>Investissement</v>
      </c>
      <c r="AA939" t="str">
        <f t="shared" si="73"/>
        <v>travaux magasin</v>
      </c>
    </row>
    <row r="940" spans="20:27" x14ac:dyDescent="0.25">
      <c r="T940" s="68">
        <f t="shared" si="70"/>
        <v>72325</v>
      </c>
      <c r="U940" s="77">
        <f t="shared" si="71"/>
        <v>864.41</v>
      </c>
      <c r="V940" s="72">
        <f t="shared" si="74"/>
        <v>-11676.49</v>
      </c>
      <c r="W940" s="69">
        <f>D_Emprunts!$U940-D_Emprunts!$V940</f>
        <v>12540.9</v>
      </c>
      <c r="X940" s="70">
        <f>X939-D_Emprunts!$W940</f>
        <v>-3970603.399999998</v>
      </c>
      <c r="Y940">
        <v>933</v>
      </c>
      <c r="Z940" t="str">
        <f t="shared" si="72"/>
        <v>Investissement</v>
      </c>
      <c r="AA940" t="str">
        <f t="shared" si="73"/>
        <v>travaux magasin</v>
      </c>
    </row>
    <row r="941" spans="20:27" x14ac:dyDescent="0.25">
      <c r="T941" s="71">
        <f t="shared" si="70"/>
        <v>72356</v>
      </c>
      <c r="U941" s="77">
        <f t="shared" si="71"/>
        <v>864.41</v>
      </c>
      <c r="V941" s="72">
        <f t="shared" si="74"/>
        <v>-11713.48</v>
      </c>
      <c r="W941" s="72">
        <f>D_Emprunts!$U941-D_Emprunts!$V941</f>
        <v>12577.89</v>
      </c>
      <c r="X941" s="73">
        <f>X940-D_Emprunts!$W941</f>
        <v>-3983181.2899999982</v>
      </c>
      <c r="Y941">
        <v>934</v>
      </c>
      <c r="Z941" t="str">
        <f t="shared" si="72"/>
        <v>Investissement</v>
      </c>
      <c r="AA941" t="str">
        <f t="shared" si="73"/>
        <v>travaux magasin</v>
      </c>
    </row>
    <row r="942" spans="20:27" x14ac:dyDescent="0.25">
      <c r="T942" s="68">
        <f t="shared" si="70"/>
        <v>72384</v>
      </c>
      <c r="U942" s="77">
        <f t="shared" si="71"/>
        <v>864.41</v>
      </c>
      <c r="V942" s="72">
        <f t="shared" si="74"/>
        <v>-11750.59</v>
      </c>
      <c r="W942" s="69">
        <f>D_Emprunts!$U942-D_Emprunts!$V942</f>
        <v>12615</v>
      </c>
      <c r="X942" s="70">
        <f>X941-D_Emprunts!$W942</f>
        <v>-3995796.2899999982</v>
      </c>
      <c r="Y942">
        <v>935</v>
      </c>
      <c r="Z942" t="str">
        <f t="shared" si="72"/>
        <v>Investissement</v>
      </c>
      <c r="AA942" t="str">
        <f t="shared" si="73"/>
        <v>travaux magasin</v>
      </c>
    </row>
    <row r="943" spans="20:27" x14ac:dyDescent="0.25">
      <c r="T943" s="71">
        <f t="shared" si="70"/>
        <v>72415</v>
      </c>
      <c r="U943" s="77">
        <f t="shared" si="71"/>
        <v>864.41</v>
      </c>
      <c r="V943" s="72">
        <f t="shared" si="74"/>
        <v>-11787.8</v>
      </c>
      <c r="W943" s="72">
        <f>D_Emprunts!$U943-D_Emprunts!$V943</f>
        <v>12652.21</v>
      </c>
      <c r="X943" s="73">
        <f>X942-D_Emprunts!$W943</f>
        <v>-4008448.4999999981</v>
      </c>
      <c r="Y943">
        <v>936</v>
      </c>
      <c r="Z943" t="str">
        <f t="shared" si="72"/>
        <v>Investissement</v>
      </c>
      <c r="AA943" t="str">
        <f t="shared" si="73"/>
        <v>travaux magasin</v>
      </c>
    </row>
    <row r="944" spans="20:27" x14ac:dyDescent="0.25">
      <c r="T944" s="68">
        <f t="shared" si="70"/>
        <v>72445</v>
      </c>
      <c r="U944" s="77">
        <f t="shared" si="71"/>
        <v>864.41</v>
      </c>
      <c r="V944" s="72">
        <f t="shared" si="74"/>
        <v>-11825.13</v>
      </c>
      <c r="W944" s="69">
        <f>D_Emprunts!$U944-D_Emprunts!$V944</f>
        <v>12689.539999999999</v>
      </c>
      <c r="X944" s="70">
        <f>X943-D_Emprunts!$W944</f>
        <v>-4021138.0399999982</v>
      </c>
      <c r="Y944">
        <v>937</v>
      </c>
      <c r="Z944" t="str">
        <f t="shared" si="72"/>
        <v>Investissement</v>
      </c>
      <c r="AA944" t="str">
        <f t="shared" si="73"/>
        <v>travaux magasin</v>
      </c>
    </row>
    <row r="945" spans="20:27" x14ac:dyDescent="0.25">
      <c r="T945" s="71">
        <f t="shared" si="70"/>
        <v>72476</v>
      </c>
      <c r="U945" s="77">
        <f t="shared" si="71"/>
        <v>864.41</v>
      </c>
      <c r="V945" s="72">
        <f t="shared" si="74"/>
        <v>-11862.56</v>
      </c>
      <c r="W945" s="72">
        <f>D_Emprunts!$U945-D_Emprunts!$V945</f>
        <v>12726.97</v>
      </c>
      <c r="X945" s="73">
        <f>X944-D_Emprunts!$W945</f>
        <v>-4033865.0099999984</v>
      </c>
      <c r="Y945">
        <v>938</v>
      </c>
      <c r="Z945" t="str">
        <f t="shared" si="72"/>
        <v>Investissement</v>
      </c>
      <c r="AA945" t="str">
        <f t="shared" si="73"/>
        <v>travaux magasin</v>
      </c>
    </row>
    <row r="946" spans="20:27" x14ac:dyDescent="0.25">
      <c r="T946" s="68">
        <f t="shared" si="70"/>
        <v>72506</v>
      </c>
      <c r="U946" s="77">
        <f t="shared" si="71"/>
        <v>864.41</v>
      </c>
      <c r="V946" s="72">
        <f t="shared" si="74"/>
        <v>-11900.11</v>
      </c>
      <c r="W946" s="69">
        <f>D_Emprunts!$U946-D_Emprunts!$V946</f>
        <v>12764.52</v>
      </c>
      <c r="X946" s="70">
        <f>X945-D_Emprunts!$W946</f>
        <v>-4046629.5299999984</v>
      </c>
      <c r="Y946">
        <v>939</v>
      </c>
      <c r="Z946" t="str">
        <f t="shared" si="72"/>
        <v>Investissement</v>
      </c>
      <c r="AA946" t="str">
        <f t="shared" si="73"/>
        <v>travaux magasin</v>
      </c>
    </row>
    <row r="947" spans="20:27" x14ac:dyDescent="0.25">
      <c r="T947" s="71">
        <f t="shared" si="70"/>
        <v>72537</v>
      </c>
      <c r="U947" s="77">
        <f t="shared" si="71"/>
        <v>864.41</v>
      </c>
      <c r="V947" s="72">
        <f t="shared" si="74"/>
        <v>-11937.76</v>
      </c>
      <c r="W947" s="72">
        <f>D_Emprunts!$U947-D_Emprunts!$V947</f>
        <v>12802.17</v>
      </c>
      <c r="X947" s="73">
        <f>X946-D_Emprunts!$W947</f>
        <v>-4059431.6999999983</v>
      </c>
      <c r="Y947">
        <v>940</v>
      </c>
      <c r="Z947" t="str">
        <f t="shared" si="72"/>
        <v>Investissement</v>
      </c>
      <c r="AA947" t="str">
        <f t="shared" si="73"/>
        <v>travaux magasin</v>
      </c>
    </row>
    <row r="948" spans="20:27" x14ac:dyDescent="0.25">
      <c r="T948" s="68">
        <f t="shared" si="70"/>
        <v>72568</v>
      </c>
      <c r="U948" s="77">
        <f t="shared" si="71"/>
        <v>864.41</v>
      </c>
      <c r="V948" s="72">
        <f t="shared" si="74"/>
        <v>-11975.53</v>
      </c>
      <c r="W948" s="69">
        <f>D_Emprunts!$U948-D_Emprunts!$V948</f>
        <v>12839.94</v>
      </c>
      <c r="X948" s="70">
        <f>X947-D_Emprunts!$W948</f>
        <v>-4072271.6399999983</v>
      </c>
      <c r="Y948">
        <v>941</v>
      </c>
      <c r="Z948" t="str">
        <f t="shared" si="72"/>
        <v>Investissement</v>
      </c>
      <c r="AA948" t="str">
        <f t="shared" si="73"/>
        <v>travaux magasin</v>
      </c>
    </row>
    <row r="949" spans="20:27" x14ac:dyDescent="0.25">
      <c r="T949" s="71">
        <f t="shared" si="70"/>
        <v>72598</v>
      </c>
      <c r="U949" s="77">
        <f t="shared" si="71"/>
        <v>864.41</v>
      </c>
      <c r="V949" s="72">
        <f t="shared" si="74"/>
        <v>-12013.41</v>
      </c>
      <c r="W949" s="72">
        <f>D_Emprunts!$U949-D_Emprunts!$V949</f>
        <v>12877.82</v>
      </c>
      <c r="X949" s="73">
        <f>X948-D_Emprunts!$W949</f>
        <v>-4085149.4599999981</v>
      </c>
      <c r="Y949">
        <v>942</v>
      </c>
      <c r="Z949" t="str">
        <f t="shared" si="72"/>
        <v>Investissement</v>
      </c>
      <c r="AA949" t="str">
        <f t="shared" si="73"/>
        <v>travaux magasin</v>
      </c>
    </row>
    <row r="950" spans="20:27" x14ac:dyDescent="0.25">
      <c r="T950" s="68">
        <f t="shared" si="70"/>
        <v>72629</v>
      </c>
      <c r="U950" s="77">
        <f t="shared" si="71"/>
        <v>864.41</v>
      </c>
      <c r="V950" s="72">
        <f t="shared" si="74"/>
        <v>-12051.4</v>
      </c>
      <c r="W950" s="69">
        <f>D_Emprunts!$U950-D_Emprunts!$V950</f>
        <v>12915.81</v>
      </c>
      <c r="X950" s="70">
        <f>X949-D_Emprunts!$W950</f>
        <v>-4098065.2699999982</v>
      </c>
      <c r="Y950">
        <v>943</v>
      </c>
      <c r="Z950" t="str">
        <f t="shared" si="72"/>
        <v>Investissement</v>
      </c>
      <c r="AA950" t="str">
        <f t="shared" si="73"/>
        <v>travaux magasin</v>
      </c>
    </row>
    <row r="951" spans="20:27" x14ac:dyDescent="0.25">
      <c r="T951" s="71">
        <f t="shared" si="70"/>
        <v>72659</v>
      </c>
      <c r="U951" s="77">
        <f t="shared" si="71"/>
        <v>864.41</v>
      </c>
      <c r="V951" s="72">
        <f t="shared" si="74"/>
        <v>-12089.5</v>
      </c>
      <c r="W951" s="72">
        <f>D_Emprunts!$U951-D_Emprunts!$V951</f>
        <v>12953.91</v>
      </c>
      <c r="X951" s="73">
        <f>X950-D_Emprunts!$W951</f>
        <v>-4111019.1799999983</v>
      </c>
      <c r="Y951">
        <v>944</v>
      </c>
      <c r="Z951" t="str">
        <f t="shared" si="72"/>
        <v>Investissement</v>
      </c>
      <c r="AA951" t="str">
        <f t="shared" si="73"/>
        <v>travaux magasin</v>
      </c>
    </row>
    <row r="952" spans="20:27" x14ac:dyDescent="0.25">
      <c r="T952" s="68">
        <f t="shared" si="70"/>
        <v>72690</v>
      </c>
      <c r="U952" s="77">
        <f t="shared" si="71"/>
        <v>864.41</v>
      </c>
      <c r="V952" s="72">
        <f t="shared" si="74"/>
        <v>-12127.72</v>
      </c>
      <c r="W952" s="69">
        <f>D_Emprunts!$U952-D_Emprunts!$V952</f>
        <v>12992.13</v>
      </c>
      <c r="X952" s="70">
        <f>X951-D_Emprunts!$W952</f>
        <v>-4124011.3099999982</v>
      </c>
      <c r="Y952">
        <v>945</v>
      </c>
      <c r="Z952" t="str">
        <f t="shared" si="72"/>
        <v>Investissement</v>
      </c>
      <c r="AA952" t="str">
        <f t="shared" si="73"/>
        <v>travaux magasin</v>
      </c>
    </row>
    <row r="953" spans="20:27" x14ac:dyDescent="0.25">
      <c r="T953" s="71">
        <f t="shared" si="70"/>
        <v>72721</v>
      </c>
      <c r="U953" s="77">
        <f t="shared" si="71"/>
        <v>864.41</v>
      </c>
      <c r="V953" s="72">
        <f t="shared" si="74"/>
        <v>-12166.04</v>
      </c>
      <c r="W953" s="72">
        <f>D_Emprunts!$U953-D_Emprunts!$V953</f>
        <v>13030.45</v>
      </c>
      <c r="X953" s="73">
        <f>X952-D_Emprunts!$W953</f>
        <v>-4137041.7599999984</v>
      </c>
      <c r="Y953">
        <v>946</v>
      </c>
      <c r="Z953" t="str">
        <f t="shared" si="72"/>
        <v>Investissement</v>
      </c>
      <c r="AA953" t="str">
        <f t="shared" si="73"/>
        <v>travaux magasin</v>
      </c>
    </row>
    <row r="954" spans="20:27" x14ac:dyDescent="0.25">
      <c r="T954" s="68">
        <f t="shared" si="70"/>
        <v>72749</v>
      </c>
      <c r="U954" s="77">
        <f t="shared" si="71"/>
        <v>864.41</v>
      </c>
      <c r="V954" s="72">
        <f t="shared" si="74"/>
        <v>-12204.48</v>
      </c>
      <c r="W954" s="69">
        <f>D_Emprunts!$U954-D_Emprunts!$V954</f>
        <v>13068.89</v>
      </c>
      <c r="X954" s="70">
        <f>X953-D_Emprunts!$W954</f>
        <v>-4150110.6499999985</v>
      </c>
      <c r="Y954">
        <v>947</v>
      </c>
      <c r="Z954" t="str">
        <f t="shared" si="72"/>
        <v>Investissement</v>
      </c>
      <c r="AA954" t="str">
        <f t="shared" si="73"/>
        <v>travaux magasin</v>
      </c>
    </row>
    <row r="955" spans="20:27" x14ac:dyDescent="0.25">
      <c r="T955" s="71">
        <f t="shared" si="70"/>
        <v>72780</v>
      </c>
      <c r="U955" s="77">
        <f t="shared" si="71"/>
        <v>864.41</v>
      </c>
      <c r="V955" s="72">
        <f t="shared" si="74"/>
        <v>-12243.04</v>
      </c>
      <c r="W955" s="72">
        <f>D_Emprunts!$U955-D_Emprunts!$V955</f>
        <v>13107.45</v>
      </c>
      <c r="X955" s="73">
        <f>X954-D_Emprunts!$W955</f>
        <v>-4163218.0999999987</v>
      </c>
      <c r="Y955">
        <v>948</v>
      </c>
      <c r="Z955" t="str">
        <f t="shared" si="72"/>
        <v>Investissement</v>
      </c>
      <c r="AA955" t="str">
        <f t="shared" si="73"/>
        <v>travaux magasin</v>
      </c>
    </row>
    <row r="956" spans="20:27" x14ac:dyDescent="0.25">
      <c r="T956" s="68">
        <f t="shared" si="70"/>
        <v>72810</v>
      </c>
      <c r="U956" s="77">
        <f t="shared" si="71"/>
        <v>864.41</v>
      </c>
      <c r="V956" s="72">
        <f t="shared" si="74"/>
        <v>-12281.71</v>
      </c>
      <c r="W956" s="69">
        <f>D_Emprunts!$U956-D_Emprunts!$V956</f>
        <v>13146.119999999999</v>
      </c>
      <c r="X956" s="70">
        <f>X955-D_Emprunts!$W956</f>
        <v>-4176364.2199999988</v>
      </c>
      <c r="Y956">
        <v>949</v>
      </c>
      <c r="Z956" t="str">
        <f t="shared" si="72"/>
        <v>Investissement</v>
      </c>
      <c r="AA956" t="str">
        <f t="shared" si="73"/>
        <v>travaux magasin</v>
      </c>
    </row>
    <row r="957" spans="20:27" x14ac:dyDescent="0.25">
      <c r="T957" s="71">
        <f t="shared" si="70"/>
        <v>72841</v>
      </c>
      <c r="U957" s="77">
        <f t="shared" si="71"/>
        <v>864.41</v>
      </c>
      <c r="V957" s="72">
        <f t="shared" si="74"/>
        <v>-12320.49</v>
      </c>
      <c r="W957" s="72">
        <f>D_Emprunts!$U957-D_Emprunts!$V957</f>
        <v>13184.9</v>
      </c>
      <c r="X957" s="73">
        <f>X956-D_Emprunts!$W957</f>
        <v>-4189549.1199999987</v>
      </c>
      <c r="Y957">
        <v>950</v>
      </c>
      <c r="Z957" t="str">
        <f t="shared" si="72"/>
        <v>Investissement</v>
      </c>
      <c r="AA957" t="str">
        <f t="shared" si="73"/>
        <v>travaux magasin</v>
      </c>
    </row>
    <row r="958" spans="20:27" x14ac:dyDescent="0.25">
      <c r="T958" s="68">
        <f t="shared" si="70"/>
        <v>72871</v>
      </c>
      <c r="U958" s="77">
        <f t="shared" si="71"/>
        <v>864.41</v>
      </c>
      <c r="V958" s="72">
        <f t="shared" si="74"/>
        <v>-12359.38</v>
      </c>
      <c r="W958" s="69">
        <f>D_Emprunts!$U958-D_Emprunts!$V958</f>
        <v>13223.789999999999</v>
      </c>
      <c r="X958" s="70">
        <f>X957-D_Emprunts!$W958</f>
        <v>-4202772.9099999983</v>
      </c>
      <c r="Y958">
        <v>951</v>
      </c>
      <c r="Z958" t="str">
        <f t="shared" si="72"/>
        <v>Investissement</v>
      </c>
      <c r="AA958" t="str">
        <f t="shared" si="73"/>
        <v>travaux magasin</v>
      </c>
    </row>
    <row r="959" spans="20:27" x14ac:dyDescent="0.25">
      <c r="T959" s="71">
        <f t="shared" si="70"/>
        <v>72902</v>
      </c>
      <c r="U959" s="77">
        <f t="shared" si="71"/>
        <v>864.41</v>
      </c>
      <c r="V959" s="72">
        <f t="shared" si="74"/>
        <v>-12398.4</v>
      </c>
      <c r="W959" s="72">
        <f>D_Emprunts!$U959-D_Emprunts!$V959</f>
        <v>13262.81</v>
      </c>
      <c r="X959" s="73">
        <f>X958-D_Emprunts!$W959</f>
        <v>-4216035.7199999979</v>
      </c>
      <c r="Y959">
        <v>952</v>
      </c>
      <c r="Z959" t="str">
        <f t="shared" si="72"/>
        <v>Investissement</v>
      </c>
      <c r="AA959" t="str">
        <f t="shared" si="73"/>
        <v>travaux magasin</v>
      </c>
    </row>
    <row r="960" spans="20:27" x14ac:dyDescent="0.25">
      <c r="T960" s="68">
        <f t="shared" si="70"/>
        <v>72933</v>
      </c>
      <c r="U960" s="77">
        <f t="shared" si="71"/>
        <v>864.41</v>
      </c>
      <c r="V960" s="72">
        <f t="shared" si="74"/>
        <v>-12437.52</v>
      </c>
      <c r="W960" s="69">
        <f>D_Emprunts!$U960-D_Emprunts!$V960</f>
        <v>13301.93</v>
      </c>
      <c r="X960" s="70">
        <f>X959-D_Emprunts!$W960</f>
        <v>-4229337.6499999976</v>
      </c>
      <c r="Y960">
        <v>953</v>
      </c>
      <c r="Z960" t="str">
        <f t="shared" si="72"/>
        <v>Investissement</v>
      </c>
      <c r="AA960" t="str">
        <f t="shared" si="73"/>
        <v>travaux magasin</v>
      </c>
    </row>
    <row r="961" spans="20:27" x14ac:dyDescent="0.25">
      <c r="T961" s="71">
        <f t="shared" si="70"/>
        <v>72963</v>
      </c>
      <c r="U961" s="77">
        <f t="shared" si="71"/>
        <v>864.41</v>
      </c>
      <c r="V961" s="72">
        <f t="shared" si="74"/>
        <v>-12476.76</v>
      </c>
      <c r="W961" s="72">
        <f>D_Emprunts!$U961-D_Emprunts!$V961</f>
        <v>13341.17</v>
      </c>
      <c r="X961" s="73">
        <f>X960-D_Emprunts!$W961</f>
        <v>-4242678.8199999975</v>
      </c>
      <c r="Y961">
        <v>954</v>
      </c>
      <c r="Z961" t="str">
        <f t="shared" si="72"/>
        <v>Investissement</v>
      </c>
      <c r="AA961" t="str">
        <f t="shared" si="73"/>
        <v>travaux magasin</v>
      </c>
    </row>
    <row r="962" spans="20:27" x14ac:dyDescent="0.25">
      <c r="T962" s="68">
        <f t="shared" si="70"/>
        <v>72994</v>
      </c>
      <c r="U962" s="77">
        <f t="shared" si="71"/>
        <v>864.41</v>
      </c>
      <c r="V962" s="72">
        <f t="shared" si="74"/>
        <v>-12516.12</v>
      </c>
      <c r="W962" s="69">
        <f>D_Emprunts!$U962-D_Emprunts!$V962</f>
        <v>13380.53</v>
      </c>
      <c r="X962" s="70">
        <f>X961-D_Emprunts!$W962</f>
        <v>-4256059.3499999978</v>
      </c>
      <c r="Y962">
        <v>955</v>
      </c>
      <c r="Z962" t="str">
        <f t="shared" si="72"/>
        <v>Investissement</v>
      </c>
      <c r="AA962" t="str">
        <f t="shared" si="73"/>
        <v>travaux magasin</v>
      </c>
    </row>
    <row r="963" spans="20:27" x14ac:dyDescent="0.25">
      <c r="T963" s="71">
        <f t="shared" si="70"/>
        <v>73024</v>
      </c>
      <c r="U963" s="77">
        <f t="shared" si="71"/>
        <v>864.41</v>
      </c>
      <c r="V963" s="72">
        <f t="shared" si="74"/>
        <v>-12555.59</v>
      </c>
      <c r="W963" s="72">
        <f>D_Emprunts!$U963-D_Emprunts!$V963</f>
        <v>13420</v>
      </c>
      <c r="X963" s="73">
        <f>X962-D_Emprunts!$W963</f>
        <v>-4269479.3499999978</v>
      </c>
      <c r="Y963">
        <v>956</v>
      </c>
      <c r="Z963" t="str">
        <f t="shared" si="72"/>
        <v>Investissement</v>
      </c>
      <c r="AA963" t="str">
        <f t="shared" si="73"/>
        <v>travaux magasin</v>
      </c>
    </row>
    <row r="964" spans="20:27" x14ac:dyDescent="0.25">
      <c r="T964" s="68">
        <f t="shared" si="70"/>
        <v>73055</v>
      </c>
      <c r="U964" s="77">
        <f t="shared" si="71"/>
        <v>864.41</v>
      </c>
      <c r="V964" s="72">
        <f t="shared" si="74"/>
        <v>-12595.18</v>
      </c>
      <c r="W964" s="69">
        <f>D_Emprunts!$U964-D_Emprunts!$V964</f>
        <v>13459.59</v>
      </c>
      <c r="X964" s="70">
        <f>X963-D_Emprunts!$W964</f>
        <v>-4282938.9399999976</v>
      </c>
      <c r="Y964">
        <v>957</v>
      </c>
      <c r="Z964" t="str">
        <f t="shared" si="72"/>
        <v>Investissement</v>
      </c>
      <c r="AA964" t="str">
        <f t="shared" si="73"/>
        <v>travaux magasin</v>
      </c>
    </row>
    <row r="965" spans="20:27" x14ac:dyDescent="0.25">
      <c r="T965" s="71">
        <f t="shared" si="70"/>
        <v>73086</v>
      </c>
      <c r="U965" s="77">
        <f t="shared" si="71"/>
        <v>864.41</v>
      </c>
      <c r="V965" s="72">
        <f t="shared" si="74"/>
        <v>-12634.89</v>
      </c>
      <c r="W965" s="72">
        <f>D_Emprunts!$U965-D_Emprunts!$V965</f>
        <v>13499.3</v>
      </c>
      <c r="X965" s="73">
        <f>X964-D_Emprunts!$W965</f>
        <v>-4296438.2399999974</v>
      </c>
      <c r="Y965">
        <v>958</v>
      </c>
      <c r="Z965" t="str">
        <f t="shared" si="72"/>
        <v>Investissement</v>
      </c>
      <c r="AA965" t="str">
        <f t="shared" si="73"/>
        <v>travaux magasin</v>
      </c>
    </row>
    <row r="966" spans="20:27" x14ac:dyDescent="0.25">
      <c r="T966" s="68">
        <f t="shared" si="70"/>
        <v>73114</v>
      </c>
      <c r="U966" s="77">
        <f t="shared" si="71"/>
        <v>864.41</v>
      </c>
      <c r="V966" s="72">
        <f t="shared" si="74"/>
        <v>-12674.71</v>
      </c>
      <c r="W966" s="69">
        <f>D_Emprunts!$U966-D_Emprunts!$V966</f>
        <v>13539.119999999999</v>
      </c>
      <c r="X966" s="70">
        <f>X965-D_Emprunts!$W966</f>
        <v>-4309977.3599999975</v>
      </c>
      <c r="Y966">
        <v>959</v>
      </c>
      <c r="Z966" t="str">
        <f t="shared" si="72"/>
        <v>Investissement</v>
      </c>
      <c r="AA966" t="str">
        <f t="shared" si="73"/>
        <v>travaux magasin</v>
      </c>
    </row>
    <row r="967" spans="20:27" x14ac:dyDescent="0.25">
      <c r="T967" s="71">
        <f t="shared" si="70"/>
        <v>73145</v>
      </c>
      <c r="U967" s="77">
        <f t="shared" si="71"/>
        <v>864.41</v>
      </c>
      <c r="V967" s="72">
        <f t="shared" si="74"/>
        <v>-12714.65</v>
      </c>
      <c r="W967" s="72">
        <f>D_Emprunts!$U967-D_Emprunts!$V967</f>
        <v>13579.06</v>
      </c>
      <c r="X967" s="73">
        <f>X966-D_Emprunts!$W967</f>
        <v>-4323556.4199999971</v>
      </c>
      <c r="Y967">
        <v>960</v>
      </c>
      <c r="Z967" t="str">
        <f t="shared" si="72"/>
        <v>Investissement</v>
      </c>
      <c r="AA967" t="str">
        <f t="shared" si="73"/>
        <v>travaux magasin</v>
      </c>
    </row>
    <row r="968" spans="20:27" x14ac:dyDescent="0.25">
      <c r="T968" s="68">
        <f t="shared" ref="T968:T1031" si="75">EDATE(T967,1)</f>
        <v>73175</v>
      </c>
      <c r="U968" s="77">
        <f t="shared" si="71"/>
        <v>864.41</v>
      </c>
      <c r="V968" s="72">
        <f t="shared" si="74"/>
        <v>-12754.71</v>
      </c>
      <c r="W968" s="69">
        <f>D_Emprunts!$U968-D_Emprunts!$V968</f>
        <v>13619.119999999999</v>
      </c>
      <c r="X968" s="70">
        <f>X967-D_Emprunts!$W968</f>
        <v>-4337175.5399999972</v>
      </c>
      <c r="Y968">
        <v>961</v>
      </c>
      <c r="Z968" t="str">
        <f t="shared" si="72"/>
        <v>Investissement</v>
      </c>
      <c r="AA968" t="str">
        <f t="shared" si="73"/>
        <v>travaux magasin</v>
      </c>
    </row>
    <row r="969" spans="20:27" x14ac:dyDescent="0.25">
      <c r="T969" s="71">
        <f t="shared" si="75"/>
        <v>73206</v>
      </c>
      <c r="U969" s="77">
        <f t="shared" ref="U969:U1032" si="76">$X$4</f>
        <v>864.41</v>
      </c>
      <c r="V969" s="72">
        <f t="shared" si="74"/>
        <v>-12794.89</v>
      </c>
      <c r="W969" s="72">
        <f>D_Emprunts!$U969-D_Emprunts!$V969</f>
        <v>13659.3</v>
      </c>
      <c r="X969" s="73">
        <f>X968-D_Emprunts!$W969</f>
        <v>-4350834.8399999971</v>
      </c>
      <c r="Y969">
        <v>962</v>
      </c>
      <c r="Z969" t="str">
        <f t="shared" ref="Z969:Z1032" si="77">$Y$4</f>
        <v>Investissement</v>
      </c>
      <c r="AA969" t="str">
        <f t="shared" ref="AA969:AA1032" si="78">$Z$4</f>
        <v>travaux magasin</v>
      </c>
    </row>
    <row r="970" spans="20:27" x14ac:dyDescent="0.25">
      <c r="T970" s="68">
        <f t="shared" si="75"/>
        <v>73236</v>
      </c>
      <c r="U970" s="77">
        <f t="shared" si="76"/>
        <v>864.41</v>
      </c>
      <c r="V970" s="72">
        <f t="shared" ref="V970:V1033" si="79">ROUND(X969*$V$4/12,2)</f>
        <v>-12835.19</v>
      </c>
      <c r="W970" s="69">
        <f>D_Emprunts!$U970-D_Emprunts!$V970</f>
        <v>13699.6</v>
      </c>
      <c r="X970" s="70">
        <f>X969-D_Emprunts!$W970</f>
        <v>-4364534.4399999967</v>
      </c>
      <c r="Y970">
        <v>963</v>
      </c>
      <c r="Z970" t="str">
        <f t="shared" si="77"/>
        <v>Investissement</v>
      </c>
      <c r="AA970" t="str">
        <f t="shared" si="78"/>
        <v>travaux magasin</v>
      </c>
    </row>
    <row r="971" spans="20:27" x14ac:dyDescent="0.25">
      <c r="T971" s="71">
        <f t="shared" si="75"/>
        <v>73267</v>
      </c>
      <c r="U971" s="77">
        <f t="shared" si="76"/>
        <v>864.41</v>
      </c>
      <c r="V971" s="72">
        <f t="shared" si="79"/>
        <v>-12875.6</v>
      </c>
      <c r="W971" s="72">
        <f>D_Emprunts!$U971-D_Emprunts!$V971</f>
        <v>13740.01</v>
      </c>
      <c r="X971" s="73">
        <f>X970-D_Emprunts!$W971</f>
        <v>-4378274.4499999965</v>
      </c>
      <c r="Y971">
        <v>964</v>
      </c>
      <c r="Z971" t="str">
        <f t="shared" si="77"/>
        <v>Investissement</v>
      </c>
      <c r="AA971" t="str">
        <f t="shared" si="78"/>
        <v>travaux magasin</v>
      </c>
    </row>
    <row r="972" spans="20:27" x14ac:dyDescent="0.25">
      <c r="T972" s="68">
        <f t="shared" si="75"/>
        <v>73298</v>
      </c>
      <c r="U972" s="77">
        <f t="shared" si="76"/>
        <v>864.41</v>
      </c>
      <c r="V972" s="72">
        <f t="shared" si="79"/>
        <v>-12916.13</v>
      </c>
      <c r="W972" s="69">
        <f>D_Emprunts!$U972-D_Emprunts!$V972</f>
        <v>13780.539999999999</v>
      </c>
      <c r="X972" s="70">
        <f>X971-D_Emprunts!$W972</f>
        <v>-4392054.9899999965</v>
      </c>
      <c r="Y972">
        <v>965</v>
      </c>
      <c r="Z972" t="str">
        <f t="shared" si="77"/>
        <v>Investissement</v>
      </c>
      <c r="AA972" t="str">
        <f t="shared" si="78"/>
        <v>travaux magasin</v>
      </c>
    </row>
    <row r="973" spans="20:27" x14ac:dyDescent="0.25">
      <c r="T973" s="71">
        <f t="shared" si="75"/>
        <v>73328</v>
      </c>
      <c r="U973" s="77">
        <f t="shared" si="76"/>
        <v>864.41</v>
      </c>
      <c r="V973" s="72">
        <f t="shared" si="79"/>
        <v>-12956.79</v>
      </c>
      <c r="W973" s="72">
        <f>D_Emprunts!$U973-D_Emprunts!$V973</f>
        <v>13821.2</v>
      </c>
      <c r="X973" s="73">
        <f>X972-D_Emprunts!$W973</f>
        <v>-4405876.1899999967</v>
      </c>
      <c r="Y973">
        <v>966</v>
      </c>
      <c r="Z973" t="str">
        <f t="shared" si="77"/>
        <v>Investissement</v>
      </c>
      <c r="AA973" t="str">
        <f t="shared" si="78"/>
        <v>travaux magasin</v>
      </c>
    </row>
    <row r="974" spans="20:27" x14ac:dyDescent="0.25">
      <c r="T974" s="68">
        <f t="shared" si="75"/>
        <v>73359</v>
      </c>
      <c r="U974" s="77">
        <f t="shared" si="76"/>
        <v>864.41</v>
      </c>
      <c r="V974" s="72">
        <f t="shared" si="79"/>
        <v>-12997.56</v>
      </c>
      <c r="W974" s="69">
        <f>D_Emprunts!$U974-D_Emprunts!$V974</f>
        <v>13861.97</v>
      </c>
      <c r="X974" s="70">
        <f>X973-D_Emprunts!$W974</f>
        <v>-4419738.1599999964</v>
      </c>
      <c r="Y974">
        <v>967</v>
      </c>
      <c r="Z974" t="str">
        <f t="shared" si="77"/>
        <v>Investissement</v>
      </c>
      <c r="AA974" t="str">
        <f t="shared" si="78"/>
        <v>travaux magasin</v>
      </c>
    </row>
    <row r="975" spans="20:27" x14ac:dyDescent="0.25">
      <c r="T975" s="71">
        <f t="shared" si="75"/>
        <v>73389</v>
      </c>
      <c r="U975" s="77">
        <f t="shared" si="76"/>
        <v>864.41</v>
      </c>
      <c r="V975" s="72">
        <f t="shared" si="79"/>
        <v>-13038.45</v>
      </c>
      <c r="W975" s="72">
        <f>D_Emprunts!$U975-D_Emprunts!$V975</f>
        <v>13902.86</v>
      </c>
      <c r="X975" s="73">
        <f>X974-D_Emprunts!$W975</f>
        <v>-4433641.0199999968</v>
      </c>
      <c r="Y975">
        <v>968</v>
      </c>
      <c r="Z975" t="str">
        <f t="shared" si="77"/>
        <v>Investissement</v>
      </c>
      <c r="AA975" t="str">
        <f t="shared" si="78"/>
        <v>travaux magasin</v>
      </c>
    </row>
    <row r="976" spans="20:27" x14ac:dyDescent="0.25">
      <c r="T976" s="68">
        <f t="shared" si="75"/>
        <v>73420</v>
      </c>
      <c r="U976" s="77">
        <f t="shared" si="76"/>
        <v>864.41</v>
      </c>
      <c r="V976" s="72">
        <f t="shared" si="79"/>
        <v>-13079.47</v>
      </c>
      <c r="W976" s="69">
        <f>D_Emprunts!$U976-D_Emprunts!$V976</f>
        <v>13943.88</v>
      </c>
      <c r="X976" s="70">
        <f>X975-D_Emprunts!$W976</f>
        <v>-4447584.8999999966</v>
      </c>
      <c r="Y976">
        <v>969</v>
      </c>
      <c r="Z976" t="str">
        <f t="shared" si="77"/>
        <v>Investissement</v>
      </c>
      <c r="AA976" t="str">
        <f t="shared" si="78"/>
        <v>travaux magasin</v>
      </c>
    </row>
    <row r="977" spans="20:27" x14ac:dyDescent="0.25">
      <c r="T977" s="71">
        <f t="shared" si="75"/>
        <v>73451</v>
      </c>
      <c r="U977" s="77">
        <f t="shared" si="76"/>
        <v>864.41</v>
      </c>
      <c r="V977" s="72">
        <f t="shared" si="79"/>
        <v>-13120.6</v>
      </c>
      <c r="W977" s="72">
        <f>D_Emprunts!$U977-D_Emprunts!$V977</f>
        <v>13985.01</v>
      </c>
      <c r="X977" s="73">
        <f>X976-D_Emprunts!$W977</f>
        <v>-4461569.9099999964</v>
      </c>
      <c r="Y977">
        <v>970</v>
      </c>
      <c r="Z977" t="str">
        <f t="shared" si="77"/>
        <v>Investissement</v>
      </c>
      <c r="AA977" t="str">
        <f t="shared" si="78"/>
        <v>travaux magasin</v>
      </c>
    </row>
    <row r="978" spans="20:27" x14ac:dyDescent="0.25">
      <c r="T978" s="68">
        <f t="shared" si="75"/>
        <v>73479</v>
      </c>
      <c r="U978" s="77">
        <f t="shared" si="76"/>
        <v>864.41</v>
      </c>
      <c r="V978" s="72">
        <f t="shared" si="79"/>
        <v>-13161.86</v>
      </c>
      <c r="W978" s="69">
        <f>D_Emprunts!$U978-D_Emprunts!$V978</f>
        <v>14026.27</v>
      </c>
      <c r="X978" s="70">
        <f>X977-D_Emprunts!$W978</f>
        <v>-4475596.179999996</v>
      </c>
      <c r="Y978">
        <v>971</v>
      </c>
      <c r="Z978" t="str">
        <f t="shared" si="77"/>
        <v>Investissement</v>
      </c>
      <c r="AA978" t="str">
        <f t="shared" si="78"/>
        <v>travaux magasin</v>
      </c>
    </row>
    <row r="979" spans="20:27" x14ac:dyDescent="0.25">
      <c r="T979" s="71">
        <f t="shared" si="75"/>
        <v>73510</v>
      </c>
      <c r="U979" s="77">
        <f t="shared" si="76"/>
        <v>864.41</v>
      </c>
      <c r="V979" s="72">
        <f t="shared" si="79"/>
        <v>-13203.24</v>
      </c>
      <c r="W979" s="72">
        <f>D_Emprunts!$U979-D_Emprunts!$V979</f>
        <v>14067.65</v>
      </c>
      <c r="X979" s="73">
        <f>X978-D_Emprunts!$W979</f>
        <v>-4489663.8299999963</v>
      </c>
      <c r="Y979">
        <v>972</v>
      </c>
      <c r="Z979" t="str">
        <f t="shared" si="77"/>
        <v>Investissement</v>
      </c>
      <c r="AA979" t="str">
        <f t="shared" si="78"/>
        <v>travaux magasin</v>
      </c>
    </row>
    <row r="980" spans="20:27" x14ac:dyDescent="0.25">
      <c r="T980" s="68">
        <f t="shared" si="75"/>
        <v>73540</v>
      </c>
      <c r="U980" s="77">
        <f t="shared" si="76"/>
        <v>864.41</v>
      </c>
      <c r="V980" s="72">
        <f t="shared" si="79"/>
        <v>-13244.74</v>
      </c>
      <c r="W980" s="69">
        <f>D_Emprunts!$U980-D_Emprunts!$V980</f>
        <v>14109.15</v>
      </c>
      <c r="X980" s="70">
        <f>X979-D_Emprunts!$W980</f>
        <v>-4503772.9799999967</v>
      </c>
      <c r="Y980">
        <v>973</v>
      </c>
      <c r="Z980" t="str">
        <f t="shared" si="77"/>
        <v>Investissement</v>
      </c>
      <c r="AA980" t="str">
        <f t="shared" si="78"/>
        <v>travaux magasin</v>
      </c>
    </row>
    <row r="981" spans="20:27" x14ac:dyDescent="0.25">
      <c r="T981" s="71">
        <f t="shared" si="75"/>
        <v>73571</v>
      </c>
      <c r="U981" s="77">
        <f t="shared" si="76"/>
        <v>864.41</v>
      </c>
      <c r="V981" s="72">
        <f t="shared" si="79"/>
        <v>-13286.36</v>
      </c>
      <c r="W981" s="72">
        <f>D_Emprunts!$U981-D_Emprunts!$V981</f>
        <v>14150.77</v>
      </c>
      <c r="X981" s="73">
        <f>X980-D_Emprunts!$W981</f>
        <v>-4517923.7499999963</v>
      </c>
      <c r="Y981">
        <v>974</v>
      </c>
      <c r="Z981" t="str">
        <f t="shared" si="77"/>
        <v>Investissement</v>
      </c>
      <c r="AA981" t="str">
        <f t="shared" si="78"/>
        <v>travaux magasin</v>
      </c>
    </row>
    <row r="982" spans="20:27" x14ac:dyDescent="0.25">
      <c r="T982" s="68">
        <f t="shared" si="75"/>
        <v>73601</v>
      </c>
      <c r="U982" s="77">
        <f t="shared" si="76"/>
        <v>864.41</v>
      </c>
      <c r="V982" s="72">
        <f t="shared" si="79"/>
        <v>-13328.11</v>
      </c>
      <c r="W982" s="69">
        <f>D_Emprunts!$U982-D_Emprunts!$V982</f>
        <v>14192.52</v>
      </c>
      <c r="X982" s="70">
        <f>X981-D_Emprunts!$W982</f>
        <v>-4532116.2699999958</v>
      </c>
      <c r="Y982">
        <v>975</v>
      </c>
      <c r="Z982" t="str">
        <f t="shared" si="77"/>
        <v>Investissement</v>
      </c>
      <c r="AA982" t="str">
        <f t="shared" si="78"/>
        <v>travaux magasin</v>
      </c>
    </row>
    <row r="983" spans="20:27" x14ac:dyDescent="0.25">
      <c r="T983" s="71">
        <f t="shared" si="75"/>
        <v>73632</v>
      </c>
      <c r="U983" s="77">
        <f t="shared" si="76"/>
        <v>864.41</v>
      </c>
      <c r="V983" s="72">
        <f t="shared" si="79"/>
        <v>-13369.97</v>
      </c>
      <c r="W983" s="72">
        <f>D_Emprunts!$U983-D_Emprunts!$V983</f>
        <v>14234.38</v>
      </c>
      <c r="X983" s="73">
        <f>X982-D_Emprunts!$W983</f>
        <v>-4546350.6499999957</v>
      </c>
      <c r="Y983">
        <v>976</v>
      </c>
      <c r="Z983" t="str">
        <f t="shared" si="77"/>
        <v>Investissement</v>
      </c>
      <c r="AA983" t="str">
        <f t="shared" si="78"/>
        <v>travaux magasin</v>
      </c>
    </row>
    <row r="984" spans="20:27" x14ac:dyDescent="0.25">
      <c r="T984" s="68">
        <f t="shared" si="75"/>
        <v>73663</v>
      </c>
      <c r="U984" s="77">
        <f t="shared" si="76"/>
        <v>864.41</v>
      </c>
      <c r="V984" s="72">
        <f t="shared" si="79"/>
        <v>-13411.97</v>
      </c>
      <c r="W984" s="69">
        <f>D_Emprunts!$U984-D_Emprunts!$V984</f>
        <v>14276.38</v>
      </c>
      <c r="X984" s="70">
        <f>X983-D_Emprunts!$W984</f>
        <v>-4560627.0299999956</v>
      </c>
      <c r="Y984">
        <v>977</v>
      </c>
      <c r="Z984" t="str">
        <f t="shared" si="77"/>
        <v>Investissement</v>
      </c>
      <c r="AA984" t="str">
        <f t="shared" si="78"/>
        <v>travaux magasin</v>
      </c>
    </row>
    <row r="985" spans="20:27" x14ac:dyDescent="0.25">
      <c r="T985" s="71">
        <f t="shared" si="75"/>
        <v>73693</v>
      </c>
      <c r="U985" s="77">
        <f t="shared" si="76"/>
        <v>864.41</v>
      </c>
      <c r="V985" s="72">
        <f t="shared" si="79"/>
        <v>-13454.08</v>
      </c>
      <c r="W985" s="72">
        <f>D_Emprunts!$U985-D_Emprunts!$V985</f>
        <v>14318.49</v>
      </c>
      <c r="X985" s="73">
        <f>X984-D_Emprunts!$W985</f>
        <v>-4574945.5199999958</v>
      </c>
      <c r="Y985">
        <v>978</v>
      </c>
      <c r="Z985" t="str">
        <f t="shared" si="77"/>
        <v>Investissement</v>
      </c>
      <c r="AA985" t="str">
        <f t="shared" si="78"/>
        <v>travaux magasin</v>
      </c>
    </row>
    <row r="986" spans="20:27" x14ac:dyDescent="0.25">
      <c r="T986" s="68">
        <f t="shared" si="75"/>
        <v>73724</v>
      </c>
      <c r="U986" s="77">
        <f t="shared" si="76"/>
        <v>864.41</v>
      </c>
      <c r="V986" s="72">
        <f t="shared" si="79"/>
        <v>-13496.32</v>
      </c>
      <c r="W986" s="69">
        <f>D_Emprunts!$U986-D_Emprunts!$V986</f>
        <v>14360.73</v>
      </c>
      <c r="X986" s="70">
        <f>X985-D_Emprunts!$W986</f>
        <v>-4589306.2499999963</v>
      </c>
      <c r="Y986">
        <v>979</v>
      </c>
      <c r="Z986" t="str">
        <f t="shared" si="77"/>
        <v>Investissement</v>
      </c>
      <c r="AA986" t="str">
        <f t="shared" si="78"/>
        <v>travaux magasin</v>
      </c>
    </row>
    <row r="987" spans="20:27" x14ac:dyDescent="0.25">
      <c r="T987" s="71">
        <f t="shared" si="75"/>
        <v>73754</v>
      </c>
      <c r="U987" s="77">
        <f t="shared" si="76"/>
        <v>864.41</v>
      </c>
      <c r="V987" s="72">
        <f t="shared" si="79"/>
        <v>-13538.69</v>
      </c>
      <c r="W987" s="72">
        <f>D_Emprunts!$U987-D_Emprunts!$V987</f>
        <v>14403.1</v>
      </c>
      <c r="X987" s="73">
        <f>X986-D_Emprunts!$W987</f>
        <v>-4603709.3499999959</v>
      </c>
      <c r="Y987">
        <v>980</v>
      </c>
      <c r="Z987" t="str">
        <f t="shared" si="77"/>
        <v>Investissement</v>
      </c>
      <c r="AA987" t="str">
        <f t="shared" si="78"/>
        <v>travaux magasin</v>
      </c>
    </row>
    <row r="988" spans="20:27" x14ac:dyDescent="0.25">
      <c r="T988" s="68">
        <f t="shared" si="75"/>
        <v>73785</v>
      </c>
      <c r="U988" s="77">
        <f t="shared" si="76"/>
        <v>864.41</v>
      </c>
      <c r="V988" s="72">
        <f t="shared" si="79"/>
        <v>-13581.18</v>
      </c>
      <c r="W988" s="69">
        <f>D_Emprunts!$U988-D_Emprunts!$V988</f>
        <v>14445.59</v>
      </c>
      <c r="X988" s="70">
        <f>X987-D_Emprunts!$W988</f>
        <v>-4618154.9399999958</v>
      </c>
      <c r="Y988">
        <v>981</v>
      </c>
      <c r="Z988" t="str">
        <f t="shared" si="77"/>
        <v>Investissement</v>
      </c>
      <c r="AA988" t="str">
        <f t="shared" si="78"/>
        <v>travaux magasin</v>
      </c>
    </row>
    <row r="989" spans="20:27" x14ac:dyDescent="0.25">
      <c r="T989" s="71">
        <f t="shared" si="75"/>
        <v>73816</v>
      </c>
      <c r="U989" s="77">
        <f t="shared" si="76"/>
        <v>864.41</v>
      </c>
      <c r="V989" s="72">
        <f t="shared" si="79"/>
        <v>-13623.79</v>
      </c>
      <c r="W989" s="72">
        <f>D_Emprunts!$U989-D_Emprunts!$V989</f>
        <v>14488.2</v>
      </c>
      <c r="X989" s="73">
        <f>X988-D_Emprunts!$W989</f>
        <v>-4632643.1399999959</v>
      </c>
      <c r="Y989">
        <v>982</v>
      </c>
      <c r="Z989" t="str">
        <f t="shared" si="77"/>
        <v>Investissement</v>
      </c>
      <c r="AA989" t="str">
        <f t="shared" si="78"/>
        <v>travaux magasin</v>
      </c>
    </row>
    <row r="990" spans="20:27" x14ac:dyDescent="0.25">
      <c r="T990" s="68">
        <f t="shared" si="75"/>
        <v>73844</v>
      </c>
      <c r="U990" s="77">
        <f t="shared" si="76"/>
        <v>864.41</v>
      </c>
      <c r="V990" s="72">
        <f t="shared" si="79"/>
        <v>-13666.53</v>
      </c>
      <c r="W990" s="69">
        <f>D_Emprunts!$U990-D_Emprunts!$V990</f>
        <v>14530.94</v>
      </c>
      <c r="X990" s="70">
        <f>X989-D_Emprunts!$W990</f>
        <v>-4647174.0799999963</v>
      </c>
      <c r="Y990">
        <v>983</v>
      </c>
      <c r="Z990" t="str">
        <f t="shared" si="77"/>
        <v>Investissement</v>
      </c>
      <c r="AA990" t="str">
        <f t="shared" si="78"/>
        <v>travaux magasin</v>
      </c>
    </row>
    <row r="991" spans="20:27" x14ac:dyDescent="0.25">
      <c r="T991" s="71">
        <f t="shared" si="75"/>
        <v>73875</v>
      </c>
      <c r="U991" s="77">
        <f t="shared" si="76"/>
        <v>864.41</v>
      </c>
      <c r="V991" s="72">
        <f t="shared" si="79"/>
        <v>-13709.4</v>
      </c>
      <c r="W991" s="72">
        <f>D_Emprunts!$U991-D_Emprunts!$V991</f>
        <v>14573.81</v>
      </c>
      <c r="X991" s="73">
        <f>X990-D_Emprunts!$W991</f>
        <v>-4661747.8899999959</v>
      </c>
      <c r="Y991">
        <v>984</v>
      </c>
      <c r="Z991" t="str">
        <f t="shared" si="77"/>
        <v>Investissement</v>
      </c>
      <c r="AA991" t="str">
        <f t="shared" si="78"/>
        <v>travaux magasin</v>
      </c>
    </row>
    <row r="992" spans="20:27" x14ac:dyDescent="0.25">
      <c r="T992" s="68">
        <f t="shared" si="75"/>
        <v>73905</v>
      </c>
      <c r="U992" s="77">
        <f t="shared" si="76"/>
        <v>864.41</v>
      </c>
      <c r="V992" s="72">
        <f t="shared" si="79"/>
        <v>-13752.39</v>
      </c>
      <c r="W992" s="69">
        <f>D_Emprunts!$U992-D_Emprunts!$V992</f>
        <v>14616.8</v>
      </c>
      <c r="X992" s="70">
        <f>X991-D_Emprunts!$W992</f>
        <v>-4676364.6899999958</v>
      </c>
      <c r="Y992">
        <v>985</v>
      </c>
      <c r="Z992" t="str">
        <f t="shared" si="77"/>
        <v>Investissement</v>
      </c>
      <c r="AA992" t="str">
        <f t="shared" si="78"/>
        <v>travaux magasin</v>
      </c>
    </row>
    <row r="993" spans="20:27" x14ac:dyDescent="0.25">
      <c r="T993" s="71">
        <f t="shared" si="75"/>
        <v>73936</v>
      </c>
      <c r="U993" s="77">
        <f t="shared" si="76"/>
        <v>864.41</v>
      </c>
      <c r="V993" s="72">
        <f t="shared" si="79"/>
        <v>-13795.52</v>
      </c>
      <c r="W993" s="72">
        <f>D_Emprunts!$U993-D_Emprunts!$V993</f>
        <v>14659.93</v>
      </c>
      <c r="X993" s="73">
        <f>X992-D_Emprunts!$W993</f>
        <v>-4691024.6199999955</v>
      </c>
      <c r="Y993">
        <v>986</v>
      </c>
      <c r="Z993" t="str">
        <f t="shared" si="77"/>
        <v>Investissement</v>
      </c>
      <c r="AA993" t="str">
        <f t="shared" si="78"/>
        <v>travaux magasin</v>
      </c>
    </row>
    <row r="994" spans="20:27" x14ac:dyDescent="0.25">
      <c r="T994" s="68">
        <f t="shared" si="75"/>
        <v>73966</v>
      </c>
      <c r="U994" s="77">
        <f t="shared" si="76"/>
        <v>864.41</v>
      </c>
      <c r="V994" s="72">
        <f t="shared" si="79"/>
        <v>-13838.76</v>
      </c>
      <c r="W994" s="69">
        <f>D_Emprunts!$U994-D_Emprunts!$V994</f>
        <v>14703.17</v>
      </c>
      <c r="X994" s="70">
        <f>X993-D_Emprunts!$W994</f>
        <v>-4705727.7899999954</v>
      </c>
      <c r="Y994">
        <v>987</v>
      </c>
      <c r="Z994" t="str">
        <f t="shared" si="77"/>
        <v>Investissement</v>
      </c>
      <c r="AA994" t="str">
        <f t="shared" si="78"/>
        <v>travaux magasin</v>
      </c>
    </row>
    <row r="995" spans="20:27" x14ac:dyDescent="0.25">
      <c r="T995" s="71">
        <f t="shared" si="75"/>
        <v>73997</v>
      </c>
      <c r="U995" s="77">
        <f t="shared" si="76"/>
        <v>864.41</v>
      </c>
      <c r="V995" s="72">
        <f t="shared" si="79"/>
        <v>-13882.14</v>
      </c>
      <c r="W995" s="72">
        <f>D_Emprunts!$U995-D_Emprunts!$V995</f>
        <v>14746.55</v>
      </c>
      <c r="X995" s="73">
        <f>X994-D_Emprunts!$W995</f>
        <v>-4720474.3399999952</v>
      </c>
      <c r="Y995">
        <v>988</v>
      </c>
      <c r="Z995" t="str">
        <f t="shared" si="77"/>
        <v>Investissement</v>
      </c>
      <c r="AA995" t="str">
        <f t="shared" si="78"/>
        <v>travaux magasin</v>
      </c>
    </row>
    <row r="996" spans="20:27" x14ac:dyDescent="0.25">
      <c r="T996" s="68">
        <f t="shared" si="75"/>
        <v>74028</v>
      </c>
      <c r="U996" s="77">
        <f t="shared" si="76"/>
        <v>864.41</v>
      </c>
      <c r="V996" s="72">
        <f t="shared" si="79"/>
        <v>-13925.64</v>
      </c>
      <c r="W996" s="69">
        <f>D_Emprunts!$U996-D_Emprunts!$V996</f>
        <v>14790.05</v>
      </c>
      <c r="X996" s="70">
        <f>X995-D_Emprunts!$W996</f>
        <v>-4735264.389999995</v>
      </c>
      <c r="Y996">
        <v>989</v>
      </c>
      <c r="Z996" t="str">
        <f t="shared" si="77"/>
        <v>Investissement</v>
      </c>
      <c r="AA996" t="str">
        <f t="shared" si="78"/>
        <v>travaux magasin</v>
      </c>
    </row>
    <row r="997" spans="20:27" x14ac:dyDescent="0.25">
      <c r="T997" s="71">
        <f t="shared" si="75"/>
        <v>74058</v>
      </c>
      <c r="U997" s="77">
        <f t="shared" si="76"/>
        <v>864.41</v>
      </c>
      <c r="V997" s="72">
        <f t="shared" si="79"/>
        <v>-13969.27</v>
      </c>
      <c r="W997" s="72">
        <f>D_Emprunts!$U997-D_Emprunts!$V997</f>
        <v>14833.68</v>
      </c>
      <c r="X997" s="73">
        <f>X996-D_Emprunts!$W997</f>
        <v>-4750098.0699999947</v>
      </c>
      <c r="Y997">
        <v>990</v>
      </c>
      <c r="Z997" t="str">
        <f t="shared" si="77"/>
        <v>Investissement</v>
      </c>
      <c r="AA997" t="str">
        <f t="shared" si="78"/>
        <v>travaux magasin</v>
      </c>
    </row>
    <row r="998" spans="20:27" x14ac:dyDescent="0.25">
      <c r="T998" s="68">
        <f t="shared" si="75"/>
        <v>74089</v>
      </c>
      <c r="U998" s="77">
        <f t="shared" si="76"/>
        <v>864.41</v>
      </c>
      <c r="V998" s="72">
        <f t="shared" si="79"/>
        <v>-14013.03</v>
      </c>
      <c r="W998" s="69">
        <f>D_Emprunts!$U998-D_Emprunts!$V998</f>
        <v>14877.44</v>
      </c>
      <c r="X998" s="70">
        <f>X997-D_Emprunts!$W998</f>
        <v>-4764975.5099999951</v>
      </c>
      <c r="Y998">
        <v>991</v>
      </c>
      <c r="Z998" t="str">
        <f t="shared" si="77"/>
        <v>Investissement</v>
      </c>
      <c r="AA998" t="str">
        <f t="shared" si="78"/>
        <v>travaux magasin</v>
      </c>
    </row>
    <row r="999" spans="20:27" x14ac:dyDescent="0.25">
      <c r="T999" s="71">
        <f t="shared" si="75"/>
        <v>74119</v>
      </c>
      <c r="U999" s="77">
        <f t="shared" si="76"/>
        <v>864.41</v>
      </c>
      <c r="V999" s="72">
        <f t="shared" si="79"/>
        <v>-14056.92</v>
      </c>
      <c r="W999" s="72">
        <f>D_Emprunts!$U999-D_Emprunts!$V999</f>
        <v>14921.33</v>
      </c>
      <c r="X999" s="73">
        <f>X998-D_Emprunts!$W999</f>
        <v>-4779896.8399999952</v>
      </c>
      <c r="Y999">
        <v>992</v>
      </c>
      <c r="Z999" t="str">
        <f t="shared" si="77"/>
        <v>Investissement</v>
      </c>
      <c r="AA999" t="str">
        <f t="shared" si="78"/>
        <v>travaux magasin</v>
      </c>
    </row>
    <row r="1000" spans="20:27" x14ac:dyDescent="0.25">
      <c r="T1000" s="68">
        <f t="shared" si="75"/>
        <v>74150</v>
      </c>
      <c r="U1000" s="77">
        <f t="shared" si="76"/>
        <v>864.41</v>
      </c>
      <c r="V1000" s="72">
        <f t="shared" si="79"/>
        <v>-14100.94</v>
      </c>
      <c r="W1000" s="69">
        <f>D_Emprunts!$U1000-D_Emprunts!$V1000</f>
        <v>14965.35</v>
      </c>
      <c r="X1000" s="70">
        <f>X999-D_Emprunts!$W1000</f>
        <v>-4794862.1899999948</v>
      </c>
      <c r="Y1000">
        <v>993</v>
      </c>
      <c r="Z1000" t="str">
        <f t="shared" si="77"/>
        <v>Investissement</v>
      </c>
      <c r="AA1000" t="str">
        <f t="shared" si="78"/>
        <v>travaux magasin</v>
      </c>
    </row>
    <row r="1001" spans="20:27" x14ac:dyDescent="0.25">
      <c r="T1001" s="71">
        <f t="shared" si="75"/>
        <v>74181</v>
      </c>
      <c r="U1001" s="77">
        <f t="shared" si="76"/>
        <v>864.41</v>
      </c>
      <c r="V1001" s="72">
        <f t="shared" si="79"/>
        <v>-14145.09</v>
      </c>
      <c r="W1001" s="72">
        <f>D_Emprunts!$U1001-D_Emprunts!$V1001</f>
        <v>15009.5</v>
      </c>
      <c r="X1001" s="73">
        <f>X1000-D_Emprunts!$W1001</f>
        <v>-4809871.6899999948</v>
      </c>
      <c r="Y1001">
        <v>994</v>
      </c>
      <c r="Z1001" t="str">
        <f t="shared" si="77"/>
        <v>Investissement</v>
      </c>
      <c r="AA1001" t="str">
        <f t="shared" si="78"/>
        <v>travaux magasin</v>
      </c>
    </row>
    <row r="1002" spans="20:27" x14ac:dyDescent="0.25">
      <c r="T1002" s="68">
        <f t="shared" si="75"/>
        <v>74209</v>
      </c>
      <c r="U1002" s="77">
        <f t="shared" si="76"/>
        <v>864.41</v>
      </c>
      <c r="V1002" s="72">
        <f t="shared" si="79"/>
        <v>-14189.37</v>
      </c>
      <c r="W1002" s="69">
        <f>D_Emprunts!$U1002-D_Emprunts!$V1002</f>
        <v>15053.78</v>
      </c>
      <c r="X1002" s="70">
        <f>X1001-D_Emprunts!$W1002</f>
        <v>-4824925.4699999951</v>
      </c>
      <c r="Y1002">
        <v>995</v>
      </c>
      <c r="Z1002" t="str">
        <f t="shared" si="77"/>
        <v>Investissement</v>
      </c>
      <c r="AA1002" t="str">
        <f t="shared" si="78"/>
        <v>travaux magasin</v>
      </c>
    </row>
    <row r="1003" spans="20:27" x14ac:dyDescent="0.25">
      <c r="T1003" s="71">
        <f t="shared" si="75"/>
        <v>74240</v>
      </c>
      <c r="U1003" s="77">
        <f t="shared" si="76"/>
        <v>864.41</v>
      </c>
      <c r="V1003" s="72">
        <f t="shared" si="79"/>
        <v>-14233.78</v>
      </c>
      <c r="W1003" s="72">
        <f>D_Emprunts!$U1003-D_Emprunts!$V1003</f>
        <v>15098.19</v>
      </c>
      <c r="X1003" s="73">
        <f>X1002-D_Emprunts!$W1003</f>
        <v>-4840023.6599999955</v>
      </c>
      <c r="Y1003">
        <v>996</v>
      </c>
      <c r="Z1003" t="str">
        <f t="shared" si="77"/>
        <v>Investissement</v>
      </c>
      <c r="AA1003" t="str">
        <f t="shared" si="78"/>
        <v>travaux magasin</v>
      </c>
    </row>
    <row r="1004" spans="20:27" x14ac:dyDescent="0.25">
      <c r="T1004" s="68">
        <f t="shared" si="75"/>
        <v>74270</v>
      </c>
      <c r="U1004" s="77">
        <f t="shared" si="76"/>
        <v>864.41</v>
      </c>
      <c r="V1004" s="72">
        <f t="shared" si="79"/>
        <v>-14278.32</v>
      </c>
      <c r="W1004" s="69">
        <f>D_Emprunts!$U1004-D_Emprunts!$V1004</f>
        <v>15142.73</v>
      </c>
      <c r="X1004" s="70">
        <f>X1003-D_Emprunts!$W1004</f>
        <v>-4855166.3899999959</v>
      </c>
      <c r="Y1004">
        <v>997</v>
      </c>
      <c r="Z1004" t="str">
        <f t="shared" si="77"/>
        <v>Investissement</v>
      </c>
      <c r="AA1004" t="str">
        <f t="shared" si="78"/>
        <v>travaux magasin</v>
      </c>
    </row>
    <row r="1005" spans="20:27" x14ac:dyDescent="0.25">
      <c r="T1005" s="71">
        <f t="shared" si="75"/>
        <v>74301</v>
      </c>
      <c r="U1005" s="77">
        <f t="shared" si="76"/>
        <v>864.41</v>
      </c>
      <c r="V1005" s="72">
        <f t="shared" si="79"/>
        <v>-14322.99</v>
      </c>
      <c r="W1005" s="72">
        <f>D_Emprunts!$U1005-D_Emprunts!$V1005</f>
        <v>15187.4</v>
      </c>
      <c r="X1005" s="73">
        <f>X1004-D_Emprunts!$W1005</f>
        <v>-4870353.7899999963</v>
      </c>
      <c r="Y1005">
        <v>998</v>
      </c>
      <c r="Z1005" t="str">
        <f t="shared" si="77"/>
        <v>Investissement</v>
      </c>
      <c r="AA1005" t="str">
        <f t="shared" si="78"/>
        <v>travaux magasin</v>
      </c>
    </row>
    <row r="1006" spans="20:27" x14ac:dyDescent="0.25">
      <c r="T1006" s="68">
        <f t="shared" si="75"/>
        <v>74331</v>
      </c>
      <c r="U1006" s="77">
        <f t="shared" si="76"/>
        <v>864.41</v>
      </c>
      <c r="V1006" s="72">
        <f t="shared" si="79"/>
        <v>-14367.79</v>
      </c>
      <c r="W1006" s="69">
        <f>D_Emprunts!$U1006-D_Emprunts!$V1006</f>
        <v>15232.2</v>
      </c>
      <c r="X1006" s="70">
        <f>X1005-D_Emprunts!$W1006</f>
        <v>-4885585.9899999965</v>
      </c>
      <c r="Y1006">
        <v>999</v>
      </c>
      <c r="Z1006" t="str">
        <f t="shared" si="77"/>
        <v>Investissement</v>
      </c>
      <c r="AA1006" t="str">
        <f t="shared" si="78"/>
        <v>travaux magasin</v>
      </c>
    </row>
    <row r="1007" spans="20:27" x14ac:dyDescent="0.25">
      <c r="T1007" s="71">
        <f t="shared" si="75"/>
        <v>74362</v>
      </c>
      <c r="U1007" s="77">
        <f t="shared" si="76"/>
        <v>864.41</v>
      </c>
      <c r="V1007" s="72">
        <f t="shared" si="79"/>
        <v>-14412.73</v>
      </c>
      <c r="W1007" s="72">
        <f>D_Emprunts!$U1007-D_Emprunts!$V1007</f>
        <v>15277.14</v>
      </c>
      <c r="X1007" s="73">
        <f>X1006-D_Emprunts!$W1007</f>
        <v>-4900863.1299999962</v>
      </c>
      <c r="Y1007">
        <v>1000</v>
      </c>
      <c r="Z1007" t="str">
        <f t="shared" si="77"/>
        <v>Investissement</v>
      </c>
      <c r="AA1007" t="str">
        <f t="shared" si="78"/>
        <v>travaux magasin</v>
      </c>
    </row>
    <row r="1008" spans="20:27" x14ac:dyDescent="0.25">
      <c r="T1008" s="68">
        <f t="shared" si="75"/>
        <v>74393</v>
      </c>
      <c r="U1008" s="77">
        <f t="shared" si="76"/>
        <v>864.41</v>
      </c>
      <c r="V1008" s="72">
        <f t="shared" si="79"/>
        <v>-14457.8</v>
      </c>
      <c r="W1008" s="69">
        <f>D_Emprunts!$U1008-D_Emprunts!$V1008</f>
        <v>15322.21</v>
      </c>
      <c r="X1008" s="70">
        <f>X1007-D_Emprunts!$W1008</f>
        <v>-4916185.3399999961</v>
      </c>
      <c r="Y1008">
        <v>1001</v>
      </c>
      <c r="Z1008" t="str">
        <f t="shared" si="77"/>
        <v>Investissement</v>
      </c>
      <c r="AA1008" t="str">
        <f t="shared" si="78"/>
        <v>travaux magasin</v>
      </c>
    </row>
    <row r="1009" spans="20:27" x14ac:dyDescent="0.25">
      <c r="T1009" s="71">
        <f t="shared" si="75"/>
        <v>74423</v>
      </c>
      <c r="U1009" s="77">
        <f t="shared" si="76"/>
        <v>864.41</v>
      </c>
      <c r="V1009" s="72">
        <f t="shared" si="79"/>
        <v>-14503</v>
      </c>
      <c r="W1009" s="72">
        <f>D_Emprunts!$U1009-D_Emprunts!$V1009</f>
        <v>15367.41</v>
      </c>
      <c r="X1009" s="73">
        <f>X1008-D_Emprunts!$W1009</f>
        <v>-4931552.7499999963</v>
      </c>
      <c r="Y1009">
        <v>1002</v>
      </c>
      <c r="Z1009" t="str">
        <f t="shared" si="77"/>
        <v>Investissement</v>
      </c>
      <c r="AA1009" t="str">
        <f t="shared" si="78"/>
        <v>travaux magasin</v>
      </c>
    </row>
    <row r="1010" spans="20:27" x14ac:dyDescent="0.25">
      <c r="T1010" s="68">
        <f t="shared" si="75"/>
        <v>74454</v>
      </c>
      <c r="U1010" s="77">
        <f t="shared" si="76"/>
        <v>864.41</v>
      </c>
      <c r="V1010" s="72">
        <f t="shared" si="79"/>
        <v>-14548.33</v>
      </c>
      <c r="W1010" s="69">
        <f>D_Emprunts!$U1010-D_Emprunts!$V1010</f>
        <v>15412.74</v>
      </c>
      <c r="X1010" s="70">
        <f>X1009-D_Emprunts!$W1010</f>
        <v>-4946965.4899999965</v>
      </c>
      <c r="Y1010">
        <v>1003</v>
      </c>
      <c r="Z1010" t="str">
        <f t="shared" si="77"/>
        <v>Investissement</v>
      </c>
      <c r="AA1010" t="str">
        <f t="shared" si="78"/>
        <v>travaux magasin</v>
      </c>
    </row>
    <row r="1011" spans="20:27" x14ac:dyDescent="0.25">
      <c r="T1011" s="71">
        <f t="shared" si="75"/>
        <v>74484</v>
      </c>
      <c r="U1011" s="77">
        <f t="shared" si="76"/>
        <v>864.41</v>
      </c>
      <c r="V1011" s="72">
        <f t="shared" si="79"/>
        <v>-14593.8</v>
      </c>
      <c r="W1011" s="72">
        <f>D_Emprunts!$U1011-D_Emprunts!$V1011</f>
        <v>15458.21</v>
      </c>
      <c r="X1011" s="73">
        <f>X1010-D_Emprunts!$W1011</f>
        <v>-4962423.6999999965</v>
      </c>
      <c r="Y1011">
        <v>1004</v>
      </c>
      <c r="Z1011" t="str">
        <f t="shared" si="77"/>
        <v>Investissement</v>
      </c>
      <c r="AA1011" t="str">
        <f t="shared" si="78"/>
        <v>travaux magasin</v>
      </c>
    </row>
    <row r="1012" spans="20:27" x14ac:dyDescent="0.25">
      <c r="T1012" s="68">
        <f t="shared" si="75"/>
        <v>74515</v>
      </c>
      <c r="U1012" s="77">
        <f t="shared" si="76"/>
        <v>864.41</v>
      </c>
      <c r="V1012" s="72">
        <f t="shared" si="79"/>
        <v>-14639.4</v>
      </c>
      <c r="W1012" s="69">
        <f>D_Emprunts!$U1012-D_Emprunts!$V1012</f>
        <v>15503.81</v>
      </c>
      <c r="X1012" s="70">
        <f>X1011-D_Emprunts!$W1012</f>
        <v>-4977927.5099999961</v>
      </c>
      <c r="Y1012">
        <v>1005</v>
      </c>
      <c r="Z1012" t="str">
        <f t="shared" si="77"/>
        <v>Investissement</v>
      </c>
      <c r="AA1012" t="str">
        <f t="shared" si="78"/>
        <v>travaux magasin</v>
      </c>
    </row>
    <row r="1013" spans="20:27" x14ac:dyDescent="0.25">
      <c r="T1013" s="71">
        <f t="shared" si="75"/>
        <v>74546</v>
      </c>
      <c r="U1013" s="77">
        <f t="shared" si="76"/>
        <v>864.41</v>
      </c>
      <c r="V1013" s="72">
        <f t="shared" si="79"/>
        <v>-14685.14</v>
      </c>
      <c r="W1013" s="72">
        <f>D_Emprunts!$U1013-D_Emprunts!$V1013</f>
        <v>15549.55</v>
      </c>
      <c r="X1013" s="73">
        <f>X1012-D_Emprunts!$W1013</f>
        <v>-4993477.0599999959</v>
      </c>
      <c r="Y1013">
        <v>1006</v>
      </c>
      <c r="Z1013" t="str">
        <f t="shared" si="77"/>
        <v>Investissement</v>
      </c>
      <c r="AA1013" t="str">
        <f t="shared" si="78"/>
        <v>travaux magasin</v>
      </c>
    </row>
    <row r="1014" spans="20:27" x14ac:dyDescent="0.25">
      <c r="T1014" s="68">
        <f t="shared" si="75"/>
        <v>74575</v>
      </c>
      <c r="U1014" s="77">
        <f t="shared" si="76"/>
        <v>864.41</v>
      </c>
      <c r="V1014" s="72">
        <f t="shared" si="79"/>
        <v>-14731.01</v>
      </c>
      <c r="W1014" s="69">
        <f>D_Emprunts!$U1014-D_Emprunts!$V1014</f>
        <v>15595.42</v>
      </c>
      <c r="X1014" s="70">
        <f>X1013-D_Emprunts!$W1014</f>
        <v>-5009072.4799999958</v>
      </c>
      <c r="Y1014">
        <v>1007</v>
      </c>
      <c r="Z1014" t="str">
        <f t="shared" si="77"/>
        <v>Investissement</v>
      </c>
      <c r="AA1014" t="str">
        <f t="shared" si="78"/>
        <v>travaux magasin</v>
      </c>
    </row>
    <row r="1015" spans="20:27" x14ac:dyDescent="0.25">
      <c r="T1015" s="71">
        <f t="shared" si="75"/>
        <v>74606</v>
      </c>
      <c r="U1015" s="77">
        <f t="shared" si="76"/>
        <v>864.41</v>
      </c>
      <c r="V1015" s="72">
        <f t="shared" si="79"/>
        <v>-14777.02</v>
      </c>
      <c r="W1015" s="72">
        <f>D_Emprunts!$U1015-D_Emprunts!$V1015</f>
        <v>15641.43</v>
      </c>
      <c r="X1015" s="73">
        <f>X1014-D_Emprunts!$W1015</f>
        <v>-5024713.9099999955</v>
      </c>
      <c r="Y1015">
        <v>1008</v>
      </c>
      <c r="Z1015" t="str">
        <f t="shared" si="77"/>
        <v>Investissement</v>
      </c>
      <c r="AA1015" t="str">
        <f t="shared" si="78"/>
        <v>travaux magasin</v>
      </c>
    </row>
    <row r="1016" spans="20:27" x14ac:dyDescent="0.25">
      <c r="T1016" s="68">
        <f t="shared" si="75"/>
        <v>74636</v>
      </c>
      <c r="U1016" s="77">
        <f t="shared" si="76"/>
        <v>864.41</v>
      </c>
      <c r="V1016" s="72">
        <f t="shared" si="79"/>
        <v>-14823.16</v>
      </c>
      <c r="W1016" s="69">
        <f>D_Emprunts!$U1016-D_Emprunts!$V1016</f>
        <v>15687.57</v>
      </c>
      <c r="X1016" s="70">
        <f>X1015-D_Emprunts!$W1016</f>
        <v>-5040401.4799999958</v>
      </c>
      <c r="Y1016">
        <v>1009</v>
      </c>
      <c r="Z1016" t="str">
        <f t="shared" si="77"/>
        <v>Investissement</v>
      </c>
      <c r="AA1016" t="str">
        <f t="shared" si="78"/>
        <v>travaux magasin</v>
      </c>
    </row>
    <row r="1017" spans="20:27" x14ac:dyDescent="0.25">
      <c r="T1017" s="71">
        <f t="shared" si="75"/>
        <v>74667</v>
      </c>
      <c r="U1017" s="77">
        <f t="shared" si="76"/>
        <v>864.41</v>
      </c>
      <c r="V1017" s="72">
        <f t="shared" si="79"/>
        <v>-14869.44</v>
      </c>
      <c r="W1017" s="72">
        <f>D_Emprunts!$U1017-D_Emprunts!$V1017</f>
        <v>15733.85</v>
      </c>
      <c r="X1017" s="73">
        <f>X1016-D_Emprunts!$W1017</f>
        <v>-5056135.3299999954</v>
      </c>
      <c r="Y1017">
        <v>1010</v>
      </c>
      <c r="Z1017" t="str">
        <f t="shared" si="77"/>
        <v>Investissement</v>
      </c>
      <c r="AA1017" t="str">
        <f t="shared" si="78"/>
        <v>travaux magasin</v>
      </c>
    </row>
    <row r="1018" spans="20:27" x14ac:dyDescent="0.25">
      <c r="T1018" s="68">
        <f t="shared" si="75"/>
        <v>74697</v>
      </c>
      <c r="U1018" s="77">
        <f t="shared" si="76"/>
        <v>864.41</v>
      </c>
      <c r="V1018" s="72">
        <f t="shared" si="79"/>
        <v>-14915.86</v>
      </c>
      <c r="W1018" s="69">
        <f>D_Emprunts!$U1018-D_Emprunts!$V1018</f>
        <v>15780.27</v>
      </c>
      <c r="X1018" s="70">
        <f>X1017-D_Emprunts!$W1018</f>
        <v>-5071915.599999995</v>
      </c>
      <c r="Y1018">
        <v>1011</v>
      </c>
      <c r="Z1018" t="str">
        <f t="shared" si="77"/>
        <v>Investissement</v>
      </c>
      <c r="AA1018" t="str">
        <f t="shared" si="78"/>
        <v>travaux magasin</v>
      </c>
    </row>
    <row r="1019" spans="20:27" x14ac:dyDescent="0.25">
      <c r="T1019" s="71">
        <f t="shared" si="75"/>
        <v>74728</v>
      </c>
      <c r="U1019" s="77">
        <f t="shared" si="76"/>
        <v>864.41</v>
      </c>
      <c r="V1019" s="72">
        <f t="shared" si="79"/>
        <v>-14962.41</v>
      </c>
      <c r="W1019" s="72">
        <f>D_Emprunts!$U1019-D_Emprunts!$V1019</f>
        <v>15826.82</v>
      </c>
      <c r="X1019" s="73">
        <f>X1018-D_Emprunts!$W1019</f>
        <v>-5087742.4199999953</v>
      </c>
      <c r="Y1019">
        <v>1012</v>
      </c>
      <c r="Z1019" t="str">
        <f t="shared" si="77"/>
        <v>Investissement</v>
      </c>
      <c r="AA1019" t="str">
        <f t="shared" si="78"/>
        <v>travaux magasin</v>
      </c>
    </row>
    <row r="1020" spans="20:27" x14ac:dyDescent="0.25">
      <c r="T1020" s="68">
        <f t="shared" si="75"/>
        <v>74759</v>
      </c>
      <c r="U1020" s="77">
        <f t="shared" si="76"/>
        <v>864.41</v>
      </c>
      <c r="V1020" s="72">
        <f t="shared" si="79"/>
        <v>-15009.1</v>
      </c>
      <c r="W1020" s="69">
        <f>D_Emprunts!$U1020-D_Emprunts!$V1020</f>
        <v>15873.51</v>
      </c>
      <c r="X1020" s="70">
        <f>X1019-D_Emprunts!$W1020</f>
        <v>-5103615.929999995</v>
      </c>
      <c r="Y1020">
        <v>1013</v>
      </c>
      <c r="Z1020" t="str">
        <f t="shared" si="77"/>
        <v>Investissement</v>
      </c>
      <c r="AA1020" t="str">
        <f t="shared" si="78"/>
        <v>travaux magasin</v>
      </c>
    </row>
    <row r="1021" spans="20:27" x14ac:dyDescent="0.25">
      <c r="T1021" s="71">
        <f t="shared" si="75"/>
        <v>74789</v>
      </c>
      <c r="U1021" s="77">
        <f t="shared" si="76"/>
        <v>864.41</v>
      </c>
      <c r="V1021" s="72">
        <f t="shared" si="79"/>
        <v>-15055.93</v>
      </c>
      <c r="W1021" s="72">
        <f>D_Emprunts!$U1021-D_Emprunts!$V1021</f>
        <v>15920.34</v>
      </c>
      <c r="X1021" s="73">
        <f>X1020-D_Emprunts!$W1021</f>
        <v>-5119536.2699999949</v>
      </c>
      <c r="Y1021">
        <v>1014</v>
      </c>
      <c r="Z1021" t="str">
        <f t="shared" si="77"/>
        <v>Investissement</v>
      </c>
      <c r="AA1021" t="str">
        <f t="shared" si="78"/>
        <v>travaux magasin</v>
      </c>
    </row>
    <row r="1022" spans="20:27" x14ac:dyDescent="0.25">
      <c r="T1022" s="68">
        <f t="shared" si="75"/>
        <v>74820</v>
      </c>
      <c r="U1022" s="77">
        <f t="shared" si="76"/>
        <v>864.41</v>
      </c>
      <c r="V1022" s="72">
        <f t="shared" si="79"/>
        <v>-15102.89</v>
      </c>
      <c r="W1022" s="69">
        <f>D_Emprunts!$U1022-D_Emprunts!$V1022</f>
        <v>15967.3</v>
      </c>
      <c r="X1022" s="70">
        <f>X1021-D_Emprunts!$W1022</f>
        <v>-5135503.5699999947</v>
      </c>
      <c r="Y1022">
        <v>1015</v>
      </c>
      <c r="Z1022" t="str">
        <f t="shared" si="77"/>
        <v>Investissement</v>
      </c>
      <c r="AA1022" t="str">
        <f t="shared" si="78"/>
        <v>travaux magasin</v>
      </c>
    </row>
    <row r="1023" spans="20:27" x14ac:dyDescent="0.25">
      <c r="T1023" s="71">
        <f t="shared" si="75"/>
        <v>74850</v>
      </c>
      <c r="U1023" s="77">
        <f t="shared" si="76"/>
        <v>864.41</v>
      </c>
      <c r="V1023" s="72">
        <f t="shared" si="79"/>
        <v>-15150</v>
      </c>
      <c r="W1023" s="72">
        <f>D_Emprunts!$U1023-D_Emprunts!$V1023</f>
        <v>16014.41</v>
      </c>
      <c r="X1023" s="73">
        <f>X1022-D_Emprunts!$W1023</f>
        <v>-5151517.9799999949</v>
      </c>
      <c r="Y1023">
        <v>1016</v>
      </c>
      <c r="Z1023" t="str">
        <f t="shared" si="77"/>
        <v>Investissement</v>
      </c>
      <c r="AA1023" t="str">
        <f t="shared" si="78"/>
        <v>travaux magasin</v>
      </c>
    </row>
    <row r="1024" spans="20:27" x14ac:dyDescent="0.25">
      <c r="T1024" s="68">
        <f t="shared" si="75"/>
        <v>74881</v>
      </c>
      <c r="U1024" s="77">
        <f t="shared" si="76"/>
        <v>864.41</v>
      </c>
      <c r="V1024" s="72">
        <f t="shared" si="79"/>
        <v>-15197.24</v>
      </c>
      <c r="W1024" s="69">
        <f>D_Emprunts!$U1024-D_Emprunts!$V1024</f>
        <v>16061.65</v>
      </c>
      <c r="X1024" s="70">
        <f>X1023-D_Emprunts!$W1024</f>
        <v>-5167579.6299999952</v>
      </c>
      <c r="Y1024">
        <v>1017</v>
      </c>
      <c r="Z1024" t="str">
        <f t="shared" si="77"/>
        <v>Investissement</v>
      </c>
      <c r="AA1024" t="str">
        <f t="shared" si="78"/>
        <v>travaux magasin</v>
      </c>
    </row>
    <row r="1025" spans="20:27" x14ac:dyDescent="0.25">
      <c r="T1025" s="71">
        <f t="shared" si="75"/>
        <v>74912</v>
      </c>
      <c r="U1025" s="77">
        <f t="shared" si="76"/>
        <v>864.41</v>
      </c>
      <c r="V1025" s="72">
        <f t="shared" si="79"/>
        <v>-15244.62</v>
      </c>
      <c r="W1025" s="72">
        <f>D_Emprunts!$U1025-D_Emprunts!$V1025</f>
        <v>16109.03</v>
      </c>
      <c r="X1025" s="73">
        <f>X1024-D_Emprunts!$W1025</f>
        <v>-5183688.6599999955</v>
      </c>
      <c r="Y1025">
        <v>1018</v>
      </c>
      <c r="Z1025" t="str">
        <f t="shared" si="77"/>
        <v>Investissement</v>
      </c>
      <c r="AA1025" t="str">
        <f t="shared" si="78"/>
        <v>travaux magasin</v>
      </c>
    </row>
    <row r="1026" spans="20:27" x14ac:dyDescent="0.25">
      <c r="T1026" s="68">
        <f t="shared" si="75"/>
        <v>74940</v>
      </c>
      <c r="U1026" s="77">
        <f t="shared" si="76"/>
        <v>864.41</v>
      </c>
      <c r="V1026" s="72">
        <f t="shared" si="79"/>
        <v>-15292.15</v>
      </c>
      <c r="W1026" s="69">
        <f>D_Emprunts!$U1026-D_Emprunts!$V1026</f>
        <v>16156.56</v>
      </c>
      <c r="X1026" s="70">
        <f>X1025-D_Emprunts!$W1026</f>
        <v>-5199845.2199999951</v>
      </c>
      <c r="Y1026">
        <v>1019</v>
      </c>
      <c r="Z1026" t="str">
        <f t="shared" si="77"/>
        <v>Investissement</v>
      </c>
      <c r="AA1026" t="str">
        <f t="shared" si="78"/>
        <v>travaux magasin</v>
      </c>
    </row>
    <row r="1027" spans="20:27" x14ac:dyDescent="0.25">
      <c r="T1027" s="71">
        <f t="shared" si="75"/>
        <v>74971</v>
      </c>
      <c r="U1027" s="77">
        <f t="shared" si="76"/>
        <v>864.41</v>
      </c>
      <c r="V1027" s="72">
        <f t="shared" si="79"/>
        <v>-15339.81</v>
      </c>
      <c r="W1027" s="72">
        <f>D_Emprunts!$U1027-D_Emprunts!$V1027</f>
        <v>16204.22</v>
      </c>
      <c r="X1027" s="73">
        <f>X1026-D_Emprunts!$W1027</f>
        <v>-5216049.4399999948</v>
      </c>
      <c r="Y1027">
        <v>1020</v>
      </c>
      <c r="Z1027" t="str">
        <f t="shared" si="77"/>
        <v>Investissement</v>
      </c>
      <c r="AA1027" t="str">
        <f t="shared" si="78"/>
        <v>travaux magasin</v>
      </c>
    </row>
    <row r="1028" spans="20:27" x14ac:dyDescent="0.25">
      <c r="T1028" s="68">
        <f t="shared" si="75"/>
        <v>75001</v>
      </c>
      <c r="U1028" s="77">
        <f t="shared" si="76"/>
        <v>864.41</v>
      </c>
      <c r="V1028" s="72">
        <f t="shared" si="79"/>
        <v>-15387.61</v>
      </c>
      <c r="W1028" s="69">
        <f>D_Emprunts!$U1028-D_Emprunts!$V1028</f>
        <v>16252.02</v>
      </c>
      <c r="X1028" s="70">
        <f>X1027-D_Emprunts!$W1028</f>
        <v>-5232301.4599999944</v>
      </c>
      <c r="Y1028">
        <v>1021</v>
      </c>
      <c r="Z1028" t="str">
        <f t="shared" si="77"/>
        <v>Investissement</v>
      </c>
      <c r="AA1028" t="str">
        <f t="shared" si="78"/>
        <v>travaux magasin</v>
      </c>
    </row>
    <row r="1029" spans="20:27" x14ac:dyDescent="0.25">
      <c r="T1029" s="71">
        <f t="shared" si="75"/>
        <v>75032</v>
      </c>
      <c r="U1029" s="77">
        <f t="shared" si="76"/>
        <v>864.41</v>
      </c>
      <c r="V1029" s="72">
        <f t="shared" si="79"/>
        <v>-15435.56</v>
      </c>
      <c r="W1029" s="72">
        <f>D_Emprunts!$U1029-D_Emprunts!$V1029</f>
        <v>16299.97</v>
      </c>
      <c r="X1029" s="73">
        <f>X1028-D_Emprunts!$W1029</f>
        <v>-5248601.4299999941</v>
      </c>
      <c r="Y1029">
        <v>1022</v>
      </c>
      <c r="Z1029" t="str">
        <f t="shared" si="77"/>
        <v>Investissement</v>
      </c>
      <c r="AA1029" t="str">
        <f t="shared" si="78"/>
        <v>travaux magasin</v>
      </c>
    </row>
    <row r="1030" spans="20:27" x14ac:dyDescent="0.25">
      <c r="T1030" s="68">
        <f t="shared" si="75"/>
        <v>75062</v>
      </c>
      <c r="U1030" s="77">
        <f t="shared" si="76"/>
        <v>864.41</v>
      </c>
      <c r="V1030" s="72">
        <f t="shared" si="79"/>
        <v>-15483.64</v>
      </c>
      <c r="W1030" s="69">
        <f>D_Emprunts!$U1030-D_Emprunts!$V1030</f>
        <v>16348.05</v>
      </c>
      <c r="X1030" s="70">
        <f>X1029-D_Emprunts!$W1030</f>
        <v>-5264949.4799999939</v>
      </c>
      <c r="Y1030">
        <v>1023</v>
      </c>
      <c r="Z1030" t="str">
        <f t="shared" si="77"/>
        <v>Investissement</v>
      </c>
      <c r="AA1030" t="str">
        <f t="shared" si="78"/>
        <v>travaux magasin</v>
      </c>
    </row>
    <row r="1031" spans="20:27" x14ac:dyDescent="0.25">
      <c r="T1031" s="71">
        <f t="shared" si="75"/>
        <v>75093</v>
      </c>
      <c r="U1031" s="77">
        <f t="shared" si="76"/>
        <v>864.41</v>
      </c>
      <c r="V1031" s="72">
        <f t="shared" si="79"/>
        <v>-15531.87</v>
      </c>
      <c r="W1031" s="72">
        <f>D_Emprunts!$U1031-D_Emprunts!$V1031</f>
        <v>16396.280000000002</v>
      </c>
      <c r="X1031" s="73">
        <f>X1030-D_Emprunts!$W1031</f>
        <v>-5281345.7599999942</v>
      </c>
      <c r="Y1031">
        <v>1024</v>
      </c>
      <c r="Z1031" t="str">
        <f t="shared" si="77"/>
        <v>Investissement</v>
      </c>
      <c r="AA1031" t="str">
        <f t="shared" si="78"/>
        <v>travaux magasin</v>
      </c>
    </row>
    <row r="1032" spans="20:27" x14ac:dyDescent="0.25">
      <c r="T1032" s="68">
        <f t="shared" ref="T1032:T1096" si="80">EDATE(T1031,1)</f>
        <v>75124</v>
      </c>
      <c r="U1032" s="77">
        <f t="shared" si="76"/>
        <v>864.41</v>
      </c>
      <c r="V1032" s="72">
        <f t="shared" si="79"/>
        <v>-15580.24</v>
      </c>
      <c r="W1032" s="69">
        <f>D_Emprunts!$U1032-D_Emprunts!$V1032</f>
        <v>16444.650000000001</v>
      </c>
      <c r="X1032" s="70">
        <f>X1031-D_Emprunts!$W1032</f>
        <v>-5297790.4099999946</v>
      </c>
      <c r="Y1032">
        <v>1025</v>
      </c>
      <c r="Z1032" t="str">
        <f t="shared" si="77"/>
        <v>Investissement</v>
      </c>
      <c r="AA1032" t="str">
        <f t="shared" si="78"/>
        <v>travaux magasin</v>
      </c>
    </row>
    <row r="1033" spans="20:27" x14ac:dyDescent="0.25">
      <c r="T1033" s="71">
        <f t="shared" si="80"/>
        <v>75154</v>
      </c>
      <c r="U1033" s="77">
        <f t="shared" ref="U1033:U1096" si="81">$X$4</f>
        <v>864.41</v>
      </c>
      <c r="V1033" s="72">
        <f t="shared" si="79"/>
        <v>-15628.75</v>
      </c>
      <c r="W1033" s="72">
        <f>D_Emprunts!$U1033-D_Emprunts!$V1033</f>
        <v>16493.16</v>
      </c>
      <c r="X1033" s="73">
        <f>X1032-D_Emprunts!$W1033</f>
        <v>-5314283.5699999947</v>
      </c>
      <c r="Y1033">
        <v>1026</v>
      </c>
      <c r="Z1033" t="str">
        <f t="shared" ref="Z1033:Z1096" si="82">$Y$4</f>
        <v>Investissement</v>
      </c>
      <c r="AA1033" t="str">
        <f t="shared" ref="AA1033:AA1096" si="83">$Z$4</f>
        <v>travaux magasin</v>
      </c>
    </row>
    <row r="1034" spans="20:27" x14ac:dyDescent="0.25">
      <c r="T1034" s="68">
        <f t="shared" si="80"/>
        <v>75185</v>
      </c>
      <c r="U1034" s="77">
        <f t="shared" si="81"/>
        <v>864.41</v>
      </c>
      <c r="V1034" s="72">
        <f t="shared" ref="V1034:V1096" si="84">ROUND(X1033*$V$4/12,2)</f>
        <v>-15677.41</v>
      </c>
      <c r="W1034" s="69">
        <f>D_Emprunts!$U1034-D_Emprunts!$V1034</f>
        <v>16541.82</v>
      </c>
      <c r="X1034" s="70">
        <f>X1033-D_Emprunts!$W1034</f>
        <v>-5330825.389999995</v>
      </c>
      <c r="Y1034">
        <v>1027</v>
      </c>
      <c r="Z1034" t="str">
        <f t="shared" si="82"/>
        <v>Investissement</v>
      </c>
      <c r="AA1034" t="str">
        <f t="shared" si="83"/>
        <v>travaux magasin</v>
      </c>
    </row>
    <row r="1035" spans="20:27" x14ac:dyDescent="0.25">
      <c r="T1035" s="71">
        <f t="shared" si="80"/>
        <v>75215</v>
      </c>
      <c r="U1035" s="77">
        <f t="shared" si="81"/>
        <v>864.41</v>
      </c>
      <c r="V1035" s="72">
        <f t="shared" si="84"/>
        <v>-15726.21</v>
      </c>
      <c r="W1035" s="72">
        <f>D_Emprunts!$U1035-D_Emprunts!$V1035</f>
        <v>16590.62</v>
      </c>
      <c r="X1035" s="73">
        <f>X1034-D_Emprunts!$W1035</f>
        <v>-5347416.0099999951</v>
      </c>
      <c r="Y1035">
        <v>1028</v>
      </c>
      <c r="Z1035" t="str">
        <f t="shared" si="82"/>
        <v>Investissement</v>
      </c>
      <c r="AA1035" t="str">
        <f t="shared" si="83"/>
        <v>travaux magasin</v>
      </c>
    </row>
    <row r="1036" spans="20:27" x14ac:dyDescent="0.25">
      <c r="T1036" s="68">
        <f t="shared" si="80"/>
        <v>75246</v>
      </c>
      <c r="U1036" s="77">
        <f t="shared" si="81"/>
        <v>864.41</v>
      </c>
      <c r="V1036" s="72">
        <f t="shared" si="84"/>
        <v>-15775.15</v>
      </c>
      <c r="W1036" s="69">
        <f>D_Emprunts!$U1036-D_Emprunts!$V1036</f>
        <v>16639.560000000001</v>
      </c>
      <c r="X1036" s="70">
        <f>X1035-D_Emprunts!$W1036</f>
        <v>-5364055.5699999947</v>
      </c>
      <c r="Y1036">
        <v>1029</v>
      </c>
      <c r="Z1036" t="str">
        <f t="shared" si="82"/>
        <v>Investissement</v>
      </c>
      <c r="AA1036" t="str">
        <f t="shared" si="83"/>
        <v>travaux magasin</v>
      </c>
    </row>
    <row r="1037" spans="20:27" x14ac:dyDescent="0.25">
      <c r="T1037" s="71">
        <f t="shared" si="80"/>
        <v>75277</v>
      </c>
      <c r="U1037" s="77">
        <f t="shared" si="81"/>
        <v>864.41</v>
      </c>
      <c r="V1037" s="72">
        <f t="shared" si="84"/>
        <v>-15824.24</v>
      </c>
      <c r="W1037" s="72">
        <f>D_Emprunts!$U1037-D_Emprunts!$V1037</f>
        <v>16688.650000000001</v>
      </c>
      <c r="X1037" s="73">
        <f>X1036-D_Emprunts!$W1037</f>
        <v>-5380744.2199999951</v>
      </c>
      <c r="Y1037">
        <v>1030</v>
      </c>
      <c r="Z1037" t="str">
        <f t="shared" si="82"/>
        <v>Investissement</v>
      </c>
      <c r="AA1037" t="str">
        <f t="shared" si="83"/>
        <v>travaux magasin</v>
      </c>
    </row>
    <row r="1038" spans="20:27" x14ac:dyDescent="0.25">
      <c r="T1038" s="68">
        <f t="shared" si="80"/>
        <v>75305</v>
      </c>
      <c r="U1038" s="77">
        <f t="shared" si="81"/>
        <v>864.41</v>
      </c>
      <c r="V1038" s="72">
        <f t="shared" si="84"/>
        <v>-15873.47</v>
      </c>
      <c r="W1038" s="69">
        <f>D_Emprunts!$U1038-D_Emprunts!$V1038</f>
        <v>16737.88</v>
      </c>
      <c r="X1038" s="70">
        <f>X1037-D_Emprunts!$W1038</f>
        <v>-5397482.099999995</v>
      </c>
      <c r="Y1038">
        <v>1031</v>
      </c>
      <c r="Z1038" t="str">
        <f t="shared" si="82"/>
        <v>Investissement</v>
      </c>
      <c r="AA1038" t="str">
        <f t="shared" si="83"/>
        <v>travaux magasin</v>
      </c>
    </row>
    <row r="1039" spans="20:27" x14ac:dyDescent="0.25">
      <c r="T1039" s="71">
        <f t="shared" si="80"/>
        <v>75336</v>
      </c>
      <c r="U1039" s="77">
        <f t="shared" si="81"/>
        <v>864.41</v>
      </c>
      <c r="V1039" s="72">
        <f t="shared" si="84"/>
        <v>-15922.85</v>
      </c>
      <c r="W1039" s="72">
        <f>D_Emprunts!$U1039-D_Emprunts!$V1039</f>
        <v>16787.260000000002</v>
      </c>
      <c r="X1039" s="73">
        <f>X1038-D_Emprunts!$W1039</f>
        <v>-5414269.3599999947</v>
      </c>
      <c r="Y1039">
        <v>1032</v>
      </c>
      <c r="Z1039" t="str">
        <f t="shared" si="82"/>
        <v>Investissement</v>
      </c>
      <c r="AA1039" t="str">
        <f t="shared" si="83"/>
        <v>travaux magasin</v>
      </c>
    </row>
    <row r="1040" spans="20:27" x14ac:dyDescent="0.25">
      <c r="T1040" s="68">
        <f t="shared" si="80"/>
        <v>75366</v>
      </c>
      <c r="U1040" s="77">
        <f t="shared" si="81"/>
        <v>864.41</v>
      </c>
      <c r="V1040" s="72">
        <f t="shared" si="84"/>
        <v>-15972.37</v>
      </c>
      <c r="W1040" s="69">
        <f>D_Emprunts!$U1040-D_Emprunts!$V1040</f>
        <v>16836.780000000002</v>
      </c>
      <c r="X1040" s="70">
        <f>X1039-D_Emprunts!$W1040</f>
        <v>-5431106.139999995</v>
      </c>
      <c r="Y1040">
        <v>1033</v>
      </c>
      <c r="Z1040" t="str">
        <f t="shared" si="82"/>
        <v>Investissement</v>
      </c>
      <c r="AA1040" t="str">
        <f t="shared" si="83"/>
        <v>travaux magasin</v>
      </c>
    </row>
    <row r="1041" spans="20:27" x14ac:dyDescent="0.25">
      <c r="T1041" s="71">
        <f t="shared" si="80"/>
        <v>75397</v>
      </c>
      <c r="U1041" s="77">
        <f t="shared" si="81"/>
        <v>864.41</v>
      </c>
      <c r="V1041" s="72">
        <f t="shared" si="84"/>
        <v>-16022.04</v>
      </c>
      <c r="W1041" s="72">
        <f>D_Emprunts!$U1041-D_Emprunts!$V1041</f>
        <v>16886.45</v>
      </c>
      <c r="X1041" s="73">
        <f>X1040-D_Emprunts!$W1041</f>
        <v>-5447992.5899999952</v>
      </c>
      <c r="Y1041">
        <v>1034</v>
      </c>
      <c r="Z1041" t="str">
        <f t="shared" si="82"/>
        <v>Investissement</v>
      </c>
      <c r="AA1041" t="str">
        <f t="shared" si="83"/>
        <v>travaux magasin</v>
      </c>
    </row>
    <row r="1042" spans="20:27" x14ac:dyDescent="0.25">
      <c r="T1042" s="68">
        <f t="shared" si="80"/>
        <v>75427</v>
      </c>
      <c r="U1042" s="77">
        <f t="shared" si="81"/>
        <v>864.41</v>
      </c>
      <c r="V1042" s="72">
        <f t="shared" si="84"/>
        <v>-16071.86</v>
      </c>
      <c r="W1042" s="69">
        <f>D_Emprunts!$U1042-D_Emprunts!$V1042</f>
        <v>16936.27</v>
      </c>
      <c r="X1042" s="70">
        <f>X1041-D_Emprunts!$W1042</f>
        <v>-5464928.8599999947</v>
      </c>
      <c r="Y1042">
        <v>1035</v>
      </c>
      <c r="Z1042" t="str">
        <f t="shared" si="82"/>
        <v>Investissement</v>
      </c>
      <c r="AA1042" t="str">
        <f t="shared" si="83"/>
        <v>travaux magasin</v>
      </c>
    </row>
    <row r="1043" spans="20:27" x14ac:dyDescent="0.25">
      <c r="T1043" s="71">
        <f t="shared" si="80"/>
        <v>75458</v>
      </c>
      <c r="U1043" s="77">
        <f t="shared" si="81"/>
        <v>864.41</v>
      </c>
      <c r="V1043" s="72">
        <f t="shared" si="84"/>
        <v>-16121.82</v>
      </c>
      <c r="W1043" s="72">
        <f>D_Emprunts!$U1043-D_Emprunts!$V1043</f>
        <v>16986.23</v>
      </c>
      <c r="X1043" s="73">
        <f>X1042-D_Emprunts!$W1043</f>
        <v>-5481915.0899999952</v>
      </c>
      <c r="Y1043">
        <v>1036</v>
      </c>
      <c r="Z1043" t="str">
        <f t="shared" si="82"/>
        <v>Investissement</v>
      </c>
      <c r="AA1043" t="str">
        <f t="shared" si="83"/>
        <v>travaux magasin</v>
      </c>
    </row>
    <row r="1044" spans="20:27" x14ac:dyDescent="0.25">
      <c r="T1044" s="68">
        <f t="shared" si="80"/>
        <v>75489</v>
      </c>
      <c r="U1044" s="77">
        <f t="shared" si="81"/>
        <v>864.41</v>
      </c>
      <c r="V1044" s="72">
        <f t="shared" si="84"/>
        <v>-16171.93</v>
      </c>
      <c r="W1044" s="69">
        <f>D_Emprunts!$U1044-D_Emprunts!$V1044</f>
        <v>17036.34</v>
      </c>
      <c r="X1044" s="70">
        <f>X1043-D_Emprunts!$W1044</f>
        <v>-5498951.429999995</v>
      </c>
      <c r="Y1044">
        <v>1037</v>
      </c>
      <c r="Z1044" t="str">
        <f t="shared" si="82"/>
        <v>Investissement</v>
      </c>
      <c r="AA1044" t="str">
        <f t="shared" si="83"/>
        <v>travaux magasin</v>
      </c>
    </row>
    <row r="1045" spans="20:27" x14ac:dyDescent="0.25">
      <c r="T1045" s="71">
        <f t="shared" si="80"/>
        <v>75519</v>
      </c>
      <c r="U1045" s="77">
        <f t="shared" si="81"/>
        <v>864.41</v>
      </c>
      <c r="V1045" s="72">
        <f t="shared" si="84"/>
        <v>-16222.19</v>
      </c>
      <c r="W1045" s="72">
        <f>D_Emprunts!$U1045-D_Emprunts!$V1045</f>
        <v>17086.600000000002</v>
      </c>
      <c r="X1045" s="73">
        <f>X1044-D_Emprunts!$W1045</f>
        <v>-5516038.0299999947</v>
      </c>
      <c r="Y1045">
        <v>1038</v>
      </c>
      <c r="Z1045" t="str">
        <f t="shared" si="82"/>
        <v>Investissement</v>
      </c>
      <c r="AA1045" t="str">
        <f t="shared" si="83"/>
        <v>travaux magasin</v>
      </c>
    </row>
    <row r="1046" spans="20:27" x14ac:dyDescent="0.25">
      <c r="T1046" s="68">
        <f t="shared" si="80"/>
        <v>75550</v>
      </c>
      <c r="U1046" s="77">
        <f t="shared" si="81"/>
        <v>864.41</v>
      </c>
      <c r="V1046" s="72">
        <f t="shared" si="84"/>
        <v>-16272.59</v>
      </c>
      <c r="W1046" s="69">
        <f>D_Emprunts!$U1046-D_Emprunts!$V1046</f>
        <v>17137</v>
      </c>
      <c r="X1046" s="70">
        <f>X1045-D_Emprunts!$W1046</f>
        <v>-5533175.0299999947</v>
      </c>
      <c r="Y1046">
        <v>1039</v>
      </c>
      <c r="Z1046" t="str">
        <f t="shared" si="82"/>
        <v>Investissement</v>
      </c>
      <c r="AA1046" t="str">
        <f t="shared" si="83"/>
        <v>travaux magasin</v>
      </c>
    </row>
    <row r="1047" spans="20:27" x14ac:dyDescent="0.25">
      <c r="T1047" s="71">
        <f t="shared" si="80"/>
        <v>75580</v>
      </c>
      <c r="U1047" s="77">
        <f t="shared" si="81"/>
        <v>864.41</v>
      </c>
      <c r="V1047" s="72">
        <f t="shared" si="84"/>
        <v>-16323.15</v>
      </c>
      <c r="W1047" s="72">
        <f>D_Emprunts!$U1047-D_Emprunts!$V1047</f>
        <v>17187.560000000001</v>
      </c>
      <c r="X1047" s="73">
        <f>X1046-D_Emprunts!$W1047</f>
        <v>-5550362.5899999943</v>
      </c>
      <c r="Y1047">
        <v>1040</v>
      </c>
      <c r="Z1047" t="str">
        <f t="shared" si="82"/>
        <v>Investissement</v>
      </c>
      <c r="AA1047" t="str">
        <f t="shared" si="83"/>
        <v>travaux magasin</v>
      </c>
    </row>
    <row r="1048" spans="20:27" x14ac:dyDescent="0.25">
      <c r="T1048" s="68">
        <f t="shared" si="80"/>
        <v>75611</v>
      </c>
      <c r="U1048" s="77">
        <f t="shared" si="81"/>
        <v>864.41</v>
      </c>
      <c r="V1048" s="72">
        <f t="shared" si="84"/>
        <v>-16373.85</v>
      </c>
      <c r="W1048" s="69">
        <f>D_Emprunts!$U1048-D_Emprunts!$V1048</f>
        <v>17238.260000000002</v>
      </c>
      <c r="X1048" s="70">
        <f>X1047-D_Emprunts!$W1048</f>
        <v>-5567600.849999994</v>
      </c>
      <c r="Y1048">
        <v>1041</v>
      </c>
      <c r="Z1048" t="str">
        <f t="shared" si="82"/>
        <v>Investissement</v>
      </c>
      <c r="AA1048" t="str">
        <f t="shared" si="83"/>
        <v>travaux magasin</v>
      </c>
    </row>
    <row r="1049" spans="20:27" x14ac:dyDescent="0.25">
      <c r="T1049" s="71">
        <f t="shared" si="80"/>
        <v>75642</v>
      </c>
      <c r="U1049" s="77">
        <f t="shared" si="81"/>
        <v>864.41</v>
      </c>
      <c r="V1049" s="72">
        <f t="shared" si="84"/>
        <v>-16424.71</v>
      </c>
      <c r="W1049" s="72">
        <f>D_Emprunts!$U1049-D_Emprunts!$V1049</f>
        <v>17289.12</v>
      </c>
      <c r="X1049" s="73">
        <f>X1048-D_Emprunts!$W1049</f>
        <v>-5584889.9699999942</v>
      </c>
      <c r="Y1049">
        <v>1042</v>
      </c>
      <c r="Z1049" t="str">
        <f t="shared" si="82"/>
        <v>Investissement</v>
      </c>
      <c r="AA1049" t="str">
        <f t="shared" si="83"/>
        <v>travaux magasin</v>
      </c>
    </row>
    <row r="1050" spans="20:27" x14ac:dyDescent="0.25">
      <c r="T1050" s="68">
        <f t="shared" si="80"/>
        <v>75670</v>
      </c>
      <c r="U1050" s="77">
        <f t="shared" si="81"/>
        <v>864.41</v>
      </c>
      <c r="V1050" s="72">
        <f t="shared" si="84"/>
        <v>-16475.71</v>
      </c>
      <c r="W1050" s="69">
        <f>D_Emprunts!$U1050-D_Emprunts!$V1050</f>
        <v>17340.12</v>
      </c>
      <c r="X1050" s="70">
        <f>X1049-D_Emprunts!$W1050</f>
        <v>-5602230.0899999943</v>
      </c>
      <c r="Y1050">
        <v>1043</v>
      </c>
      <c r="Z1050" t="str">
        <f t="shared" si="82"/>
        <v>Investissement</v>
      </c>
      <c r="AA1050" t="str">
        <f t="shared" si="83"/>
        <v>travaux magasin</v>
      </c>
    </row>
    <row r="1051" spans="20:27" x14ac:dyDescent="0.25">
      <c r="T1051" s="71">
        <f t="shared" si="80"/>
        <v>75701</v>
      </c>
      <c r="U1051" s="77">
        <f t="shared" si="81"/>
        <v>864.41</v>
      </c>
      <c r="V1051" s="72">
        <f t="shared" si="84"/>
        <v>-16526.87</v>
      </c>
      <c r="W1051" s="72">
        <f>D_Emprunts!$U1051-D_Emprunts!$V1051</f>
        <v>17391.28</v>
      </c>
      <c r="X1051" s="73">
        <f>X1050-D_Emprunts!$W1051</f>
        <v>-5619621.3699999945</v>
      </c>
      <c r="Y1051">
        <v>1044</v>
      </c>
      <c r="Z1051" t="str">
        <f t="shared" si="82"/>
        <v>Investissement</v>
      </c>
      <c r="AA1051" t="str">
        <f t="shared" si="83"/>
        <v>travaux magasin</v>
      </c>
    </row>
    <row r="1052" spans="20:27" x14ac:dyDescent="0.25">
      <c r="T1052" s="68">
        <f t="shared" si="80"/>
        <v>75731</v>
      </c>
      <c r="U1052" s="77">
        <f t="shared" si="81"/>
        <v>864.41</v>
      </c>
      <c r="V1052" s="72">
        <f t="shared" si="84"/>
        <v>-16578.169999999998</v>
      </c>
      <c r="W1052" s="69">
        <f>D_Emprunts!$U1052-D_Emprunts!$V1052</f>
        <v>17442.579999999998</v>
      </c>
      <c r="X1052" s="70">
        <f>X1051-D_Emprunts!$W1052</f>
        <v>-5637063.9499999946</v>
      </c>
      <c r="Y1052">
        <v>1045</v>
      </c>
      <c r="Z1052" t="str">
        <f t="shared" si="82"/>
        <v>Investissement</v>
      </c>
      <c r="AA1052" t="str">
        <f t="shared" si="83"/>
        <v>travaux magasin</v>
      </c>
    </row>
    <row r="1053" spans="20:27" x14ac:dyDescent="0.25">
      <c r="T1053" s="71">
        <f t="shared" si="80"/>
        <v>75762</v>
      </c>
      <c r="U1053" s="77">
        <f t="shared" si="81"/>
        <v>864.41</v>
      </c>
      <c r="V1053" s="72">
        <f t="shared" si="84"/>
        <v>-16629.63</v>
      </c>
      <c r="W1053" s="72">
        <f>D_Emprunts!$U1053-D_Emprunts!$V1053</f>
        <v>17494.04</v>
      </c>
      <c r="X1053" s="73">
        <f>X1052-D_Emprunts!$W1053</f>
        <v>-5654557.9899999946</v>
      </c>
      <c r="Y1053">
        <v>1046</v>
      </c>
      <c r="Z1053" t="str">
        <f t="shared" si="82"/>
        <v>Investissement</v>
      </c>
      <c r="AA1053" t="str">
        <f t="shared" si="83"/>
        <v>travaux magasin</v>
      </c>
    </row>
    <row r="1054" spans="20:27" x14ac:dyDescent="0.25">
      <c r="T1054" s="68">
        <f t="shared" si="80"/>
        <v>75792</v>
      </c>
      <c r="U1054" s="77">
        <f t="shared" si="81"/>
        <v>864.41</v>
      </c>
      <c r="V1054" s="72">
        <f t="shared" si="84"/>
        <v>-16681.240000000002</v>
      </c>
      <c r="W1054" s="69">
        <f>D_Emprunts!$U1054-D_Emprunts!$V1054</f>
        <v>17545.650000000001</v>
      </c>
      <c r="X1054" s="70">
        <f>X1053-D_Emprunts!$W1054</f>
        <v>-5672103.639999995</v>
      </c>
      <c r="Y1054">
        <v>1047</v>
      </c>
      <c r="Z1054" t="str">
        <f t="shared" si="82"/>
        <v>Investissement</v>
      </c>
      <c r="AA1054" t="str">
        <f t="shared" si="83"/>
        <v>travaux magasin</v>
      </c>
    </row>
    <row r="1055" spans="20:27" x14ac:dyDescent="0.25">
      <c r="T1055" s="71">
        <f t="shared" si="80"/>
        <v>75823</v>
      </c>
      <c r="U1055" s="77">
        <f t="shared" si="81"/>
        <v>864.41</v>
      </c>
      <c r="V1055" s="72">
        <f t="shared" si="84"/>
        <v>-16733</v>
      </c>
      <c r="W1055" s="72">
        <f>D_Emprunts!$U1055-D_Emprunts!$V1055</f>
        <v>17597.41</v>
      </c>
      <c r="X1055" s="73">
        <f>X1054-D_Emprunts!$W1055</f>
        <v>-5689701.0499999952</v>
      </c>
      <c r="Y1055">
        <v>1048</v>
      </c>
      <c r="Z1055" t="str">
        <f t="shared" si="82"/>
        <v>Investissement</v>
      </c>
      <c r="AA1055" t="str">
        <f t="shared" si="83"/>
        <v>travaux magasin</v>
      </c>
    </row>
    <row r="1056" spans="20:27" x14ac:dyDescent="0.25">
      <c r="T1056" s="68">
        <f t="shared" si="80"/>
        <v>75854</v>
      </c>
      <c r="U1056" s="77">
        <f t="shared" si="81"/>
        <v>864.41</v>
      </c>
      <c r="V1056" s="72">
        <f t="shared" si="84"/>
        <v>-16784.91</v>
      </c>
      <c r="W1056" s="69">
        <f>D_Emprunts!$U1056-D_Emprunts!$V1056</f>
        <v>17649.32</v>
      </c>
      <c r="X1056" s="70">
        <f>X1055-D_Emprunts!$W1056</f>
        <v>-5707350.3699999955</v>
      </c>
      <c r="Y1056">
        <v>1049</v>
      </c>
      <c r="Z1056" t="str">
        <f t="shared" si="82"/>
        <v>Investissement</v>
      </c>
      <c r="AA1056" t="str">
        <f t="shared" si="83"/>
        <v>travaux magasin</v>
      </c>
    </row>
    <row r="1057" spans="20:27" x14ac:dyDescent="0.25">
      <c r="T1057" s="71">
        <f t="shared" si="80"/>
        <v>75884</v>
      </c>
      <c r="U1057" s="77">
        <f t="shared" si="81"/>
        <v>864.41</v>
      </c>
      <c r="V1057" s="72">
        <f t="shared" si="84"/>
        <v>-16836.98</v>
      </c>
      <c r="W1057" s="72">
        <f>D_Emprunts!$U1057-D_Emprunts!$V1057</f>
        <v>17701.39</v>
      </c>
      <c r="X1057" s="73">
        <f>X1056-D_Emprunts!$W1057</f>
        <v>-5725051.7599999951</v>
      </c>
      <c r="Y1057">
        <v>1050</v>
      </c>
      <c r="Z1057" t="str">
        <f t="shared" si="82"/>
        <v>Investissement</v>
      </c>
      <c r="AA1057" t="str">
        <f t="shared" si="83"/>
        <v>travaux magasin</v>
      </c>
    </row>
    <row r="1058" spans="20:27" x14ac:dyDescent="0.25">
      <c r="T1058" s="68">
        <f t="shared" si="80"/>
        <v>75915</v>
      </c>
      <c r="U1058" s="77">
        <f t="shared" si="81"/>
        <v>864.41</v>
      </c>
      <c r="V1058" s="72">
        <f t="shared" si="84"/>
        <v>-16889.2</v>
      </c>
      <c r="W1058" s="69">
        <f>D_Emprunts!$U1058-D_Emprunts!$V1058</f>
        <v>17753.61</v>
      </c>
      <c r="X1058" s="70">
        <f>X1057-D_Emprunts!$W1058</f>
        <v>-5742805.3699999955</v>
      </c>
      <c r="Y1058">
        <v>1051</v>
      </c>
      <c r="Z1058" t="str">
        <f t="shared" si="82"/>
        <v>Investissement</v>
      </c>
      <c r="AA1058" t="str">
        <f t="shared" si="83"/>
        <v>travaux magasin</v>
      </c>
    </row>
    <row r="1059" spans="20:27" x14ac:dyDescent="0.25">
      <c r="T1059" s="71">
        <f t="shared" si="80"/>
        <v>75945</v>
      </c>
      <c r="U1059" s="77">
        <f t="shared" si="81"/>
        <v>864.41</v>
      </c>
      <c r="V1059" s="72">
        <f t="shared" si="84"/>
        <v>-16941.57</v>
      </c>
      <c r="W1059" s="72">
        <f>D_Emprunts!$U1059-D_Emprunts!$V1059</f>
        <v>17805.98</v>
      </c>
      <c r="X1059" s="73">
        <f>X1058-D_Emprunts!$W1059</f>
        <v>-5760611.3499999959</v>
      </c>
      <c r="Y1059">
        <v>1052</v>
      </c>
      <c r="Z1059" t="str">
        <f t="shared" si="82"/>
        <v>Investissement</v>
      </c>
      <c r="AA1059" t="str">
        <f t="shared" si="83"/>
        <v>travaux magasin</v>
      </c>
    </row>
    <row r="1060" spans="20:27" x14ac:dyDescent="0.25">
      <c r="T1060" s="68">
        <f t="shared" si="80"/>
        <v>75976</v>
      </c>
      <c r="U1060" s="77">
        <f t="shared" si="81"/>
        <v>864.41</v>
      </c>
      <c r="V1060" s="72">
        <f t="shared" si="84"/>
        <v>-16994.099999999999</v>
      </c>
      <c r="W1060" s="69">
        <f>D_Emprunts!$U1060-D_Emprunts!$V1060</f>
        <v>17858.509999999998</v>
      </c>
      <c r="X1060" s="70">
        <f>X1059-D_Emprunts!$W1060</f>
        <v>-5778469.8599999957</v>
      </c>
      <c r="Y1060">
        <v>1053</v>
      </c>
      <c r="Z1060" t="str">
        <f t="shared" si="82"/>
        <v>Investissement</v>
      </c>
      <c r="AA1060" t="str">
        <f t="shared" si="83"/>
        <v>travaux magasin</v>
      </c>
    </row>
    <row r="1061" spans="20:27" x14ac:dyDescent="0.25">
      <c r="T1061" s="71">
        <f t="shared" si="80"/>
        <v>76007</v>
      </c>
      <c r="U1061" s="77">
        <f t="shared" si="81"/>
        <v>864.41</v>
      </c>
      <c r="V1061" s="72">
        <f t="shared" si="84"/>
        <v>-17046.78</v>
      </c>
      <c r="W1061" s="72">
        <f>D_Emprunts!$U1061-D_Emprunts!$V1061</f>
        <v>17911.189999999999</v>
      </c>
      <c r="X1061" s="73">
        <f>X1060-D_Emprunts!$W1061</f>
        <v>-5796381.0499999961</v>
      </c>
      <c r="Y1061">
        <v>1054</v>
      </c>
      <c r="Z1061" t="str">
        <f t="shared" si="82"/>
        <v>Investissement</v>
      </c>
      <c r="AA1061" t="str">
        <f t="shared" si="83"/>
        <v>travaux magasin</v>
      </c>
    </row>
    <row r="1062" spans="20:27" x14ac:dyDescent="0.25">
      <c r="T1062" s="68">
        <f t="shared" si="80"/>
        <v>76036</v>
      </c>
      <c r="U1062" s="77">
        <f t="shared" si="81"/>
        <v>864.41</v>
      </c>
      <c r="V1062" s="72">
        <f t="shared" si="84"/>
        <v>-17099.62</v>
      </c>
      <c r="W1062" s="69">
        <f>D_Emprunts!$U1062-D_Emprunts!$V1062</f>
        <v>17964.03</v>
      </c>
      <c r="X1062" s="70">
        <f>X1061-D_Emprunts!$W1062</f>
        <v>-5814345.0799999963</v>
      </c>
      <c r="Y1062">
        <v>1055</v>
      </c>
      <c r="Z1062" t="str">
        <f t="shared" si="82"/>
        <v>Investissement</v>
      </c>
      <c r="AA1062" t="str">
        <f t="shared" si="83"/>
        <v>travaux magasin</v>
      </c>
    </row>
    <row r="1063" spans="20:27" x14ac:dyDescent="0.25">
      <c r="T1063" s="71">
        <f t="shared" si="80"/>
        <v>76067</v>
      </c>
      <c r="U1063" s="77">
        <f t="shared" si="81"/>
        <v>864.41</v>
      </c>
      <c r="V1063" s="72">
        <f t="shared" si="84"/>
        <v>-17152.62</v>
      </c>
      <c r="W1063" s="72">
        <f>D_Emprunts!$U1063-D_Emprunts!$V1063</f>
        <v>18017.03</v>
      </c>
      <c r="X1063" s="73">
        <f>X1062-D_Emprunts!$W1063</f>
        <v>-5832362.1099999966</v>
      </c>
      <c r="Y1063">
        <v>1056</v>
      </c>
      <c r="Z1063" t="str">
        <f t="shared" si="82"/>
        <v>Investissement</v>
      </c>
      <c r="AA1063" t="str">
        <f t="shared" si="83"/>
        <v>travaux magasin</v>
      </c>
    </row>
    <row r="1064" spans="20:27" x14ac:dyDescent="0.25">
      <c r="T1064" s="68">
        <f t="shared" si="80"/>
        <v>76097</v>
      </c>
      <c r="U1064" s="77">
        <f t="shared" si="81"/>
        <v>864.41</v>
      </c>
      <c r="V1064" s="72">
        <f t="shared" si="84"/>
        <v>-17205.77</v>
      </c>
      <c r="W1064" s="69">
        <f>D_Emprunts!$U1064-D_Emprunts!$V1064</f>
        <v>18070.18</v>
      </c>
      <c r="X1064" s="70">
        <f>X1063-D_Emprunts!$W1064</f>
        <v>-5850432.2899999963</v>
      </c>
      <c r="Y1064">
        <v>1057</v>
      </c>
      <c r="Z1064" t="str">
        <f t="shared" si="82"/>
        <v>Investissement</v>
      </c>
      <c r="AA1064" t="str">
        <f t="shared" si="83"/>
        <v>travaux magasin</v>
      </c>
    </row>
    <row r="1065" spans="20:27" x14ac:dyDescent="0.25">
      <c r="T1065" s="71">
        <f t="shared" si="80"/>
        <v>76128</v>
      </c>
      <c r="U1065" s="77">
        <f t="shared" si="81"/>
        <v>864.41</v>
      </c>
      <c r="V1065" s="72">
        <f t="shared" si="84"/>
        <v>-17259.07</v>
      </c>
      <c r="W1065" s="72">
        <f>D_Emprunts!$U1065-D_Emprunts!$V1065</f>
        <v>18123.48</v>
      </c>
      <c r="X1065" s="73">
        <f>X1064-D_Emprunts!$W1065</f>
        <v>-5868555.7699999968</v>
      </c>
      <c r="Y1065">
        <v>1058</v>
      </c>
      <c r="Z1065" t="str">
        <f t="shared" si="82"/>
        <v>Investissement</v>
      </c>
      <c r="AA1065" t="str">
        <f t="shared" si="83"/>
        <v>travaux magasin</v>
      </c>
    </row>
    <row r="1066" spans="20:27" x14ac:dyDescent="0.25">
      <c r="T1066" s="68">
        <f t="shared" si="80"/>
        <v>76158</v>
      </c>
      <c r="U1066" s="77">
        <f t="shared" si="81"/>
        <v>864.41</v>
      </c>
      <c r="V1066" s="72">
        <f t="shared" si="84"/>
        <v>-17312.54</v>
      </c>
      <c r="W1066" s="69">
        <f>D_Emprunts!$U1066-D_Emprunts!$V1066</f>
        <v>18176.95</v>
      </c>
      <c r="X1066" s="70">
        <f>X1065-D_Emprunts!$W1066</f>
        <v>-5886732.7199999969</v>
      </c>
      <c r="Y1066">
        <v>1059</v>
      </c>
      <c r="Z1066" t="str">
        <f t="shared" si="82"/>
        <v>Investissement</v>
      </c>
      <c r="AA1066" t="str">
        <f t="shared" si="83"/>
        <v>travaux magasin</v>
      </c>
    </row>
    <row r="1067" spans="20:27" x14ac:dyDescent="0.25">
      <c r="T1067" s="71">
        <f t="shared" si="80"/>
        <v>76189</v>
      </c>
      <c r="U1067" s="77">
        <f t="shared" si="81"/>
        <v>864.41</v>
      </c>
      <c r="V1067" s="72">
        <f t="shared" si="84"/>
        <v>-17366.16</v>
      </c>
      <c r="W1067" s="72">
        <f>D_Emprunts!$U1067-D_Emprunts!$V1067</f>
        <v>18230.57</v>
      </c>
      <c r="X1067" s="73">
        <f>X1066-D_Emprunts!$W1067</f>
        <v>-5904963.2899999972</v>
      </c>
      <c r="Y1067">
        <v>1060</v>
      </c>
      <c r="Z1067" t="str">
        <f t="shared" si="82"/>
        <v>Investissement</v>
      </c>
      <c r="AA1067" t="str">
        <f t="shared" si="83"/>
        <v>travaux magasin</v>
      </c>
    </row>
    <row r="1068" spans="20:27" x14ac:dyDescent="0.25">
      <c r="T1068" s="68">
        <f t="shared" si="80"/>
        <v>76220</v>
      </c>
      <c r="U1068" s="77">
        <f t="shared" si="81"/>
        <v>864.41</v>
      </c>
      <c r="V1068" s="72">
        <f t="shared" si="84"/>
        <v>-17419.939999999999</v>
      </c>
      <c r="W1068" s="69">
        <f>D_Emprunts!$U1068-D_Emprunts!$V1068</f>
        <v>18284.349999999999</v>
      </c>
      <c r="X1068" s="70">
        <f>X1067-D_Emprunts!$W1068</f>
        <v>-5923247.6399999969</v>
      </c>
      <c r="Y1068">
        <v>1061</v>
      </c>
      <c r="Z1068" t="str">
        <f t="shared" si="82"/>
        <v>Investissement</v>
      </c>
      <c r="AA1068" t="str">
        <f t="shared" si="83"/>
        <v>travaux magasin</v>
      </c>
    </row>
    <row r="1069" spans="20:27" x14ac:dyDescent="0.25">
      <c r="T1069" s="71">
        <f t="shared" si="80"/>
        <v>76250</v>
      </c>
      <c r="U1069" s="77">
        <f t="shared" si="81"/>
        <v>864.41</v>
      </c>
      <c r="V1069" s="72">
        <f t="shared" si="84"/>
        <v>-17473.88</v>
      </c>
      <c r="W1069" s="72">
        <f>D_Emprunts!$U1069-D_Emprunts!$V1069</f>
        <v>18338.29</v>
      </c>
      <c r="X1069" s="73">
        <f>X1068-D_Emprunts!$W1069</f>
        <v>-5941585.9299999969</v>
      </c>
      <c r="Y1069">
        <v>1062</v>
      </c>
      <c r="Z1069" t="str">
        <f t="shared" si="82"/>
        <v>Investissement</v>
      </c>
      <c r="AA1069" t="str">
        <f t="shared" si="83"/>
        <v>travaux magasin</v>
      </c>
    </row>
    <row r="1070" spans="20:27" x14ac:dyDescent="0.25">
      <c r="T1070" s="68">
        <f t="shared" si="80"/>
        <v>76281</v>
      </c>
      <c r="U1070" s="77">
        <f t="shared" si="81"/>
        <v>864.41</v>
      </c>
      <c r="V1070" s="72">
        <f t="shared" si="84"/>
        <v>-17527.98</v>
      </c>
      <c r="W1070" s="69">
        <f>D_Emprunts!$U1070-D_Emprunts!$V1070</f>
        <v>18392.39</v>
      </c>
      <c r="X1070" s="70">
        <f>X1069-D_Emprunts!$W1070</f>
        <v>-5959978.3199999966</v>
      </c>
      <c r="Y1070">
        <v>1063</v>
      </c>
      <c r="Z1070" t="str">
        <f t="shared" si="82"/>
        <v>Investissement</v>
      </c>
      <c r="AA1070" t="str">
        <f t="shared" si="83"/>
        <v>travaux magasin</v>
      </c>
    </row>
    <row r="1071" spans="20:27" x14ac:dyDescent="0.25">
      <c r="T1071" s="71">
        <f t="shared" si="80"/>
        <v>76311</v>
      </c>
      <c r="U1071" s="77">
        <f t="shared" si="81"/>
        <v>864.41</v>
      </c>
      <c r="V1071" s="72">
        <f t="shared" si="84"/>
        <v>-17582.240000000002</v>
      </c>
      <c r="W1071" s="72">
        <f>D_Emprunts!$U1071-D_Emprunts!$V1071</f>
        <v>18446.650000000001</v>
      </c>
      <c r="X1071" s="73">
        <f>X1070-D_Emprunts!$W1071</f>
        <v>-5978424.9699999969</v>
      </c>
      <c r="Y1071">
        <v>1064</v>
      </c>
      <c r="Z1071" t="str">
        <f t="shared" si="82"/>
        <v>Investissement</v>
      </c>
      <c r="AA1071" t="str">
        <f t="shared" si="83"/>
        <v>travaux magasin</v>
      </c>
    </row>
    <row r="1072" spans="20:27" x14ac:dyDescent="0.25">
      <c r="T1072" s="68">
        <f t="shared" si="80"/>
        <v>76342</v>
      </c>
      <c r="U1072" s="77">
        <f t="shared" si="81"/>
        <v>864.41</v>
      </c>
      <c r="V1072" s="72">
        <f t="shared" si="84"/>
        <v>-17636.66</v>
      </c>
      <c r="W1072" s="69">
        <f>D_Emprunts!$U1072-D_Emprunts!$V1072</f>
        <v>18501.07</v>
      </c>
      <c r="X1072" s="70">
        <f>X1071-D_Emprunts!$W1072</f>
        <v>-5996926.0399999972</v>
      </c>
      <c r="Y1072">
        <v>1065</v>
      </c>
      <c r="Z1072" t="str">
        <f t="shared" si="82"/>
        <v>Investissement</v>
      </c>
      <c r="AA1072" t="str">
        <f t="shared" si="83"/>
        <v>travaux magasin</v>
      </c>
    </row>
    <row r="1073" spans="20:27" x14ac:dyDescent="0.25">
      <c r="T1073" s="71">
        <f t="shared" si="80"/>
        <v>76373</v>
      </c>
      <c r="U1073" s="77">
        <f t="shared" si="81"/>
        <v>864.41</v>
      </c>
      <c r="V1073" s="72">
        <f t="shared" si="84"/>
        <v>-17691.240000000002</v>
      </c>
      <c r="W1073" s="72">
        <f>D_Emprunts!$U1073-D_Emprunts!$V1073</f>
        <v>18555.650000000001</v>
      </c>
      <c r="X1073" s="73">
        <f>X1072-D_Emprunts!$W1073</f>
        <v>-6015481.6899999976</v>
      </c>
      <c r="Y1073">
        <v>1066</v>
      </c>
      <c r="Z1073" t="str">
        <f t="shared" si="82"/>
        <v>Investissement</v>
      </c>
      <c r="AA1073" t="str">
        <f t="shared" si="83"/>
        <v>travaux magasin</v>
      </c>
    </row>
    <row r="1074" spans="20:27" x14ac:dyDescent="0.25">
      <c r="T1074" s="68">
        <f t="shared" si="80"/>
        <v>76401</v>
      </c>
      <c r="U1074" s="77">
        <f t="shared" si="81"/>
        <v>864.41</v>
      </c>
      <c r="V1074" s="72">
        <f t="shared" si="84"/>
        <v>-17745.98</v>
      </c>
      <c r="W1074" s="69">
        <f>D_Emprunts!$U1074-D_Emprunts!$V1074</f>
        <v>18610.39</v>
      </c>
      <c r="X1074" s="70">
        <f>X1073-D_Emprunts!$W1074</f>
        <v>-6034092.0799999973</v>
      </c>
      <c r="Y1074">
        <v>1067</v>
      </c>
      <c r="Z1074" t="str">
        <f t="shared" si="82"/>
        <v>Investissement</v>
      </c>
      <c r="AA1074" t="str">
        <f t="shared" si="83"/>
        <v>travaux magasin</v>
      </c>
    </row>
    <row r="1075" spans="20:27" x14ac:dyDescent="0.25">
      <c r="T1075" s="71">
        <f t="shared" si="80"/>
        <v>76432</v>
      </c>
      <c r="U1075" s="77">
        <f t="shared" si="81"/>
        <v>864.41</v>
      </c>
      <c r="V1075" s="72">
        <f t="shared" si="84"/>
        <v>-17800.88</v>
      </c>
      <c r="W1075" s="72">
        <f>D_Emprunts!$U1075-D_Emprunts!$V1075</f>
        <v>18665.29</v>
      </c>
      <c r="X1075" s="73">
        <f>X1074-D_Emprunts!$W1075</f>
        <v>-6052757.3699999973</v>
      </c>
      <c r="Y1075">
        <v>1068</v>
      </c>
      <c r="Z1075" t="str">
        <f t="shared" si="82"/>
        <v>Investissement</v>
      </c>
      <c r="AA1075" t="str">
        <f t="shared" si="83"/>
        <v>travaux magasin</v>
      </c>
    </row>
    <row r="1076" spans="20:27" x14ac:dyDescent="0.25">
      <c r="T1076" s="68">
        <f t="shared" si="80"/>
        <v>76462</v>
      </c>
      <c r="U1076" s="77">
        <f t="shared" si="81"/>
        <v>864.41</v>
      </c>
      <c r="V1076" s="72">
        <f t="shared" si="84"/>
        <v>-17855.939999999999</v>
      </c>
      <c r="W1076" s="69">
        <f>D_Emprunts!$U1076-D_Emprunts!$V1076</f>
        <v>18720.349999999999</v>
      </c>
      <c r="X1076" s="70">
        <f>X1075-D_Emprunts!$W1076</f>
        <v>-6071477.7199999969</v>
      </c>
      <c r="Y1076">
        <v>1069</v>
      </c>
      <c r="Z1076" t="str">
        <f t="shared" si="82"/>
        <v>Investissement</v>
      </c>
      <c r="AA1076" t="str">
        <f t="shared" si="83"/>
        <v>travaux magasin</v>
      </c>
    </row>
    <row r="1077" spans="20:27" x14ac:dyDescent="0.25">
      <c r="T1077" s="71">
        <f t="shared" si="80"/>
        <v>76493</v>
      </c>
      <c r="U1077" s="77">
        <f t="shared" si="81"/>
        <v>864.41</v>
      </c>
      <c r="V1077" s="72">
        <f t="shared" si="84"/>
        <v>-17911.169999999998</v>
      </c>
      <c r="W1077" s="72">
        <f>D_Emprunts!$U1077-D_Emprunts!$V1077</f>
        <v>18775.579999999998</v>
      </c>
      <c r="X1077" s="73">
        <f>X1076-D_Emprunts!$W1077</f>
        <v>-6090253.299999997</v>
      </c>
      <c r="Y1077">
        <v>1070</v>
      </c>
      <c r="Z1077" t="str">
        <f t="shared" si="82"/>
        <v>Investissement</v>
      </c>
      <c r="AA1077" t="str">
        <f t="shared" si="83"/>
        <v>travaux magasin</v>
      </c>
    </row>
    <row r="1078" spans="20:27" x14ac:dyDescent="0.25">
      <c r="T1078" s="68">
        <f t="shared" si="80"/>
        <v>76523</v>
      </c>
      <c r="U1078" s="77">
        <f t="shared" si="81"/>
        <v>864.41</v>
      </c>
      <c r="V1078" s="72">
        <f t="shared" si="84"/>
        <v>-17966.560000000001</v>
      </c>
      <c r="W1078" s="69">
        <f>D_Emprunts!$U1078-D_Emprunts!$V1078</f>
        <v>18830.97</v>
      </c>
      <c r="X1078" s="70">
        <f>X1077-D_Emprunts!$W1078</f>
        <v>-6109084.2699999968</v>
      </c>
      <c r="Y1078">
        <v>1071</v>
      </c>
      <c r="Z1078" t="str">
        <f t="shared" si="82"/>
        <v>Investissement</v>
      </c>
      <c r="AA1078" t="str">
        <f t="shared" si="83"/>
        <v>travaux magasin</v>
      </c>
    </row>
    <row r="1079" spans="20:27" x14ac:dyDescent="0.25">
      <c r="T1079" s="71">
        <f t="shared" si="80"/>
        <v>76554</v>
      </c>
      <c r="U1079" s="77">
        <f t="shared" si="81"/>
        <v>864.41</v>
      </c>
      <c r="V1079" s="72">
        <f t="shared" si="84"/>
        <v>-18022.11</v>
      </c>
      <c r="W1079" s="72">
        <f>D_Emprunts!$U1079-D_Emprunts!$V1079</f>
        <v>18886.52</v>
      </c>
      <c r="X1079" s="73">
        <f>X1078-D_Emprunts!$W1079</f>
        <v>-6127970.7899999963</v>
      </c>
      <c r="Y1079">
        <v>1072</v>
      </c>
      <c r="Z1079" t="str">
        <f t="shared" si="82"/>
        <v>Investissement</v>
      </c>
      <c r="AA1079" t="str">
        <f t="shared" si="83"/>
        <v>travaux magasin</v>
      </c>
    </row>
    <row r="1080" spans="20:27" x14ac:dyDescent="0.25">
      <c r="T1080" s="68">
        <f t="shared" si="80"/>
        <v>76585</v>
      </c>
      <c r="U1080" s="77">
        <f t="shared" si="81"/>
        <v>864.41</v>
      </c>
      <c r="V1080" s="72">
        <f t="shared" si="84"/>
        <v>-18077.830000000002</v>
      </c>
      <c r="W1080" s="69">
        <f>D_Emprunts!$U1080-D_Emprunts!$V1080</f>
        <v>18942.240000000002</v>
      </c>
      <c r="X1080" s="70">
        <f>X1079-D_Emprunts!$W1080</f>
        <v>-6146913.0299999965</v>
      </c>
      <c r="Y1080">
        <v>1073</v>
      </c>
      <c r="Z1080" t="str">
        <f t="shared" si="82"/>
        <v>Investissement</v>
      </c>
      <c r="AA1080" t="str">
        <f t="shared" si="83"/>
        <v>travaux magasin</v>
      </c>
    </row>
    <row r="1081" spans="20:27" x14ac:dyDescent="0.25">
      <c r="T1081" s="71">
        <f t="shared" si="80"/>
        <v>76615</v>
      </c>
      <c r="U1081" s="77">
        <f t="shared" si="81"/>
        <v>864.41</v>
      </c>
      <c r="V1081" s="72">
        <f t="shared" si="84"/>
        <v>-18133.71</v>
      </c>
      <c r="W1081" s="72">
        <f>D_Emprunts!$U1081-D_Emprunts!$V1081</f>
        <v>18998.12</v>
      </c>
      <c r="X1081" s="73">
        <f>X1080-D_Emprunts!$W1081</f>
        <v>-6165911.1499999966</v>
      </c>
      <c r="Y1081">
        <v>1074</v>
      </c>
      <c r="Z1081" t="str">
        <f t="shared" si="82"/>
        <v>Investissement</v>
      </c>
      <c r="AA1081" t="str">
        <f t="shared" si="83"/>
        <v>travaux magasin</v>
      </c>
    </row>
    <row r="1082" spans="20:27" x14ac:dyDescent="0.25">
      <c r="T1082" s="68">
        <f t="shared" si="80"/>
        <v>76646</v>
      </c>
      <c r="U1082" s="77">
        <f t="shared" si="81"/>
        <v>864.41</v>
      </c>
      <c r="V1082" s="72">
        <f t="shared" si="84"/>
        <v>-18189.75</v>
      </c>
      <c r="W1082" s="69">
        <f>D_Emprunts!$U1082-D_Emprunts!$V1082</f>
        <v>19054.16</v>
      </c>
      <c r="X1082" s="70">
        <f>X1081-D_Emprunts!$W1082</f>
        <v>-6184965.3099999968</v>
      </c>
      <c r="Y1082">
        <v>1075</v>
      </c>
      <c r="Z1082" t="str">
        <f t="shared" si="82"/>
        <v>Investissement</v>
      </c>
      <c r="AA1082" t="str">
        <f t="shared" si="83"/>
        <v>travaux magasin</v>
      </c>
    </row>
    <row r="1083" spans="20:27" x14ac:dyDescent="0.25">
      <c r="T1083" s="71">
        <f t="shared" si="80"/>
        <v>76676</v>
      </c>
      <c r="U1083" s="77">
        <f t="shared" si="81"/>
        <v>864.41</v>
      </c>
      <c r="V1083" s="72">
        <f t="shared" si="84"/>
        <v>-18245.96</v>
      </c>
      <c r="W1083" s="72">
        <f>D_Emprunts!$U1083-D_Emprunts!$V1083</f>
        <v>19110.37</v>
      </c>
      <c r="X1083" s="73">
        <f>X1082-D_Emprunts!$W1083</f>
        <v>-6204075.6799999969</v>
      </c>
      <c r="Y1083">
        <v>1076</v>
      </c>
      <c r="Z1083" t="str">
        <f t="shared" si="82"/>
        <v>Investissement</v>
      </c>
      <c r="AA1083" t="str">
        <f t="shared" si="83"/>
        <v>travaux magasin</v>
      </c>
    </row>
    <row r="1084" spans="20:27" x14ac:dyDescent="0.25">
      <c r="T1084" s="68">
        <f t="shared" si="80"/>
        <v>76707</v>
      </c>
      <c r="U1084" s="77">
        <f t="shared" si="81"/>
        <v>864.41</v>
      </c>
      <c r="V1084" s="72">
        <f t="shared" si="84"/>
        <v>-18302.34</v>
      </c>
      <c r="W1084" s="69">
        <f>D_Emprunts!$U1084-D_Emprunts!$V1084</f>
        <v>19166.75</v>
      </c>
      <c r="X1084" s="70">
        <f>X1083-D_Emprunts!$W1084</f>
        <v>-6223242.4299999969</v>
      </c>
      <c r="Y1084">
        <v>1077</v>
      </c>
      <c r="Z1084" t="str">
        <f t="shared" si="82"/>
        <v>Investissement</v>
      </c>
      <c r="AA1084" t="str">
        <f t="shared" si="83"/>
        <v>travaux magasin</v>
      </c>
    </row>
    <row r="1085" spans="20:27" x14ac:dyDescent="0.25">
      <c r="T1085" s="71">
        <f t="shared" si="80"/>
        <v>76738</v>
      </c>
      <c r="U1085" s="77">
        <f t="shared" si="81"/>
        <v>864.41</v>
      </c>
      <c r="V1085" s="72">
        <f t="shared" si="84"/>
        <v>-18358.88</v>
      </c>
      <c r="W1085" s="72">
        <f>D_Emprunts!$U1085-D_Emprunts!$V1085</f>
        <v>19223.29</v>
      </c>
      <c r="X1085" s="73">
        <f>X1084-D_Emprunts!$W1085</f>
        <v>-6242465.7199999969</v>
      </c>
      <c r="Y1085">
        <v>1078</v>
      </c>
      <c r="Z1085" t="str">
        <f t="shared" si="82"/>
        <v>Investissement</v>
      </c>
      <c r="AA1085" t="str">
        <f t="shared" si="83"/>
        <v>travaux magasin</v>
      </c>
    </row>
    <row r="1086" spans="20:27" x14ac:dyDescent="0.25">
      <c r="T1086" s="68">
        <f t="shared" si="80"/>
        <v>76766</v>
      </c>
      <c r="U1086" s="77">
        <f t="shared" si="81"/>
        <v>864.41</v>
      </c>
      <c r="V1086" s="72">
        <f t="shared" si="84"/>
        <v>-18415.59</v>
      </c>
      <c r="W1086" s="69">
        <f>D_Emprunts!$U1086-D_Emprunts!$V1086</f>
        <v>19280</v>
      </c>
      <c r="X1086" s="70">
        <f>X1085-D_Emprunts!$W1086</f>
        <v>-6261745.7199999969</v>
      </c>
      <c r="Y1086">
        <v>1079</v>
      </c>
      <c r="Z1086" t="str">
        <f t="shared" si="82"/>
        <v>Investissement</v>
      </c>
      <c r="AA1086" t="str">
        <f t="shared" si="83"/>
        <v>travaux magasin</v>
      </c>
    </row>
    <row r="1087" spans="20:27" x14ac:dyDescent="0.25">
      <c r="T1087" s="71">
        <f t="shared" si="80"/>
        <v>76797</v>
      </c>
      <c r="U1087" s="77">
        <f t="shared" si="81"/>
        <v>864.41</v>
      </c>
      <c r="V1087" s="72">
        <f t="shared" si="84"/>
        <v>-18472.47</v>
      </c>
      <c r="W1087" s="72">
        <f>D_Emprunts!$U1087-D_Emprunts!$V1087</f>
        <v>19336.88</v>
      </c>
      <c r="X1087" s="73">
        <f>X1086-D_Emprunts!$W1087</f>
        <v>-6281082.5999999968</v>
      </c>
      <c r="Y1087">
        <v>1080</v>
      </c>
      <c r="Z1087" t="str">
        <f t="shared" si="82"/>
        <v>Investissement</v>
      </c>
      <c r="AA1087" t="str">
        <f t="shared" si="83"/>
        <v>travaux magasin</v>
      </c>
    </row>
    <row r="1088" spans="20:27" x14ac:dyDescent="0.25">
      <c r="T1088" s="68">
        <f t="shared" si="80"/>
        <v>76827</v>
      </c>
      <c r="U1088" s="77">
        <f t="shared" si="81"/>
        <v>864.41</v>
      </c>
      <c r="V1088" s="72">
        <f t="shared" si="84"/>
        <v>-18529.509999999998</v>
      </c>
      <c r="W1088" s="69">
        <f>D_Emprunts!$U1088-D_Emprunts!$V1088</f>
        <v>19393.919999999998</v>
      </c>
      <c r="X1088" s="70">
        <f>X1087-D_Emprunts!$W1088</f>
        <v>-6300476.5199999968</v>
      </c>
      <c r="Y1088">
        <v>1081</v>
      </c>
      <c r="Z1088" t="str">
        <f t="shared" si="82"/>
        <v>Investissement</v>
      </c>
      <c r="AA1088" t="str">
        <f t="shared" si="83"/>
        <v>travaux magasin</v>
      </c>
    </row>
    <row r="1089" spans="20:27" x14ac:dyDescent="0.25">
      <c r="T1089" s="71">
        <f t="shared" si="80"/>
        <v>76858</v>
      </c>
      <c r="U1089" s="77">
        <f t="shared" si="81"/>
        <v>864.41</v>
      </c>
      <c r="V1089" s="72">
        <f t="shared" si="84"/>
        <v>-18586.73</v>
      </c>
      <c r="W1089" s="72">
        <f>D_Emprunts!$U1089-D_Emprunts!$V1089</f>
        <v>19451.14</v>
      </c>
      <c r="X1089" s="73">
        <f>X1088-D_Emprunts!$W1089</f>
        <v>-6319927.6599999964</v>
      </c>
      <c r="Y1089">
        <v>1082</v>
      </c>
      <c r="Z1089" t="str">
        <f t="shared" si="82"/>
        <v>Investissement</v>
      </c>
      <c r="AA1089" t="str">
        <f t="shared" si="83"/>
        <v>travaux magasin</v>
      </c>
    </row>
    <row r="1090" spans="20:27" x14ac:dyDescent="0.25">
      <c r="T1090" s="68">
        <f t="shared" si="80"/>
        <v>76888</v>
      </c>
      <c r="U1090" s="77">
        <f t="shared" si="81"/>
        <v>864.41</v>
      </c>
      <c r="V1090" s="72">
        <f t="shared" si="84"/>
        <v>-18644.11</v>
      </c>
      <c r="W1090" s="69">
        <f>D_Emprunts!$U1090-D_Emprunts!$V1090</f>
        <v>19508.52</v>
      </c>
      <c r="X1090" s="70">
        <f>X1089-D_Emprunts!$W1090</f>
        <v>-6339436.179999996</v>
      </c>
      <c r="Y1090">
        <v>1083</v>
      </c>
      <c r="Z1090" t="str">
        <f t="shared" si="82"/>
        <v>Investissement</v>
      </c>
      <c r="AA1090" t="str">
        <f t="shared" si="83"/>
        <v>travaux magasin</v>
      </c>
    </row>
    <row r="1091" spans="20:27" x14ac:dyDescent="0.25">
      <c r="T1091" s="71">
        <f t="shared" si="80"/>
        <v>76919</v>
      </c>
      <c r="U1091" s="77">
        <f t="shared" si="81"/>
        <v>864.41</v>
      </c>
      <c r="V1091" s="72">
        <f t="shared" si="84"/>
        <v>-18701.66</v>
      </c>
      <c r="W1091" s="72">
        <f>D_Emprunts!$U1091-D_Emprunts!$V1091</f>
        <v>19566.07</v>
      </c>
      <c r="X1091" s="73">
        <f>X1090-D_Emprunts!$W1091</f>
        <v>-6359002.2499999963</v>
      </c>
      <c r="Y1091">
        <v>1084</v>
      </c>
      <c r="Z1091" t="str">
        <f t="shared" si="82"/>
        <v>Investissement</v>
      </c>
      <c r="AA1091" t="str">
        <f t="shared" si="83"/>
        <v>travaux magasin</v>
      </c>
    </row>
    <row r="1092" spans="20:27" x14ac:dyDescent="0.25">
      <c r="T1092" s="68">
        <f t="shared" si="80"/>
        <v>76950</v>
      </c>
      <c r="U1092" s="77">
        <f t="shared" si="81"/>
        <v>864.41</v>
      </c>
      <c r="V1092" s="72">
        <f t="shared" si="84"/>
        <v>-18759.38</v>
      </c>
      <c r="W1092" s="69">
        <f>D_Emprunts!$U1092-D_Emprunts!$V1092</f>
        <v>19623.79</v>
      </c>
      <c r="X1092" s="70">
        <f>X1091-D_Emprunts!$W1092</f>
        <v>-6378626.0399999963</v>
      </c>
      <c r="Y1092">
        <v>1085</v>
      </c>
      <c r="Z1092" t="str">
        <f t="shared" si="82"/>
        <v>Investissement</v>
      </c>
      <c r="AA1092" t="str">
        <f t="shared" si="83"/>
        <v>travaux magasin</v>
      </c>
    </row>
    <row r="1093" spans="20:27" x14ac:dyDescent="0.25">
      <c r="T1093" s="71">
        <f t="shared" si="80"/>
        <v>76980</v>
      </c>
      <c r="U1093" s="77">
        <f t="shared" si="81"/>
        <v>864.41</v>
      </c>
      <c r="V1093" s="72">
        <f t="shared" si="84"/>
        <v>-18817.27</v>
      </c>
      <c r="W1093" s="72">
        <f>D_Emprunts!$U1093-D_Emprunts!$V1093</f>
        <v>19681.68</v>
      </c>
      <c r="X1093" s="73">
        <f>X1092-D_Emprunts!$W1093</f>
        <v>-6398307.719999996</v>
      </c>
      <c r="Y1093">
        <v>1086</v>
      </c>
      <c r="Z1093" t="str">
        <f t="shared" si="82"/>
        <v>Investissement</v>
      </c>
      <c r="AA1093" t="str">
        <f t="shared" si="83"/>
        <v>travaux magasin</v>
      </c>
    </row>
    <row r="1094" spans="20:27" x14ac:dyDescent="0.25">
      <c r="T1094" s="68">
        <f t="shared" si="80"/>
        <v>77011</v>
      </c>
      <c r="U1094" s="77">
        <f t="shared" si="81"/>
        <v>864.41</v>
      </c>
      <c r="V1094" s="72">
        <f t="shared" si="84"/>
        <v>-18875.34</v>
      </c>
      <c r="W1094" s="69">
        <f>D_Emprunts!$U1094-D_Emprunts!$V1094</f>
        <v>19739.75</v>
      </c>
      <c r="X1094" s="70">
        <f>X1093-D_Emprunts!$W1094</f>
        <v>-6418047.469999996</v>
      </c>
      <c r="Y1094">
        <v>1087</v>
      </c>
      <c r="Z1094" t="str">
        <f t="shared" si="82"/>
        <v>Investissement</v>
      </c>
      <c r="AA1094" t="str">
        <f t="shared" si="83"/>
        <v>travaux magasin</v>
      </c>
    </row>
    <row r="1095" spans="20:27" x14ac:dyDescent="0.25">
      <c r="T1095" s="71">
        <f t="shared" si="80"/>
        <v>77041</v>
      </c>
      <c r="U1095" s="77">
        <f t="shared" si="81"/>
        <v>864.41</v>
      </c>
      <c r="V1095" s="72">
        <f t="shared" si="84"/>
        <v>-18933.57</v>
      </c>
      <c r="W1095" s="72">
        <f>D_Emprunts!$U1095-D_Emprunts!$V1095</f>
        <v>19797.98</v>
      </c>
      <c r="X1095" s="73">
        <f>X1094-D_Emprunts!$W1095</f>
        <v>-6437845.4499999965</v>
      </c>
      <c r="Y1095">
        <v>1088</v>
      </c>
      <c r="Z1095" t="str">
        <f t="shared" si="82"/>
        <v>Investissement</v>
      </c>
      <c r="AA1095" t="str">
        <f t="shared" si="83"/>
        <v>travaux magasin</v>
      </c>
    </row>
    <row r="1096" spans="20:27" ht="15.75" thickBot="1" x14ac:dyDescent="0.3">
      <c r="T1096" s="68">
        <f t="shared" si="80"/>
        <v>77072</v>
      </c>
      <c r="U1096" s="77">
        <f t="shared" si="81"/>
        <v>864.41</v>
      </c>
      <c r="V1096" s="72">
        <f t="shared" si="84"/>
        <v>-18991.97</v>
      </c>
      <c r="W1096" s="69">
        <f>D_Emprunts!$U1096-D_Emprunts!$V1096</f>
        <v>19856.38</v>
      </c>
      <c r="X1096" s="70">
        <f>X1095-D_Emprunts!$W1096</f>
        <v>-6457701.8299999963</v>
      </c>
      <c r="Y1096">
        <v>1089</v>
      </c>
      <c r="Z1096" t="str">
        <f t="shared" si="82"/>
        <v>Investissement</v>
      </c>
      <c r="AA1096" t="str">
        <f t="shared" si="83"/>
        <v>travaux magasin</v>
      </c>
    </row>
    <row r="1097" spans="20:27" ht="15.75" thickTop="1" x14ac:dyDescent="0.25">
      <c r="T1097" s="74"/>
      <c r="U1097" s="66"/>
      <c r="V1097" s="75"/>
      <c r="W1097" s="75"/>
      <c r="X1097" s="76"/>
    </row>
  </sheetData>
  <mergeCells count="3">
    <mergeCell ref="A3:H3"/>
    <mergeCell ref="M3:N3"/>
    <mergeCell ref="J12:Q1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8C723-43CC-48ED-ADBC-A2D8E6C1B8F9}">
  <sheetPr codeName="Feuil16"/>
  <dimension ref="A2:H23"/>
  <sheetViews>
    <sheetView workbookViewId="0">
      <selection activeCell="G10" sqref="G10"/>
    </sheetView>
  </sheetViews>
  <sheetFormatPr baseColWidth="10" defaultRowHeight="15" x14ac:dyDescent="0.25"/>
  <cols>
    <col min="1" max="1" width="17.140625" bestFit="1" customWidth="1"/>
    <col min="2" max="2" width="24.28515625" bestFit="1" customWidth="1"/>
  </cols>
  <sheetData>
    <row r="2" spans="1:8" ht="18.75" x14ac:dyDescent="0.3">
      <c r="E2" s="126" t="s">
        <v>144</v>
      </c>
      <c r="F2" s="126"/>
      <c r="G2" s="126"/>
    </row>
    <row r="4" spans="1:8" ht="15.75" x14ac:dyDescent="0.25">
      <c r="A4" s="36" t="s">
        <v>146</v>
      </c>
      <c r="B4" s="36" t="s">
        <v>148</v>
      </c>
      <c r="E4" s="53" t="s">
        <v>127</v>
      </c>
      <c r="F4" s="53" t="s">
        <v>147</v>
      </c>
      <c r="G4" s="53" t="s">
        <v>145</v>
      </c>
      <c r="H4" s="96" t="s">
        <v>182</v>
      </c>
    </row>
    <row r="5" spans="1:8" x14ac:dyDescent="0.25">
      <c r="A5" s="32"/>
      <c r="E5" s="94">
        <v>43959</v>
      </c>
      <c r="F5" s="93" t="s">
        <v>78</v>
      </c>
      <c r="G5" s="93" t="s">
        <v>181</v>
      </c>
      <c r="H5" s="95" t="s">
        <v>150</v>
      </c>
    </row>
    <row r="6" spans="1:8" x14ac:dyDescent="0.25">
      <c r="A6" s="33" t="s">
        <v>78</v>
      </c>
      <c r="B6" t="s">
        <v>149</v>
      </c>
    </row>
    <row r="7" spans="1:8" x14ac:dyDescent="0.25">
      <c r="A7" s="33" t="s">
        <v>80</v>
      </c>
      <c r="B7" t="s">
        <v>150</v>
      </c>
    </row>
    <row r="8" spans="1:8" x14ac:dyDescent="0.25">
      <c r="A8" s="33" t="s">
        <v>108</v>
      </c>
    </row>
    <row r="9" spans="1:8" x14ac:dyDescent="0.25">
      <c r="A9" s="33" t="s">
        <v>81</v>
      </c>
    </row>
    <row r="10" spans="1:8" x14ac:dyDescent="0.25">
      <c r="A10" s="33" t="s">
        <v>82</v>
      </c>
    </row>
    <row r="11" spans="1:8" x14ac:dyDescent="0.25">
      <c r="A11" s="33" t="s">
        <v>83</v>
      </c>
    </row>
    <row r="12" spans="1:8" x14ac:dyDescent="0.25">
      <c r="A12" s="33" t="s">
        <v>84</v>
      </c>
    </row>
    <row r="13" spans="1:8" x14ac:dyDescent="0.25">
      <c r="A13" s="33" t="s">
        <v>85</v>
      </c>
    </row>
    <row r="14" spans="1:8" x14ac:dyDescent="0.25">
      <c r="A14" s="34"/>
    </row>
    <row r="15" spans="1:8" x14ac:dyDescent="0.25">
      <c r="A15" s="34"/>
    </row>
    <row r="16" spans="1:8" x14ac:dyDescent="0.25">
      <c r="A16" s="34"/>
    </row>
    <row r="17" spans="1:1" x14ac:dyDescent="0.25">
      <c r="A17" s="29"/>
    </row>
    <row r="18" spans="1:1" x14ac:dyDescent="0.25">
      <c r="A18" s="34"/>
    </row>
    <row r="19" spans="1:1" x14ac:dyDescent="0.25">
      <c r="A19" s="29"/>
    </row>
    <row r="20" spans="1:1" x14ac:dyDescent="0.25">
      <c r="A20" s="29"/>
    </row>
    <row r="21" spans="1:1" x14ac:dyDescent="0.25">
      <c r="A21" s="29"/>
    </row>
    <row r="22" spans="1:1" x14ac:dyDescent="0.25">
      <c r="A22" s="29"/>
    </row>
    <row r="23" spans="1:1" x14ac:dyDescent="0.25">
      <c r="A23" s="29"/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A1:K25"/>
  <sheetViews>
    <sheetView workbookViewId="0">
      <selection activeCell="N24" sqref="N24"/>
    </sheetView>
  </sheetViews>
  <sheetFormatPr baseColWidth="10" defaultRowHeight="15" x14ac:dyDescent="0.25"/>
  <cols>
    <col min="1" max="1" width="37.28515625" bestFit="1" customWidth="1"/>
    <col min="2" max="8" width="5.7109375" customWidth="1"/>
    <col min="9" max="9" width="18.42578125" bestFit="1" customWidth="1"/>
    <col min="10" max="10" width="13.28515625" bestFit="1" customWidth="1"/>
    <col min="11" max="11" width="12.140625" bestFit="1" customWidth="1"/>
  </cols>
  <sheetData>
    <row r="1" spans="1:11" ht="20.100000000000001" customHeight="1" x14ac:dyDescent="0.25">
      <c r="A1" s="144" t="s">
        <v>30</v>
      </c>
      <c r="B1" s="144"/>
      <c r="C1" s="144"/>
      <c r="D1" s="144"/>
      <c r="E1" s="144"/>
      <c r="F1" s="144"/>
      <c r="G1" s="144"/>
      <c r="H1" s="144"/>
    </row>
    <row r="2" spans="1:11" ht="15" customHeight="1" x14ac:dyDescent="0.25">
      <c r="A2" s="135" t="s">
        <v>67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</row>
    <row r="3" spans="1:11" ht="15" customHeight="1" x14ac:dyDescent="0.25">
      <c r="A3" s="137" t="s">
        <v>72</v>
      </c>
      <c r="B3" s="138"/>
      <c r="C3" s="138"/>
      <c r="D3" s="138"/>
      <c r="E3" s="138"/>
      <c r="F3" s="138"/>
      <c r="G3" s="138"/>
      <c r="H3" s="138"/>
      <c r="I3" s="138"/>
      <c r="J3" s="138"/>
      <c r="K3" s="139"/>
    </row>
    <row r="4" spans="1:11" ht="15" customHeight="1" x14ac:dyDescent="0.25">
      <c r="A4" s="10"/>
      <c r="B4" s="137" t="s">
        <v>25</v>
      </c>
      <c r="C4" s="138"/>
      <c r="D4" s="139"/>
      <c r="E4" s="137" t="s">
        <v>26</v>
      </c>
      <c r="F4" s="138"/>
      <c r="G4" s="138"/>
      <c r="H4" s="139"/>
      <c r="I4" s="1" t="s">
        <v>50</v>
      </c>
      <c r="J4" s="1" t="s">
        <v>51</v>
      </c>
      <c r="K4" s="1" t="s">
        <v>52</v>
      </c>
    </row>
    <row r="5" spans="1:11" ht="15" customHeight="1" x14ac:dyDescent="0.25">
      <c r="A5" s="1" t="s">
        <v>48</v>
      </c>
      <c r="B5" s="132"/>
      <c r="C5" s="133"/>
      <c r="D5" s="134"/>
      <c r="E5" s="132">
        <v>299.63</v>
      </c>
      <c r="F5" s="133"/>
      <c r="G5" s="133"/>
      <c r="H5" s="134"/>
      <c r="I5" s="18">
        <v>51000</v>
      </c>
      <c r="J5" s="18">
        <v>44257.14</v>
      </c>
      <c r="K5" s="19">
        <v>49044</v>
      </c>
    </row>
    <row r="6" spans="1:11" ht="15" customHeight="1" x14ac:dyDescent="0.25">
      <c r="A6" s="1" t="s">
        <v>49</v>
      </c>
      <c r="B6" s="132"/>
      <c r="C6" s="133"/>
      <c r="D6" s="134"/>
      <c r="E6" s="132">
        <v>212.1</v>
      </c>
      <c r="F6" s="133"/>
      <c r="G6" s="133"/>
      <c r="H6" s="134"/>
      <c r="I6" s="18">
        <v>7110</v>
      </c>
      <c r="J6" s="18">
        <v>1684.24</v>
      </c>
      <c r="K6" s="19">
        <v>44175</v>
      </c>
    </row>
    <row r="7" spans="1:11" ht="15" customHeight="1" x14ac:dyDescent="0.25">
      <c r="A7" s="1"/>
      <c r="B7" s="143"/>
      <c r="C7" s="143"/>
      <c r="D7" s="143"/>
      <c r="E7" s="143"/>
      <c r="F7" s="143"/>
      <c r="G7" s="143"/>
      <c r="H7" s="143"/>
      <c r="I7" s="1"/>
      <c r="J7" s="1"/>
      <c r="K7" s="1"/>
    </row>
    <row r="8" spans="1:11" ht="15" customHeight="1" x14ac:dyDescent="0.25">
      <c r="A8" s="1"/>
      <c r="B8" s="143"/>
      <c r="C8" s="143"/>
      <c r="D8" s="143"/>
      <c r="E8" s="143"/>
      <c r="F8" s="143"/>
      <c r="G8" s="143"/>
      <c r="H8" s="143"/>
      <c r="I8" s="1"/>
      <c r="J8" s="1"/>
      <c r="K8" s="1"/>
    </row>
    <row r="9" spans="1:11" ht="15" customHeight="1" x14ac:dyDescent="0.25">
      <c r="A9" s="1"/>
      <c r="B9" s="132"/>
      <c r="C9" s="133"/>
      <c r="D9" s="134"/>
      <c r="E9" s="132"/>
      <c r="F9" s="133"/>
      <c r="G9" s="133"/>
      <c r="H9" s="134"/>
      <c r="I9" s="1"/>
      <c r="J9" s="1"/>
      <c r="K9" s="19"/>
    </row>
    <row r="10" spans="1:11" ht="15" customHeight="1" x14ac:dyDescent="0.25">
      <c r="A10" s="1"/>
      <c r="B10" s="132"/>
      <c r="C10" s="133"/>
      <c r="D10" s="134"/>
      <c r="E10" s="132"/>
      <c r="F10" s="133"/>
      <c r="G10" s="133"/>
      <c r="H10" s="134"/>
      <c r="I10" s="1"/>
      <c r="J10" s="1"/>
      <c r="K10" s="1"/>
    </row>
    <row r="11" spans="1:11" ht="15.75" x14ac:dyDescent="0.25">
      <c r="A11" s="11" t="s">
        <v>75</v>
      </c>
      <c r="B11" s="131">
        <f>SUM(B5:D10)</f>
        <v>0</v>
      </c>
      <c r="C11" s="131"/>
      <c r="D11" s="131"/>
      <c r="E11" s="132">
        <f>SUM(E5:H10)</f>
        <v>511.73</v>
      </c>
      <c r="F11" s="133"/>
      <c r="G11" s="133"/>
      <c r="H11" s="133"/>
      <c r="I11" s="133"/>
      <c r="J11" s="133"/>
      <c r="K11" s="134"/>
    </row>
    <row r="12" spans="1:11" ht="15.75" customHeight="1" x14ac:dyDescent="0.25">
      <c r="A12" s="140" t="s">
        <v>73</v>
      </c>
      <c r="B12" s="141"/>
      <c r="C12" s="141"/>
      <c r="D12" s="141"/>
      <c r="E12" s="141"/>
      <c r="F12" s="141"/>
      <c r="G12" s="141"/>
      <c r="H12" s="141"/>
      <c r="I12" s="141"/>
      <c r="J12" s="141"/>
      <c r="K12" s="142"/>
    </row>
    <row r="13" spans="1:11" ht="15.75" customHeight="1" x14ac:dyDescent="0.25">
      <c r="A13" s="3"/>
      <c r="B13" s="132" t="s">
        <v>25</v>
      </c>
      <c r="C13" s="133"/>
      <c r="D13" s="134"/>
      <c r="E13" s="132" t="s">
        <v>26</v>
      </c>
      <c r="F13" s="133"/>
      <c r="G13" s="133"/>
      <c r="H13" s="134"/>
      <c r="I13" s="1"/>
      <c r="J13" s="1"/>
      <c r="K13" s="1"/>
    </row>
    <row r="14" spans="1:11" ht="15.75" x14ac:dyDescent="0.25">
      <c r="A14" s="3" t="s">
        <v>69</v>
      </c>
      <c r="B14" s="132"/>
      <c r="C14" s="133"/>
      <c r="D14" s="134"/>
      <c r="E14" s="132">
        <v>339.83</v>
      </c>
      <c r="F14" s="133"/>
      <c r="G14" s="133"/>
      <c r="H14" s="134"/>
      <c r="I14" s="1">
        <v>19500</v>
      </c>
      <c r="J14" s="1">
        <v>13830.01</v>
      </c>
      <c r="K14" s="19">
        <v>45209</v>
      </c>
    </row>
    <row r="15" spans="1:11" ht="15.75" x14ac:dyDescent="0.25">
      <c r="A15" s="3"/>
      <c r="B15" s="132"/>
      <c r="C15" s="133"/>
      <c r="D15" s="134"/>
      <c r="E15" s="132"/>
      <c r="F15" s="133"/>
      <c r="G15" s="133"/>
      <c r="H15" s="134"/>
      <c r="I15" s="1"/>
      <c r="J15" s="1"/>
      <c r="K15" s="1"/>
    </row>
    <row r="16" spans="1:11" ht="15.75" x14ac:dyDescent="0.25">
      <c r="A16" s="3"/>
      <c r="B16" s="132"/>
      <c r="C16" s="133"/>
      <c r="D16" s="134"/>
      <c r="E16" s="132"/>
      <c r="F16" s="133"/>
      <c r="G16" s="133"/>
      <c r="H16" s="134"/>
      <c r="I16" s="1"/>
      <c r="J16" s="1"/>
      <c r="K16" s="1"/>
    </row>
    <row r="17" spans="1:11" ht="15.75" x14ac:dyDescent="0.25">
      <c r="A17" s="3"/>
      <c r="B17" s="132"/>
      <c r="C17" s="133"/>
      <c r="D17" s="134"/>
      <c r="E17" s="132"/>
      <c r="F17" s="133"/>
      <c r="G17" s="133"/>
      <c r="H17" s="134"/>
      <c r="I17" s="1"/>
      <c r="J17" s="1"/>
      <c r="K17" s="1"/>
    </row>
    <row r="18" spans="1:11" ht="15.75" x14ac:dyDescent="0.25">
      <c r="A18" s="3"/>
      <c r="B18" s="132"/>
      <c r="C18" s="133"/>
      <c r="D18" s="134"/>
      <c r="E18" s="132"/>
      <c r="F18" s="133"/>
      <c r="G18" s="133"/>
      <c r="H18" s="134"/>
      <c r="I18" s="1"/>
      <c r="J18" s="1"/>
      <c r="K18" s="1"/>
    </row>
    <row r="19" spans="1:11" ht="15.75" x14ac:dyDescent="0.25">
      <c r="A19" s="3" t="s">
        <v>74</v>
      </c>
      <c r="B19" s="132">
        <f>SUM(B14:D18)</f>
        <v>0</v>
      </c>
      <c r="C19" s="133"/>
      <c r="D19" s="134"/>
      <c r="E19" s="132">
        <f>SUM(E14:H18)</f>
        <v>339.83</v>
      </c>
      <c r="F19" s="133"/>
      <c r="G19" s="133"/>
      <c r="H19" s="133"/>
      <c r="I19" s="133"/>
      <c r="J19" s="133"/>
      <c r="K19" s="134"/>
    </row>
    <row r="20" spans="1:11" x14ac:dyDescent="0.25">
      <c r="A20" s="136" t="s">
        <v>68</v>
      </c>
      <c r="B20" s="136"/>
      <c r="C20" s="136"/>
      <c r="D20" s="136"/>
      <c r="E20" s="136"/>
      <c r="F20" s="136"/>
      <c r="G20" s="136"/>
      <c r="H20" s="136"/>
      <c r="I20" s="136"/>
      <c r="J20" s="136"/>
      <c r="K20" s="136"/>
    </row>
    <row r="21" spans="1:11" ht="15.75" customHeight="1" x14ac:dyDescent="0.25">
      <c r="A21" s="24" t="s">
        <v>69</v>
      </c>
      <c r="B21" s="130">
        <v>347.45</v>
      </c>
      <c r="C21" s="130"/>
      <c r="D21" s="130"/>
      <c r="E21" s="130"/>
      <c r="F21" s="130"/>
      <c r="G21" s="130"/>
      <c r="H21" s="130"/>
      <c r="I21" s="130"/>
      <c r="J21" s="130"/>
      <c r="K21" s="130"/>
    </row>
    <row r="22" spans="1:11" ht="15.75" customHeight="1" x14ac:dyDescent="0.25">
      <c r="A22" s="3" t="s">
        <v>70</v>
      </c>
      <c r="B22" s="130">
        <v>248.97</v>
      </c>
      <c r="C22" s="130"/>
      <c r="D22" s="130"/>
      <c r="E22" s="130"/>
      <c r="F22" s="130"/>
      <c r="G22" s="130"/>
      <c r="H22" s="130"/>
      <c r="I22" s="130"/>
      <c r="J22" s="130"/>
      <c r="K22" s="130"/>
    </row>
    <row r="23" spans="1:11" ht="15.75" customHeight="1" x14ac:dyDescent="0.25">
      <c r="A23" s="3" t="s">
        <v>71</v>
      </c>
      <c r="B23" s="131">
        <v>463.58</v>
      </c>
      <c r="C23" s="131"/>
      <c r="D23" s="131"/>
      <c r="E23" s="131"/>
      <c r="F23" s="131"/>
      <c r="G23" s="131"/>
      <c r="H23" s="131"/>
      <c r="I23" s="131"/>
      <c r="J23" s="131"/>
      <c r="K23" s="131"/>
    </row>
    <row r="24" spans="1:11" x14ac:dyDescent="0.25">
      <c r="A24" s="5" t="s">
        <v>76</v>
      </c>
      <c r="B24" s="145">
        <f>SUM(B21:K23)</f>
        <v>1060</v>
      </c>
      <c r="C24" s="146"/>
      <c r="D24" s="146"/>
      <c r="E24" s="146"/>
      <c r="F24" s="146"/>
      <c r="G24" s="146"/>
      <c r="H24" s="146"/>
      <c r="I24" s="146"/>
      <c r="J24" s="146"/>
      <c r="K24" s="147"/>
    </row>
    <row r="25" spans="1:11" ht="30" customHeight="1" x14ac:dyDescent="0.25">
      <c r="A25" s="25" t="s">
        <v>77</v>
      </c>
      <c r="B25" s="148">
        <f>SUM(E11+E19+B24)</f>
        <v>1911.56</v>
      </c>
      <c r="C25" s="149"/>
      <c r="D25" s="149"/>
      <c r="E25" s="149"/>
      <c r="F25" s="149"/>
      <c r="G25" s="149"/>
      <c r="H25" s="149"/>
      <c r="I25" s="149"/>
      <c r="J25" s="149"/>
      <c r="K25" s="149"/>
    </row>
  </sheetData>
  <mergeCells count="40">
    <mergeCell ref="A1:H1"/>
    <mergeCell ref="B4:D4"/>
    <mergeCell ref="E4:H4"/>
    <mergeCell ref="B24:K24"/>
    <mergeCell ref="B25:K25"/>
    <mergeCell ref="B11:D11"/>
    <mergeCell ref="E11:K11"/>
    <mergeCell ref="B6:D6"/>
    <mergeCell ref="E6:H6"/>
    <mergeCell ref="B9:D9"/>
    <mergeCell ref="E9:H9"/>
    <mergeCell ref="B10:D10"/>
    <mergeCell ref="E10:H10"/>
    <mergeCell ref="E7:H7"/>
    <mergeCell ref="B8:D8"/>
    <mergeCell ref="E8:H8"/>
    <mergeCell ref="A2:K2"/>
    <mergeCell ref="A20:K20"/>
    <mergeCell ref="A3:K3"/>
    <mergeCell ref="A12:K12"/>
    <mergeCell ref="B13:D13"/>
    <mergeCell ref="E13:H13"/>
    <mergeCell ref="B14:D14"/>
    <mergeCell ref="E14:H14"/>
    <mergeCell ref="B7:D7"/>
    <mergeCell ref="B5:D5"/>
    <mergeCell ref="E5:H5"/>
    <mergeCell ref="B22:K22"/>
    <mergeCell ref="B23:K23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K19"/>
    <mergeCell ref="B21:K21"/>
  </mergeCells>
  <pageMargins left="0.7" right="0.7" top="0.75" bottom="0.75" header="0.3" footer="0.3"/>
  <pageSetup paperSize="9" orientation="landscape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H25"/>
  <sheetViews>
    <sheetView workbookViewId="0">
      <selection activeCell="B4" sqref="B4:D4"/>
    </sheetView>
  </sheetViews>
  <sheetFormatPr baseColWidth="10" defaultRowHeight="15" x14ac:dyDescent="0.25"/>
  <cols>
    <col min="1" max="1" width="15.7109375" customWidth="1"/>
    <col min="2" max="4" width="12.7109375" customWidth="1"/>
    <col min="5" max="5" width="18.42578125" customWidth="1"/>
    <col min="6" max="6" width="13.28515625" customWidth="1"/>
    <col min="7" max="7" width="11.7109375" customWidth="1"/>
    <col min="8" max="11" width="8.7109375" customWidth="1"/>
  </cols>
  <sheetData>
    <row r="1" spans="1:8" ht="20.100000000000001" customHeight="1" x14ac:dyDescent="0.25">
      <c r="A1" s="143" t="s">
        <v>30</v>
      </c>
      <c r="B1" s="143"/>
      <c r="C1" s="143"/>
      <c r="D1" s="143"/>
      <c r="E1" s="143"/>
      <c r="F1" s="143"/>
      <c r="G1" s="143"/>
      <c r="H1" s="143"/>
    </row>
    <row r="2" spans="1:8" ht="15" customHeight="1" x14ac:dyDescent="0.25">
      <c r="A2" s="143" t="s">
        <v>66</v>
      </c>
      <c r="B2" s="143"/>
      <c r="C2" s="143"/>
      <c r="D2" s="143"/>
      <c r="E2" s="143"/>
      <c r="F2" s="143"/>
      <c r="G2" s="143"/>
      <c r="H2" s="1"/>
    </row>
    <row r="3" spans="1:8" ht="15.75" x14ac:dyDescent="0.25">
      <c r="A3" s="150" t="s">
        <v>53</v>
      </c>
      <c r="B3" s="151"/>
      <c r="C3" s="151"/>
      <c r="D3" s="152"/>
      <c r="E3" s="20" t="s">
        <v>50</v>
      </c>
      <c r="F3" s="20" t="s">
        <v>51</v>
      </c>
      <c r="G3" s="20" t="s">
        <v>52</v>
      </c>
    </row>
    <row r="4" spans="1:8" ht="15" customHeight="1" x14ac:dyDescent="0.25">
      <c r="A4" s="1" t="s">
        <v>54</v>
      </c>
      <c r="B4" s="132">
        <v>0</v>
      </c>
      <c r="C4" s="133"/>
      <c r="D4" s="134"/>
      <c r="E4" s="18">
        <v>80000</v>
      </c>
      <c r="F4" s="18">
        <v>80000</v>
      </c>
      <c r="G4" s="19">
        <v>44303</v>
      </c>
    </row>
    <row r="5" spans="1:8" ht="15" customHeight="1" x14ac:dyDescent="0.25">
      <c r="A5" s="1" t="s">
        <v>55</v>
      </c>
      <c r="B5" s="132"/>
      <c r="C5" s="133"/>
      <c r="D5" s="134"/>
      <c r="E5" s="18">
        <v>80000</v>
      </c>
      <c r="F5" s="18">
        <f>SUM(E7-B5)</f>
        <v>80000</v>
      </c>
      <c r="G5" s="19">
        <v>44303</v>
      </c>
    </row>
    <row r="6" spans="1:8" ht="15" customHeight="1" x14ac:dyDescent="0.25">
      <c r="A6" s="1" t="s">
        <v>56</v>
      </c>
      <c r="B6" s="132"/>
      <c r="C6" s="133"/>
      <c r="D6" s="134"/>
      <c r="E6" s="18">
        <v>80000</v>
      </c>
      <c r="F6" s="18"/>
      <c r="G6" s="19">
        <v>44303</v>
      </c>
    </row>
    <row r="7" spans="1:8" ht="15" customHeight="1" x14ac:dyDescent="0.25">
      <c r="A7" s="1" t="s">
        <v>57</v>
      </c>
      <c r="B7" s="132"/>
      <c r="C7" s="133"/>
      <c r="D7" s="134"/>
      <c r="E7" s="18">
        <v>80000</v>
      </c>
      <c r="F7" s="18"/>
      <c r="G7" s="19">
        <v>44303</v>
      </c>
    </row>
    <row r="8" spans="1:8" ht="15" customHeight="1" x14ac:dyDescent="0.25">
      <c r="A8" s="1" t="s">
        <v>58</v>
      </c>
      <c r="B8" s="132"/>
      <c r="C8" s="133"/>
      <c r="D8" s="134"/>
      <c r="E8" s="18">
        <v>80000</v>
      </c>
      <c r="F8" s="18"/>
      <c r="G8" s="19">
        <v>44303</v>
      </c>
    </row>
    <row r="9" spans="1:8" ht="15" customHeight="1" x14ac:dyDescent="0.25">
      <c r="A9" s="1" t="s">
        <v>59</v>
      </c>
      <c r="B9" s="132"/>
      <c r="C9" s="133"/>
      <c r="D9" s="134"/>
      <c r="E9" s="18">
        <v>80000</v>
      </c>
      <c r="F9" s="18"/>
      <c r="G9" s="19">
        <v>44303</v>
      </c>
    </row>
    <row r="10" spans="1:8" ht="15" customHeight="1" x14ac:dyDescent="0.25">
      <c r="A10" s="1" t="s">
        <v>60</v>
      </c>
      <c r="B10" s="132"/>
      <c r="C10" s="133"/>
      <c r="D10" s="134"/>
      <c r="E10" s="18">
        <v>80000</v>
      </c>
      <c r="F10" s="18"/>
      <c r="G10" s="19">
        <v>44303</v>
      </c>
    </row>
    <row r="11" spans="1:8" ht="15.75" x14ac:dyDescent="0.25">
      <c r="A11" s="3" t="s">
        <v>61</v>
      </c>
      <c r="B11" s="132"/>
      <c r="C11" s="133"/>
      <c r="D11" s="134"/>
      <c r="E11" s="18">
        <v>80000</v>
      </c>
      <c r="F11" s="18"/>
      <c r="G11" s="19">
        <v>44303</v>
      </c>
    </row>
    <row r="12" spans="1:8" ht="11.25" customHeight="1" x14ac:dyDescent="0.25">
      <c r="A12" s="3" t="s">
        <v>62</v>
      </c>
      <c r="B12" s="132"/>
      <c r="C12" s="133"/>
      <c r="D12" s="134"/>
      <c r="E12" s="18">
        <v>80000</v>
      </c>
      <c r="F12" s="18"/>
      <c r="G12" s="19">
        <v>44303</v>
      </c>
    </row>
    <row r="13" spans="1:8" ht="15.75" hidden="1" customHeight="1" x14ac:dyDescent="0.25">
      <c r="A13" s="3"/>
      <c r="B13" s="132"/>
      <c r="C13" s="133"/>
      <c r="D13" s="134"/>
      <c r="E13" s="18">
        <v>80000</v>
      </c>
      <c r="F13" s="18"/>
      <c r="G13" s="19">
        <v>44303</v>
      </c>
    </row>
    <row r="14" spans="1:8" ht="15.75" hidden="1" customHeight="1" x14ac:dyDescent="0.25">
      <c r="A14" s="3"/>
      <c r="B14" s="132"/>
      <c r="C14" s="133"/>
      <c r="D14" s="134"/>
      <c r="E14" s="18">
        <v>80000</v>
      </c>
      <c r="F14" s="18"/>
      <c r="G14" s="19">
        <v>44303</v>
      </c>
    </row>
    <row r="15" spans="1:8" ht="15.75" x14ac:dyDescent="0.25">
      <c r="A15" s="3" t="s">
        <v>63</v>
      </c>
      <c r="B15" s="132"/>
      <c r="C15" s="133"/>
      <c r="D15" s="134"/>
      <c r="E15" s="18">
        <v>80000</v>
      </c>
      <c r="F15" s="18"/>
      <c r="G15" s="19">
        <v>44303</v>
      </c>
    </row>
    <row r="16" spans="1:8" ht="15.75" x14ac:dyDescent="0.25">
      <c r="A16" s="3" t="s">
        <v>64</v>
      </c>
      <c r="B16" s="132"/>
      <c r="C16" s="133"/>
      <c r="D16" s="134"/>
      <c r="E16" s="18">
        <v>80000</v>
      </c>
      <c r="F16" s="18"/>
      <c r="G16" s="19">
        <v>44303</v>
      </c>
    </row>
    <row r="17" spans="1:8" ht="15.75" x14ac:dyDescent="0.25">
      <c r="A17" s="3" t="s">
        <v>65</v>
      </c>
      <c r="B17" s="132"/>
      <c r="C17" s="133"/>
      <c r="D17" s="134"/>
      <c r="E17" s="18">
        <v>80000</v>
      </c>
      <c r="F17" s="18"/>
      <c r="G17" s="19">
        <v>44303</v>
      </c>
    </row>
    <row r="18" spans="1:8" ht="15.75" x14ac:dyDescent="0.25">
      <c r="A18" s="3"/>
      <c r="B18" s="132"/>
      <c r="C18" s="133"/>
      <c r="D18" s="134"/>
      <c r="E18" s="18">
        <v>80000</v>
      </c>
      <c r="F18" s="18"/>
      <c r="G18" s="19">
        <v>44303</v>
      </c>
    </row>
    <row r="19" spans="1:8" ht="15.75" x14ac:dyDescent="0.25">
      <c r="A19" s="3"/>
      <c r="B19" s="132"/>
      <c r="C19" s="133"/>
      <c r="D19" s="134"/>
      <c r="E19" s="18">
        <v>80000</v>
      </c>
      <c r="F19" s="18"/>
      <c r="G19" s="19">
        <v>44303</v>
      </c>
    </row>
    <row r="20" spans="1:8" ht="15.75" x14ac:dyDescent="0.25">
      <c r="A20" s="3"/>
      <c r="B20" s="132"/>
      <c r="C20" s="133"/>
      <c r="D20" s="134"/>
      <c r="E20" s="18">
        <v>80000</v>
      </c>
      <c r="F20" s="18"/>
      <c r="G20" s="19">
        <v>44303</v>
      </c>
    </row>
    <row r="21" spans="1:8" ht="15.75" x14ac:dyDescent="0.25">
      <c r="A21" s="3"/>
      <c r="B21" s="132"/>
      <c r="C21" s="133"/>
      <c r="D21" s="134"/>
      <c r="E21" s="18">
        <v>80000</v>
      </c>
      <c r="F21" s="18"/>
      <c r="G21" s="19">
        <v>44303</v>
      </c>
    </row>
    <row r="22" spans="1:8" ht="15.75" x14ac:dyDescent="0.25">
      <c r="A22" s="3"/>
      <c r="B22" s="132"/>
      <c r="C22" s="133"/>
      <c r="D22" s="134"/>
      <c r="E22" s="18">
        <v>80000</v>
      </c>
      <c r="F22" s="18"/>
      <c r="G22" s="19">
        <v>44303</v>
      </c>
    </row>
    <row r="23" spans="1:8" ht="15.75" x14ac:dyDescent="0.25">
      <c r="A23" s="3"/>
      <c r="B23" s="132"/>
      <c r="C23" s="133"/>
      <c r="D23" s="134"/>
      <c r="E23" s="18">
        <v>80000</v>
      </c>
      <c r="F23" s="18"/>
      <c r="G23" s="19">
        <v>44303</v>
      </c>
    </row>
    <row r="24" spans="1:8" ht="15.75" x14ac:dyDescent="0.25">
      <c r="A24" s="3"/>
      <c r="B24" s="132"/>
      <c r="C24" s="133"/>
      <c r="D24" s="134"/>
      <c r="E24" s="18">
        <v>80000</v>
      </c>
      <c r="F24" s="18"/>
      <c r="G24" s="19">
        <v>44303</v>
      </c>
    </row>
    <row r="25" spans="1:8" ht="15.75" x14ac:dyDescent="0.25">
      <c r="A25" s="5" t="s">
        <v>3</v>
      </c>
      <c r="B25" s="132">
        <f>SUM(B4:D24)</f>
        <v>0</v>
      </c>
      <c r="C25" s="133"/>
      <c r="D25" s="134"/>
      <c r="E25" s="18">
        <v>80000</v>
      </c>
      <c r="F25" s="1"/>
      <c r="G25" s="19">
        <v>44303</v>
      </c>
      <c r="H25" s="22"/>
    </row>
  </sheetData>
  <mergeCells count="25">
    <mergeCell ref="A1:H1"/>
    <mergeCell ref="B4:D4"/>
    <mergeCell ref="B13:D13"/>
    <mergeCell ref="B8:D8"/>
    <mergeCell ref="B9:D9"/>
    <mergeCell ref="B10:D10"/>
    <mergeCell ref="B5:D5"/>
    <mergeCell ref="B6:D6"/>
    <mergeCell ref="B7:D7"/>
    <mergeCell ref="A3:D3"/>
    <mergeCell ref="A2:G2"/>
    <mergeCell ref="B11:D11"/>
    <mergeCell ref="B12:D12"/>
    <mergeCell ref="B23:D23"/>
    <mergeCell ref="B24:D24"/>
    <mergeCell ref="B25:D25"/>
    <mergeCell ref="B20:D20"/>
    <mergeCell ref="B21:D21"/>
    <mergeCell ref="B22:D22"/>
    <mergeCell ref="B17:D17"/>
    <mergeCell ref="B18:D18"/>
    <mergeCell ref="B19:D19"/>
    <mergeCell ref="B14:D14"/>
    <mergeCell ref="B15:D15"/>
    <mergeCell ref="B16:D16"/>
  </mergeCells>
  <pageMargins left="0.7" right="0.7" top="0.75" bottom="0.75" header="0.3" footer="0.3"/>
  <pageSetup paperSize="9" orientation="landscape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H26"/>
  <sheetViews>
    <sheetView workbookViewId="0">
      <selection activeCell="A4" sqref="A4:A6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53" t="s">
        <v>30</v>
      </c>
      <c r="B1" s="153"/>
      <c r="C1" s="153"/>
      <c r="D1" s="153"/>
      <c r="E1" s="153"/>
      <c r="F1" s="153"/>
      <c r="G1" s="153"/>
      <c r="H1" s="153"/>
    </row>
    <row r="2" spans="1:8" ht="15" customHeight="1" x14ac:dyDescent="0.25">
      <c r="A2" s="135" t="s">
        <v>79</v>
      </c>
      <c r="B2" s="135"/>
      <c r="C2" s="135"/>
      <c r="D2" s="135"/>
      <c r="E2" s="135"/>
      <c r="F2" s="135"/>
      <c r="G2" s="135"/>
      <c r="H2" s="135"/>
    </row>
    <row r="3" spans="1:8" ht="15" customHeight="1" x14ac:dyDescent="0.25">
      <c r="A3" s="10"/>
      <c r="B3" s="137" t="s">
        <v>25</v>
      </c>
      <c r="C3" s="138"/>
      <c r="D3" s="139"/>
      <c r="E3" s="137" t="s">
        <v>26</v>
      </c>
      <c r="F3" s="138"/>
      <c r="G3" s="138"/>
      <c r="H3" s="139"/>
    </row>
    <row r="4" spans="1:8" ht="15" customHeight="1" x14ac:dyDescent="0.25">
      <c r="A4" s="12" t="s">
        <v>78</v>
      </c>
      <c r="B4" s="132"/>
      <c r="C4" s="133"/>
      <c r="D4" s="134"/>
      <c r="E4" s="132">
        <v>1502</v>
      </c>
      <c r="F4" s="133"/>
      <c r="G4" s="133"/>
      <c r="H4" s="134"/>
    </row>
    <row r="5" spans="1:8" ht="15" customHeight="1" x14ac:dyDescent="0.25">
      <c r="A5" s="12" t="s">
        <v>80</v>
      </c>
      <c r="B5" s="132"/>
      <c r="C5" s="133"/>
      <c r="D5" s="134"/>
      <c r="E5" s="132">
        <v>2241</v>
      </c>
      <c r="F5" s="133"/>
      <c r="G5" s="133"/>
      <c r="H5" s="134"/>
    </row>
    <row r="6" spans="1:8" ht="15" customHeight="1" x14ac:dyDescent="0.25">
      <c r="A6" s="12" t="s">
        <v>108</v>
      </c>
      <c r="B6" s="132"/>
      <c r="C6" s="133"/>
      <c r="D6" s="134"/>
      <c r="E6" s="132">
        <v>500</v>
      </c>
      <c r="F6" s="133"/>
      <c r="G6" s="133"/>
      <c r="H6" s="134"/>
    </row>
    <row r="7" spans="1:8" ht="15" customHeight="1" x14ac:dyDescent="0.25">
      <c r="A7" s="12"/>
      <c r="B7" s="132"/>
      <c r="C7" s="133"/>
      <c r="D7" s="134"/>
      <c r="E7" s="132"/>
      <c r="F7" s="133"/>
      <c r="G7" s="133"/>
      <c r="H7" s="134"/>
    </row>
    <row r="8" spans="1:8" ht="15" customHeight="1" x14ac:dyDescent="0.25">
      <c r="A8" s="12"/>
      <c r="B8" s="132"/>
      <c r="C8" s="133"/>
      <c r="D8" s="134"/>
      <c r="E8" s="132"/>
      <c r="F8" s="133"/>
      <c r="G8" s="133"/>
      <c r="H8" s="134"/>
    </row>
    <row r="9" spans="1:8" ht="15" customHeight="1" x14ac:dyDescent="0.25">
      <c r="A9" s="12"/>
      <c r="B9" s="132"/>
      <c r="C9" s="133"/>
      <c r="D9" s="134"/>
      <c r="E9" s="132"/>
      <c r="F9" s="133"/>
      <c r="G9" s="133"/>
      <c r="H9" s="134"/>
    </row>
    <row r="10" spans="1:8" ht="15" customHeight="1" x14ac:dyDescent="0.25">
      <c r="A10" s="12"/>
      <c r="B10" s="132"/>
      <c r="C10" s="133"/>
      <c r="D10" s="134"/>
      <c r="E10" s="132"/>
      <c r="F10" s="133"/>
      <c r="G10" s="133"/>
      <c r="H10" s="134"/>
    </row>
    <row r="11" spans="1:8" ht="15.75" x14ac:dyDescent="0.25">
      <c r="A11" s="11"/>
      <c r="B11" s="132"/>
      <c r="C11" s="133"/>
      <c r="D11" s="134"/>
      <c r="E11" s="132"/>
      <c r="F11" s="133"/>
      <c r="G11" s="133"/>
      <c r="H11" s="134"/>
    </row>
    <row r="12" spans="1:8" ht="15.75" x14ac:dyDescent="0.25">
      <c r="A12" s="11"/>
      <c r="B12" s="132"/>
      <c r="C12" s="133"/>
      <c r="D12" s="134"/>
      <c r="E12" s="132"/>
      <c r="F12" s="133"/>
      <c r="G12" s="133"/>
      <c r="H12" s="134"/>
    </row>
    <row r="13" spans="1:8" ht="15.75" x14ac:dyDescent="0.25">
      <c r="A13" s="11"/>
      <c r="B13" s="132"/>
      <c r="C13" s="133"/>
      <c r="D13" s="134"/>
      <c r="E13" s="132"/>
      <c r="F13" s="133"/>
      <c r="G13" s="133"/>
      <c r="H13" s="134"/>
    </row>
    <row r="14" spans="1:8" ht="15.75" x14ac:dyDescent="0.25">
      <c r="A14" s="11"/>
      <c r="B14" s="132"/>
      <c r="C14" s="133"/>
      <c r="D14" s="134"/>
      <c r="E14" s="130"/>
      <c r="F14" s="130"/>
      <c r="G14" s="130"/>
      <c r="H14" s="130"/>
    </row>
    <row r="15" spans="1:8" ht="15.75" x14ac:dyDescent="0.25">
      <c r="A15" s="3"/>
      <c r="B15" s="132"/>
      <c r="C15" s="133"/>
      <c r="D15" s="134"/>
      <c r="E15" s="130"/>
      <c r="F15" s="130"/>
      <c r="G15" s="130"/>
      <c r="H15" s="130"/>
    </row>
    <row r="16" spans="1:8" ht="15.75" x14ac:dyDescent="0.25">
      <c r="A16" s="11"/>
      <c r="B16" s="132"/>
      <c r="C16" s="133"/>
      <c r="D16" s="134"/>
      <c r="E16" s="130"/>
      <c r="F16" s="130"/>
      <c r="G16" s="130"/>
      <c r="H16" s="130"/>
    </row>
    <row r="17" spans="1:8" ht="15.75" x14ac:dyDescent="0.25">
      <c r="A17" s="3"/>
      <c r="B17" s="132"/>
      <c r="C17" s="133"/>
      <c r="D17" s="134"/>
      <c r="E17" s="130"/>
      <c r="F17" s="130"/>
      <c r="G17" s="130"/>
      <c r="H17" s="130"/>
    </row>
    <row r="18" spans="1:8" ht="15.75" x14ac:dyDescent="0.25">
      <c r="A18" s="3"/>
      <c r="B18" s="132"/>
      <c r="C18" s="133"/>
      <c r="D18" s="134"/>
      <c r="E18" s="130"/>
      <c r="F18" s="130"/>
      <c r="G18" s="130"/>
      <c r="H18" s="130"/>
    </row>
    <row r="19" spans="1:8" ht="15.75" x14ac:dyDescent="0.25">
      <c r="A19" s="3"/>
      <c r="B19" s="132"/>
      <c r="C19" s="133"/>
      <c r="D19" s="134"/>
      <c r="E19" s="130"/>
      <c r="F19" s="130"/>
      <c r="G19" s="130"/>
      <c r="H19" s="130"/>
    </row>
    <row r="20" spans="1:8" ht="15.75" x14ac:dyDescent="0.25">
      <c r="A20" s="3"/>
      <c r="B20" s="132"/>
      <c r="C20" s="133"/>
      <c r="D20" s="134"/>
      <c r="E20" s="130"/>
      <c r="F20" s="130"/>
      <c r="G20" s="130"/>
      <c r="H20" s="130"/>
    </row>
    <row r="21" spans="1:8" ht="15.75" x14ac:dyDescent="0.25">
      <c r="A21" s="3"/>
      <c r="B21" s="132"/>
      <c r="C21" s="133"/>
      <c r="D21" s="134"/>
      <c r="E21" s="130"/>
      <c r="F21" s="130"/>
      <c r="G21" s="130"/>
      <c r="H21" s="130"/>
    </row>
    <row r="22" spans="1:8" ht="15.75" x14ac:dyDescent="0.25">
      <c r="A22" s="3"/>
      <c r="B22" s="132"/>
      <c r="C22" s="133"/>
      <c r="D22" s="134"/>
      <c r="E22" s="130"/>
      <c r="F22" s="130"/>
      <c r="G22" s="130"/>
      <c r="H22" s="130"/>
    </row>
    <row r="23" spans="1:8" ht="15.75" x14ac:dyDescent="0.25">
      <c r="A23" s="3"/>
      <c r="B23" s="132"/>
      <c r="C23" s="133"/>
      <c r="D23" s="134"/>
      <c r="E23" s="130"/>
      <c r="F23" s="130"/>
      <c r="G23" s="130"/>
      <c r="H23" s="130"/>
    </row>
    <row r="24" spans="1:8" ht="15.75" x14ac:dyDescent="0.25">
      <c r="A24" s="3"/>
      <c r="B24" s="132"/>
      <c r="C24" s="133"/>
      <c r="D24" s="134"/>
      <c r="E24" s="130"/>
      <c r="F24" s="130"/>
      <c r="G24" s="130"/>
      <c r="H24" s="130"/>
    </row>
    <row r="25" spans="1:8" ht="15.75" x14ac:dyDescent="0.25">
      <c r="A25" s="5" t="s">
        <v>3</v>
      </c>
      <c r="B25" s="132">
        <f>SUM(B4:D24)</f>
        <v>0</v>
      </c>
      <c r="C25" s="133"/>
      <c r="D25" s="134"/>
      <c r="E25" s="130">
        <f>SUM(E4:H24)</f>
        <v>4243</v>
      </c>
      <c r="F25" s="130"/>
      <c r="G25" s="130"/>
      <c r="H25" s="130"/>
    </row>
    <row r="26" spans="1:8" x14ac:dyDescent="0.25">
      <c r="A26" s="2" t="s">
        <v>27</v>
      </c>
      <c r="B26" s="130">
        <f>SUM(E25-B25)</f>
        <v>4243</v>
      </c>
      <c r="C26" s="130"/>
      <c r="D26" s="130"/>
      <c r="E26" s="130"/>
      <c r="F26" s="130"/>
      <c r="G26" s="130"/>
      <c r="H26" s="130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/>
  <dimension ref="A1:H26"/>
  <sheetViews>
    <sheetView workbookViewId="0">
      <selection activeCell="A4" sqref="A4:A8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53" t="s">
        <v>30</v>
      </c>
      <c r="B1" s="153"/>
      <c r="C1" s="153"/>
      <c r="D1" s="153"/>
      <c r="E1" s="153"/>
      <c r="F1" s="153"/>
      <c r="G1" s="153"/>
      <c r="H1" s="153"/>
    </row>
    <row r="2" spans="1:8" ht="15" customHeight="1" x14ac:dyDescent="0.25">
      <c r="A2" s="135" t="s">
        <v>79</v>
      </c>
      <c r="B2" s="135"/>
      <c r="C2" s="135"/>
      <c r="D2" s="135"/>
      <c r="E2" s="135"/>
      <c r="F2" s="135"/>
      <c r="G2" s="135"/>
      <c r="H2" s="135"/>
    </row>
    <row r="3" spans="1:8" ht="15" customHeight="1" x14ac:dyDescent="0.25">
      <c r="A3" s="10"/>
      <c r="B3" s="137" t="s">
        <v>25</v>
      </c>
      <c r="C3" s="138"/>
      <c r="D3" s="139"/>
      <c r="E3" s="137" t="s">
        <v>26</v>
      </c>
      <c r="F3" s="138"/>
      <c r="G3" s="138"/>
      <c r="H3" s="139"/>
    </row>
    <row r="4" spans="1:8" ht="15" customHeight="1" x14ac:dyDescent="0.25">
      <c r="A4" s="12" t="s">
        <v>81</v>
      </c>
      <c r="B4" s="132"/>
      <c r="C4" s="133"/>
      <c r="D4" s="134"/>
      <c r="E4" s="132">
        <v>1707.35</v>
      </c>
      <c r="F4" s="133"/>
      <c r="G4" s="133"/>
      <c r="H4" s="134"/>
    </row>
    <row r="5" spans="1:8" ht="15" customHeight="1" x14ac:dyDescent="0.25">
      <c r="A5" s="12" t="s">
        <v>82</v>
      </c>
      <c r="B5" s="132"/>
      <c r="C5" s="133"/>
      <c r="D5" s="134"/>
      <c r="E5" s="132">
        <v>1427.82</v>
      </c>
      <c r="F5" s="133"/>
      <c r="G5" s="133"/>
      <c r="H5" s="134"/>
    </row>
    <row r="6" spans="1:8" ht="15" customHeight="1" x14ac:dyDescent="0.25">
      <c r="A6" s="12" t="s">
        <v>83</v>
      </c>
      <c r="B6" s="132"/>
      <c r="C6" s="133"/>
      <c r="D6" s="134"/>
      <c r="E6" s="132">
        <v>989.83</v>
      </c>
      <c r="F6" s="133"/>
      <c r="G6" s="133"/>
      <c r="H6" s="134"/>
    </row>
    <row r="7" spans="1:8" ht="15" customHeight="1" x14ac:dyDescent="0.25">
      <c r="A7" s="12" t="s">
        <v>84</v>
      </c>
      <c r="B7" s="132"/>
      <c r="C7" s="133"/>
      <c r="D7" s="134"/>
      <c r="E7" s="132">
        <v>1639.32</v>
      </c>
      <c r="F7" s="133"/>
      <c r="G7" s="133"/>
      <c r="H7" s="134"/>
    </row>
    <row r="8" spans="1:8" ht="15" customHeight="1" x14ac:dyDescent="0.25">
      <c r="A8" s="12" t="s">
        <v>85</v>
      </c>
      <c r="B8" s="132"/>
      <c r="C8" s="133"/>
      <c r="D8" s="134"/>
      <c r="E8" s="132">
        <v>654.51</v>
      </c>
      <c r="F8" s="133"/>
      <c r="G8" s="133"/>
      <c r="H8" s="134"/>
    </row>
    <row r="9" spans="1:8" ht="15" customHeight="1" x14ac:dyDescent="0.25">
      <c r="A9" s="12" t="s">
        <v>108</v>
      </c>
      <c r="B9" s="132"/>
      <c r="C9" s="133"/>
      <c r="D9" s="134"/>
      <c r="E9" s="132">
        <v>3500</v>
      </c>
      <c r="F9" s="133"/>
      <c r="G9" s="133"/>
      <c r="H9" s="134"/>
    </row>
    <row r="10" spans="1:8" ht="15" customHeight="1" x14ac:dyDescent="0.25">
      <c r="A10" s="12"/>
      <c r="B10" s="132"/>
      <c r="C10" s="133"/>
      <c r="D10" s="134"/>
      <c r="E10" s="132"/>
      <c r="F10" s="133"/>
      <c r="G10" s="133"/>
      <c r="H10" s="134"/>
    </row>
    <row r="11" spans="1:8" ht="15.75" x14ac:dyDescent="0.25">
      <c r="A11" s="11"/>
      <c r="B11" s="132"/>
      <c r="C11" s="133"/>
      <c r="D11" s="134"/>
      <c r="E11" s="132"/>
      <c r="F11" s="133"/>
      <c r="G11" s="133"/>
      <c r="H11" s="134"/>
    </row>
    <row r="12" spans="1:8" ht="15.75" x14ac:dyDescent="0.25">
      <c r="A12" s="11"/>
      <c r="B12" s="132"/>
      <c r="C12" s="133"/>
      <c r="D12" s="134"/>
      <c r="E12" s="132"/>
      <c r="F12" s="133"/>
      <c r="G12" s="133"/>
      <c r="H12" s="134"/>
    </row>
    <row r="13" spans="1:8" ht="15.75" x14ac:dyDescent="0.25">
      <c r="A13" s="11"/>
      <c r="B13" s="132"/>
      <c r="C13" s="133"/>
      <c r="D13" s="134"/>
      <c r="E13" s="132"/>
      <c r="F13" s="133"/>
      <c r="G13" s="133"/>
      <c r="H13" s="134"/>
    </row>
    <row r="14" spans="1:8" ht="15.75" x14ac:dyDescent="0.25">
      <c r="A14" s="11"/>
      <c r="B14" s="132"/>
      <c r="C14" s="133"/>
      <c r="D14" s="134"/>
      <c r="E14" s="130"/>
      <c r="F14" s="130"/>
      <c r="G14" s="130"/>
      <c r="H14" s="130"/>
    </row>
    <row r="15" spans="1:8" ht="15.75" x14ac:dyDescent="0.25">
      <c r="A15" s="3"/>
      <c r="B15" s="132"/>
      <c r="C15" s="133"/>
      <c r="D15" s="134"/>
      <c r="E15" s="130"/>
      <c r="F15" s="130"/>
      <c r="G15" s="130"/>
      <c r="H15" s="130"/>
    </row>
    <row r="16" spans="1:8" ht="15.75" x14ac:dyDescent="0.25">
      <c r="A16" s="11"/>
      <c r="B16" s="132"/>
      <c r="C16" s="133"/>
      <c r="D16" s="134"/>
      <c r="E16" s="130"/>
      <c r="F16" s="130"/>
      <c r="G16" s="130"/>
      <c r="H16" s="130"/>
    </row>
    <row r="17" spans="1:8" ht="15.75" x14ac:dyDescent="0.25">
      <c r="A17" s="3"/>
      <c r="B17" s="132"/>
      <c r="C17" s="133"/>
      <c r="D17" s="134"/>
      <c r="E17" s="130"/>
      <c r="F17" s="130"/>
      <c r="G17" s="130"/>
      <c r="H17" s="130"/>
    </row>
    <row r="18" spans="1:8" ht="15.75" x14ac:dyDescent="0.25">
      <c r="A18" s="3"/>
      <c r="B18" s="132"/>
      <c r="C18" s="133"/>
      <c r="D18" s="134"/>
      <c r="E18" s="130"/>
      <c r="F18" s="130"/>
      <c r="G18" s="130"/>
      <c r="H18" s="130"/>
    </row>
    <row r="19" spans="1:8" ht="15.75" x14ac:dyDescent="0.25">
      <c r="A19" s="3"/>
      <c r="B19" s="132"/>
      <c r="C19" s="133"/>
      <c r="D19" s="134"/>
      <c r="E19" s="130"/>
      <c r="F19" s="130"/>
      <c r="G19" s="130"/>
      <c r="H19" s="130"/>
    </row>
    <row r="20" spans="1:8" ht="15.75" x14ac:dyDescent="0.25">
      <c r="A20" s="3"/>
      <c r="B20" s="132"/>
      <c r="C20" s="133"/>
      <c r="D20" s="134"/>
      <c r="E20" s="130"/>
      <c r="F20" s="130"/>
      <c r="G20" s="130"/>
      <c r="H20" s="130"/>
    </row>
    <row r="21" spans="1:8" ht="15.75" x14ac:dyDescent="0.25">
      <c r="A21" s="3"/>
      <c r="B21" s="132"/>
      <c r="C21" s="133"/>
      <c r="D21" s="134"/>
      <c r="E21" s="130"/>
      <c r="F21" s="130"/>
      <c r="G21" s="130"/>
      <c r="H21" s="130"/>
    </row>
    <row r="22" spans="1:8" ht="15.75" x14ac:dyDescent="0.25">
      <c r="A22" s="3"/>
      <c r="B22" s="132"/>
      <c r="C22" s="133"/>
      <c r="D22" s="134"/>
      <c r="E22" s="130"/>
      <c r="F22" s="130"/>
      <c r="G22" s="130"/>
      <c r="H22" s="130"/>
    </row>
    <row r="23" spans="1:8" ht="15.75" x14ac:dyDescent="0.25">
      <c r="A23" s="3"/>
      <c r="B23" s="132"/>
      <c r="C23" s="133"/>
      <c r="D23" s="134"/>
      <c r="E23" s="130"/>
      <c r="F23" s="130"/>
      <c r="G23" s="130"/>
      <c r="H23" s="130"/>
    </row>
    <row r="24" spans="1:8" ht="15.75" x14ac:dyDescent="0.25">
      <c r="A24" s="3"/>
      <c r="B24" s="132"/>
      <c r="C24" s="133"/>
      <c r="D24" s="134"/>
      <c r="E24" s="130"/>
      <c r="F24" s="130"/>
      <c r="G24" s="130"/>
      <c r="H24" s="130"/>
    </row>
    <row r="25" spans="1:8" ht="15.75" x14ac:dyDescent="0.25">
      <c r="A25" s="5" t="s">
        <v>3</v>
      </c>
      <c r="B25" s="132">
        <f>SUM(B4:D24)</f>
        <v>0</v>
      </c>
      <c r="C25" s="133"/>
      <c r="D25" s="134"/>
      <c r="E25" s="130">
        <f>SUM(E4:H24)</f>
        <v>9918.83</v>
      </c>
      <c r="F25" s="130"/>
      <c r="G25" s="130"/>
      <c r="H25" s="130"/>
    </row>
    <row r="26" spans="1:8" x14ac:dyDescent="0.25">
      <c r="A26" s="2" t="s">
        <v>27</v>
      </c>
      <c r="B26" s="130">
        <f>SUM(E25-B25)</f>
        <v>9918.83</v>
      </c>
      <c r="C26" s="130"/>
      <c r="D26" s="130"/>
      <c r="E26" s="130"/>
      <c r="F26" s="130"/>
      <c r="G26" s="130"/>
      <c r="H26" s="130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/>
  <dimension ref="A1:H26"/>
  <sheetViews>
    <sheetView workbookViewId="0">
      <selection activeCell="M28" sqref="M28"/>
    </sheetView>
  </sheetViews>
  <sheetFormatPr baseColWidth="10" defaultRowHeight="15" x14ac:dyDescent="0.25"/>
  <cols>
    <col min="1" max="1" width="19.85546875" bestFit="1" customWidth="1"/>
  </cols>
  <sheetData>
    <row r="1" spans="1:8" ht="20.100000000000001" customHeight="1" x14ac:dyDescent="0.25">
      <c r="A1" s="153" t="s">
        <v>30</v>
      </c>
      <c r="B1" s="153"/>
      <c r="C1" s="153"/>
      <c r="D1" s="153"/>
      <c r="E1" s="153"/>
      <c r="F1" s="153"/>
      <c r="G1" s="153"/>
      <c r="H1" s="153"/>
    </row>
    <row r="2" spans="1:8" ht="15" customHeight="1" x14ac:dyDescent="0.25">
      <c r="A2" s="135" t="s">
        <v>86</v>
      </c>
      <c r="B2" s="135"/>
      <c r="C2" s="135"/>
      <c r="D2" s="135"/>
      <c r="E2" s="135"/>
      <c r="F2" s="135"/>
      <c r="G2" s="135"/>
      <c r="H2" s="135"/>
    </row>
    <row r="3" spans="1:8" ht="15" customHeight="1" x14ac:dyDescent="0.25">
      <c r="A3" s="10"/>
      <c r="B3" s="137" t="s">
        <v>25</v>
      </c>
      <c r="C3" s="138"/>
      <c r="D3" s="139"/>
      <c r="E3" s="137" t="s">
        <v>26</v>
      </c>
      <c r="F3" s="138"/>
      <c r="G3" s="138"/>
      <c r="H3" s="139"/>
    </row>
    <row r="4" spans="1:8" ht="15" customHeight="1" x14ac:dyDescent="0.25">
      <c r="A4" s="12" t="s">
        <v>87</v>
      </c>
      <c r="B4" s="132"/>
      <c r="C4" s="133"/>
      <c r="D4" s="134"/>
      <c r="E4" s="132">
        <v>942.04</v>
      </c>
      <c r="F4" s="133"/>
      <c r="G4" s="133"/>
      <c r="H4" s="134"/>
    </row>
    <row r="5" spans="1:8" ht="15" customHeight="1" x14ac:dyDescent="0.25">
      <c r="A5" s="12" t="s">
        <v>88</v>
      </c>
      <c r="B5" s="132"/>
      <c r="C5" s="133"/>
      <c r="D5" s="134"/>
      <c r="E5" s="132">
        <v>4419</v>
      </c>
      <c r="F5" s="133"/>
      <c r="G5" s="133"/>
      <c r="H5" s="134"/>
    </row>
    <row r="6" spans="1:8" ht="15.75" x14ac:dyDescent="0.25">
      <c r="A6" s="12" t="s">
        <v>89</v>
      </c>
      <c r="B6" s="132"/>
      <c r="C6" s="133"/>
      <c r="D6" s="134"/>
      <c r="E6" s="132">
        <v>1441.48</v>
      </c>
      <c r="F6" s="133"/>
      <c r="G6" s="133"/>
      <c r="H6" s="134"/>
    </row>
    <row r="7" spans="1:8" ht="15.75" x14ac:dyDescent="0.25">
      <c r="A7" s="26" t="s">
        <v>90</v>
      </c>
      <c r="B7" s="132"/>
      <c r="C7" s="133"/>
      <c r="D7" s="134"/>
      <c r="E7" s="132">
        <v>1639.32</v>
      </c>
      <c r="F7" s="133"/>
      <c r="G7" s="133"/>
      <c r="H7" s="134"/>
    </row>
    <row r="8" spans="1:8" ht="15" customHeight="1" x14ac:dyDescent="0.25">
      <c r="A8" s="12" t="s">
        <v>91</v>
      </c>
      <c r="B8" s="132"/>
      <c r="C8" s="133"/>
      <c r="D8" s="134"/>
      <c r="E8" s="132">
        <v>654.51</v>
      </c>
      <c r="F8" s="133"/>
      <c r="G8" s="133"/>
      <c r="H8" s="134"/>
    </row>
    <row r="9" spans="1:8" ht="15" customHeight="1" x14ac:dyDescent="0.25">
      <c r="A9" s="12" t="s">
        <v>92</v>
      </c>
      <c r="B9" s="132"/>
      <c r="C9" s="133"/>
      <c r="D9" s="134"/>
      <c r="E9" s="132">
        <v>996.96</v>
      </c>
      <c r="F9" s="133"/>
      <c r="G9" s="133"/>
      <c r="H9" s="134"/>
    </row>
    <row r="10" spans="1:8" ht="15" customHeight="1" x14ac:dyDescent="0.25">
      <c r="A10" s="12"/>
      <c r="B10" s="132"/>
      <c r="C10" s="133"/>
      <c r="D10" s="134"/>
      <c r="E10" s="132"/>
      <c r="F10" s="133"/>
      <c r="G10" s="133"/>
      <c r="H10" s="134"/>
    </row>
    <row r="11" spans="1:8" ht="15.75" x14ac:dyDescent="0.25">
      <c r="A11" s="11"/>
      <c r="B11" s="132"/>
      <c r="C11" s="133"/>
      <c r="D11" s="134"/>
      <c r="E11" s="132"/>
      <c r="F11" s="133"/>
      <c r="G11" s="133"/>
      <c r="H11" s="134"/>
    </row>
    <row r="12" spans="1:8" ht="15.75" x14ac:dyDescent="0.25">
      <c r="A12" s="11"/>
      <c r="B12" s="132"/>
      <c r="C12" s="133"/>
      <c r="D12" s="134"/>
      <c r="E12" s="132"/>
      <c r="F12" s="133"/>
      <c r="G12" s="133"/>
      <c r="H12" s="134"/>
    </row>
    <row r="13" spans="1:8" ht="15.75" x14ac:dyDescent="0.25">
      <c r="A13" s="11"/>
      <c r="B13" s="132"/>
      <c r="C13" s="133"/>
      <c r="D13" s="134"/>
      <c r="E13" s="132"/>
      <c r="F13" s="133"/>
      <c r="G13" s="133"/>
      <c r="H13" s="134"/>
    </row>
    <row r="14" spans="1:8" ht="15.75" x14ac:dyDescent="0.25">
      <c r="A14" s="11"/>
      <c r="B14" s="132"/>
      <c r="C14" s="133"/>
      <c r="D14" s="134"/>
      <c r="E14" s="130"/>
      <c r="F14" s="130"/>
      <c r="G14" s="130"/>
      <c r="H14" s="130"/>
    </row>
    <row r="15" spans="1:8" ht="15.75" x14ac:dyDescent="0.25">
      <c r="A15" s="3"/>
      <c r="B15" s="132"/>
      <c r="C15" s="133"/>
      <c r="D15" s="134"/>
      <c r="E15" s="130"/>
      <c r="F15" s="130"/>
      <c r="G15" s="130"/>
      <c r="H15" s="130"/>
    </row>
    <row r="16" spans="1:8" ht="15.75" x14ac:dyDescent="0.25">
      <c r="A16" s="11"/>
      <c r="B16" s="132"/>
      <c r="C16" s="133"/>
      <c r="D16" s="134"/>
      <c r="E16" s="130"/>
      <c r="F16" s="130"/>
      <c r="G16" s="130"/>
      <c r="H16" s="130"/>
    </row>
    <row r="17" spans="1:8" ht="15.75" x14ac:dyDescent="0.25">
      <c r="A17" s="3"/>
      <c r="B17" s="132"/>
      <c r="C17" s="133"/>
      <c r="D17" s="134"/>
      <c r="E17" s="130"/>
      <c r="F17" s="130"/>
      <c r="G17" s="130"/>
      <c r="H17" s="130"/>
    </row>
    <row r="18" spans="1:8" ht="15.75" x14ac:dyDescent="0.25">
      <c r="A18" s="3"/>
      <c r="B18" s="132"/>
      <c r="C18" s="133"/>
      <c r="D18" s="134"/>
      <c r="E18" s="130"/>
      <c r="F18" s="130"/>
      <c r="G18" s="130"/>
      <c r="H18" s="130"/>
    </row>
    <row r="19" spans="1:8" ht="15.75" x14ac:dyDescent="0.25">
      <c r="A19" s="3"/>
      <c r="B19" s="132"/>
      <c r="C19" s="133"/>
      <c r="D19" s="134"/>
      <c r="E19" s="130"/>
      <c r="F19" s="130"/>
      <c r="G19" s="130"/>
      <c r="H19" s="130"/>
    </row>
    <row r="20" spans="1:8" ht="15.75" x14ac:dyDescent="0.25">
      <c r="A20" s="3"/>
      <c r="B20" s="132"/>
      <c r="C20" s="133"/>
      <c r="D20" s="134"/>
      <c r="E20" s="130"/>
      <c r="F20" s="130"/>
      <c r="G20" s="130"/>
      <c r="H20" s="130"/>
    </row>
    <row r="21" spans="1:8" ht="15.75" x14ac:dyDescent="0.25">
      <c r="A21" s="3"/>
      <c r="B21" s="132"/>
      <c r="C21" s="133"/>
      <c r="D21" s="134"/>
      <c r="E21" s="130"/>
      <c r="F21" s="130"/>
      <c r="G21" s="130"/>
      <c r="H21" s="130"/>
    </row>
    <row r="22" spans="1:8" ht="15.75" x14ac:dyDescent="0.25">
      <c r="A22" s="3"/>
      <c r="B22" s="132"/>
      <c r="C22" s="133"/>
      <c r="D22" s="134"/>
      <c r="E22" s="130"/>
      <c r="F22" s="130"/>
      <c r="G22" s="130"/>
      <c r="H22" s="130"/>
    </row>
    <row r="23" spans="1:8" ht="15.75" x14ac:dyDescent="0.25">
      <c r="A23" s="3"/>
      <c r="B23" s="132"/>
      <c r="C23" s="133"/>
      <c r="D23" s="134"/>
      <c r="E23" s="130"/>
      <c r="F23" s="130"/>
      <c r="G23" s="130"/>
      <c r="H23" s="130"/>
    </row>
    <row r="24" spans="1:8" ht="15.75" x14ac:dyDescent="0.25">
      <c r="A24" s="3"/>
      <c r="B24" s="132"/>
      <c r="C24" s="133"/>
      <c r="D24" s="134"/>
      <c r="E24" s="130"/>
      <c r="F24" s="130"/>
      <c r="G24" s="130"/>
      <c r="H24" s="130"/>
    </row>
    <row r="25" spans="1:8" ht="15.75" x14ac:dyDescent="0.25">
      <c r="A25" s="5" t="s">
        <v>3</v>
      </c>
      <c r="B25" s="132">
        <f>SUM(B4:D24)</f>
        <v>0</v>
      </c>
      <c r="C25" s="133"/>
      <c r="D25" s="134"/>
      <c r="E25" s="130">
        <f>SUM(E4:H24)</f>
        <v>10093.310000000001</v>
      </c>
      <c r="F25" s="130"/>
      <c r="G25" s="130"/>
      <c r="H25" s="130"/>
    </row>
    <row r="26" spans="1:8" x14ac:dyDescent="0.25">
      <c r="A26" s="2" t="s">
        <v>27</v>
      </c>
      <c r="B26" s="130">
        <f>SUM(E25-B25)</f>
        <v>10093.310000000001</v>
      </c>
      <c r="C26" s="130"/>
      <c r="D26" s="130"/>
      <c r="E26" s="130"/>
      <c r="F26" s="130"/>
      <c r="G26" s="130"/>
      <c r="H26" s="130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/>
  <dimension ref="A1:H39"/>
  <sheetViews>
    <sheetView workbookViewId="0">
      <selection activeCell="E4" sqref="E4:H4"/>
    </sheetView>
  </sheetViews>
  <sheetFormatPr baseColWidth="10" defaultRowHeight="15" x14ac:dyDescent="0.25"/>
  <cols>
    <col min="1" max="1" width="24.85546875" bestFit="1" customWidth="1"/>
  </cols>
  <sheetData>
    <row r="1" spans="1:8" ht="20.100000000000001" customHeight="1" x14ac:dyDescent="0.25">
      <c r="A1" s="153" t="s">
        <v>30</v>
      </c>
      <c r="B1" s="153"/>
      <c r="C1" s="153"/>
      <c r="D1" s="153"/>
      <c r="E1" s="153"/>
      <c r="F1" s="153"/>
      <c r="G1" s="153"/>
      <c r="H1" s="153"/>
    </row>
    <row r="2" spans="1:8" ht="15" customHeight="1" x14ac:dyDescent="0.25">
      <c r="A2" s="135" t="s">
        <v>97</v>
      </c>
      <c r="B2" s="135"/>
      <c r="C2" s="135"/>
      <c r="D2" s="135"/>
      <c r="E2" s="135"/>
      <c r="F2" s="135"/>
      <c r="G2" s="135"/>
      <c r="H2" s="135"/>
    </row>
    <row r="3" spans="1:8" ht="15" customHeight="1" x14ac:dyDescent="0.25">
      <c r="A3" s="17" t="s">
        <v>98</v>
      </c>
      <c r="B3" s="137" t="s">
        <v>25</v>
      </c>
      <c r="C3" s="138"/>
      <c r="D3" s="139"/>
      <c r="E3" s="137" t="s">
        <v>26</v>
      </c>
      <c r="F3" s="138"/>
      <c r="G3" s="138"/>
      <c r="H3" s="139"/>
    </row>
    <row r="4" spans="1:8" ht="15" customHeight="1" x14ac:dyDescent="0.25">
      <c r="A4" s="12" t="s">
        <v>13</v>
      </c>
      <c r="B4" s="132">
        <f>SUM(Encaissement!B10)</f>
        <v>0</v>
      </c>
      <c r="C4" s="133"/>
      <c r="D4" s="134"/>
      <c r="E4" s="132">
        <f>SUM(Encaissement!G10)</f>
        <v>50000</v>
      </c>
      <c r="F4" s="133"/>
      <c r="G4" s="133"/>
      <c r="H4" s="134"/>
    </row>
    <row r="5" spans="1:8" ht="15" customHeight="1" x14ac:dyDescent="0.25">
      <c r="A5" s="12" t="s">
        <v>99</v>
      </c>
      <c r="B5" s="132">
        <f>SUM(Encaissement!B23)</f>
        <v>0</v>
      </c>
      <c r="C5" s="133"/>
      <c r="D5" s="134"/>
      <c r="E5" s="132">
        <f>SUM(Encaissement!G23)</f>
        <v>11254</v>
      </c>
      <c r="F5" s="133"/>
      <c r="G5" s="133"/>
      <c r="H5" s="134"/>
    </row>
    <row r="6" spans="1:8" ht="15.75" x14ac:dyDescent="0.25">
      <c r="A6" s="26" t="s">
        <v>12</v>
      </c>
      <c r="B6" s="132">
        <f>SUM('Charge magasin'!B25:D25)</f>
        <v>0</v>
      </c>
      <c r="C6" s="133"/>
      <c r="D6" s="134"/>
      <c r="E6" s="132">
        <f>SUM('Charge magasin'!E25:H25)</f>
        <v>4389.99</v>
      </c>
      <c r="F6" s="133"/>
      <c r="G6" s="133"/>
      <c r="H6" s="134"/>
    </row>
    <row r="7" spans="1:8" ht="15.75" x14ac:dyDescent="0.25">
      <c r="A7" s="12" t="s">
        <v>100</v>
      </c>
      <c r="B7" s="132">
        <f>SUM('Salaire magasin'!B25:D25)</f>
        <v>0</v>
      </c>
      <c r="C7" s="133"/>
      <c r="D7" s="134"/>
      <c r="E7" s="132">
        <f>SUM('Salaire magasin'!E25:H25)</f>
        <v>4243</v>
      </c>
      <c r="F7" s="133"/>
      <c r="G7" s="133"/>
      <c r="H7" s="134"/>
    </row>
    <row r="8" spans="1:8" ht="15" customHeight="1" x14ac:dyDescent="0.25">
      <c r="A8" s="12"/>
      <c r="B8" s="132"/>
      <c r="C8" s="133"/>
      <c r="D8" s="134"/>
      <c r="E8" s="132"/>
      <c r="F8" s="133"/>
      <c r="G8" s="133"/>
      <c r="H8" s="134"/>
    </row>
    <row r="9" spans="1:8" ht="15" customHeight="1" x14ac:dyDescent="0.25">
      <c r="A9" s="12"/>
      <c r="B9" s="132"/>
      <c r="C9" s="133"/>
      <c r="D9" s="134"/>
      <c r="E9" s="132"/>
      <c r="F9" s="133"/>
      <c r="G9" s="133"/>
      <c r="H9" s="134"/>
    </row>
    <row r="10" spans="1:8" ht="15" customHeight="1" x14ac:dyDescent="0.25">
      <c r="A10" s="11"/>
      <c r="B10" s="132"/>
      <c r="C10" s="133"/>
      <c r="D10" s="134"/>
      <c r="E10" s="132"/>
      <c r="F10" s="133"/>
      <c r="G10" s="133"/>
      <c r="H10" s="134"/>
    </row>
    <row r="11" spans="1:8" ht="20.100000000000001" customHeight="1" x14ac:dyDescent="0.25">
      <c r="A11" s="27" t="s">
        <v>104</v>
      </c>
      <c r="B11" s="154">
        <f>SUM(B4)-B5-B6-B7</f>
        <v>0</v>
      </c>
      <c r="C11" s="155"/>
      <c r="D11" s="156"/>
      <c r="E11" s="154">
        <f>SUM(E4)-E5-E6-E7</f>
        <v>30113.010000000002</v>
      </c>
      <c r="F11" s="155"/>
      <c r="G11" s="155"/>
      <c r="H11" s="156"/>
    </row>
    <row r="12" spans="1:8" ht="15.75" x14ac:dyDescent="0.25">
      <c r="A12" s="11" t="s">
        <v>101</v>
      </c>
      <c r="B12" s="132">
        <f>SUM(Encaissement!B7)</f>
        <v>0</v>
      </c>
      <c r="C12" s="133"/>
      <c r="D12" s="134"/>
      <c r="E12" s="132">
        <f>SUM(Encaissement!G7)</f>
        <v>0</v>
      </c>
      <c r="F12" s="133"/>
      <c r="G12" s="133"/>
      <c r="H12" s="134"/>
    </row>
    <row r="13" spans="1:8" ht="15.75" x14ac:dyDescent="0.25">
      <c r="A13" s="11" t="s">
        <v>102</v>
      </c>
      <c r="B13" s="132">
        <f>SUM(Encaissement!B32)</f>
        <v>0</v>
      </c>
      <c r="C13" s="133"/>
      <c r="D13" s="134"/>
      <c r="E13" s="130">
        <f>SUM(E12)</f>
        <v>0</v>
      </c>
      <c r="F13" s="130"/>
      <c r="G13" s="130"/>
      <c r="H13" s="130"/>
    </row>
    <row r="14" spans="1:8" ht="15.75" x14ac:dyDescent="0.25">
      <c r="A14" s="3" t="s">
        <v>33</v>
      </c>
      <c r="B14" s="132">
        <f>SUM('Charge enterprise'!B25:D25)</f>
        <v>0</v>
      </c>
      <c r="C14" s="133"/>
      <c r="D14" s="134"/>
      <c r="E14" s="130">
        <f>SUM('Charge enterprise'!E25:H25)</f>
        <v>2648.4599999999996</v>
      </c>
      <c r="F14" s="130"/>
      <c r="G14" s="130"/>
      <c r="H14" s="130"/>
    </row>
    <row r="15" spans="1:8" ht="15.75" x14ac:dyDescent="0.25">
      <c r="A15" s="11" t="s">
        <v>103</v>
      </c>
      <c r="B15" s="132">
        <f>SUM('Salaire entreprise'!B25:D25)</f>
        <v>0</v>
      </c>
      <c r="C15" s="133"/>
      <c r="D15" s="134"/>
      <c r="E15" s="130">
        <f>SUM('Salaire entreprise'!E25:H25)</f>
        <v>9918.83</v>
      </c>
      <c r="F15" s="130"/>
      <c r="G15" s="130"/>
      <c r="H15" s="130"/>
    </row>
    <row r="16" spans="1:8" ht="15.75" x14ac:dyDescent="0.25">
      <c r="A16" s="3"/>
      <c r="B16" s="132"/>
      <c r="C16" s="133"/>
      <c r="D16" s="134"/>
      <c r="E16" s="130"/>
      <c r="F16" s="130"/>
      <c r="G16" s="130"/>
      <c r="H16" s="130"/>
    </row>
    <row r="17" spans="1:8" ht="15.75" x14ac:dyDescent="0.25">
      <c r="A17" s="3"/>
      <c r="B17" s="132"/>
      <c r="C17" s="133"/>
      <c r="D17" s="134"/>
      <c r="E17" s="130"/>
      <c r="F17" s="130"/>
      <c r="G17" s="130"/>
      <c r="H17" s="130"/>
    </row>
    <row r="18" spans="1:8" ht="15.75" x14ac:dyDescent="0.25">
      <c r="A18" s="3"/>
      <c r="B18" s="132"/>
      <c r="C18" s="133"/>
      <c r="D18" s="134"/>
      <c r="E18" s="130"/>
      <c r="F18" s="130"/>
      <c r="G18" s="130"/>
      <c r="H18" s="130"/>
    </row>
    <row r="19" spans="1:8" ht="20.100000000000001" customHeight="1" x14ac:dyDescent="0.25">
      <c r="A19" s="28" t="s">
        <v>105</v>
      </c>
      <c r="B19" s="157"/>
      <c r="C19" s="158"/>
      <c r="D19" s="159"/>
      <c r="E19" s="160">
        <f>SUM(E12)-E13-E14-E15</f>
        <v>-12567.289999999999</v>
      </c>
      <c r="F19" s="160"/>
      <c r="G19" s="160"/>
      <c r="H19" s="160"/>
    </row>
    <row r="20" spans="1:8" ht="15.75" x14ac:dyDescent="0.25">
      <c r="A20" s="3" t="s">
        <v>106</v>
      </c>
      <c r="B20" s="132">
        <f>SUM('Charge commune'!B4:D4)</f>
        <v>0</v>
      </c>
      <c r="C20" s="133"/>
      <c r="D20" s="134"/>
      <c r="E20" s="130">
        <f>SUM('Charge commune'!E25:H25)</f>
        <v>680</v>
      </c>
      <c r="F20" s="130"/>
      <c r="G20" s="130"/>
      <c r="H20" s="130"/>
    </row>
    <row r="21" spans="1:8" ht="15.75" x14ac:dyDescent="0.25">
      <c r="A21" s="3" t="s">
        <v>67</v>
      </c>
      <c r="B21" s="132">
        <f>SUM(Emprunt!B11+Emprunt!B19)</f>
        <v>0</v>
      </c>
      <c r="C21" s="133"/>
      <c r="D21" s="134"/>
      <c r="E21" s="130">
        <f>SUM(Emprunt!B25)</f>
        <v>1911.56</v>
      </c>
      <c r="F21" s="130"/>
      <c r="G21" s="130"/>
      <c r="H21" s="130"/>
    </row>
    <row r="22" spans="1:8" ht="15.75" x14ac:dyDescent="0.25">
      <c r="A22" s="3" t="s">
        <v>107</v>
      </c>
      <c r="B22" s="132">
        <f>SUM('charges sociales'!B25:D25)</f>
        <v>0</v>
      </c>
      <c r="C22" s="133"/>
      <c r="D22" s="134"/>
      <c r="E22" s="130">
        <f>SUM('charges sociales'!E25:H25)</f>
        <v>10093.310000000001</v>
      </c>
      <c r="F22" s="130"/>
      <c r="G22" s="130"/>
      <c r="H22" s="130"/>
    </row>
    <row r="23" spans="1:8" ht="15.75" x14ac:dyDescent="0.25">
      <c r="A23" s="3"/>
      <c r="B23" s="132"/>
      <c r="C23" s="133"/>
      <c r="D23" s="134"/>
      <c r="E23" s="145"/>
      <c r="F23" s="161"/>
      <c r="G23" s="161"/>
      <c r="H23" s="162"/>
    </row>
    <row r="24" spans="1:8" ht="15.75" x14ac:dyDescent="0.25">
      <c r="A24" s="3"/>
      <c r="B24" s="132"/>
      <c r="C24" s="133"/>
      <c r="D24" s="134"/>
      <c r="E24" s="145"/>
      <c r="F24" s="161"/>
      <c r="G24" s="161"/>
      <c r="H24" s="162"/>
    </row>
    <row r="25" spans="1:8" ht="15.75" x14ac:dyDescent="0.25">
      <c r="A25" s="3"/>
      <c r="B25" s="132"/>
      <c r="C25" s="133"/>
      <c r="D25" s="134"/>
      <c r="E25" s="145"/>
      <c r="F25" s="161"/>
      <c r="G25" s="161"/>
      <c r="H25" s="162"/>
    </row>
    <row r="26" spans="1:8" ht="15.75" x14ac:dyDescent="0.25">
      <c r="A26" s="3" t="s">
        <v>109</v>
      </c>
      <c r="B26" s="132"/>
      <c r="C26" s="133"/>
      <c r="D26" s="134"/>
      <c r="E26" s="145"/>
      <c r="F26" s="161"/>
      <c r="G26" s="161"/>
      <c r="H26" s="162"/>
    </row>
    <row r="27" spans="1:8" ht="15.75" x14ac:dyDescent="0.25">
      <c r="A27" s="3"/>
      <c r="B27" s="132"/>
      <c r="C27" s="133"/>
      <c r="D27" s="134"/>
      <c r="E27" s="145"/>
      <c r="F27" s="161"/>
      <c r="G27" s="161"/>
      <c r="H27" s="162"/>
    </row>
    <row r="28" spans="1:8" ht="15.75" x14ac:dyDescent="0.25">
      <c r="A28" s="3"/>
      <c r="B28" s="132"/>
      <c r="C28" s="133"/>
      <c r="D28" s="134"/>
      <c r="E28" s="145"/>
      <c r="F28" s="161"/>
      <c r="G28" s="161"/>
      <c r="H28" s="162"/>
    </row>
    <row r="29" spans="1:8" ht="15.75" x14ac:dyDescent="0.25">
      <c r="A29" s="3"/>
      <c r="B29" s="132"/>
      <c r="C29" s="133"/>
      <c r="D29" s="134"/>
      <c r="E29" s="145"/>
      <c r="F29" s="161"/>
      <c r="G29" s="161"/>
      <c r="H29" s="162"/>
    </row>
    <row r="30" spans="1:8" ht="15.75" x14ac:dyDescent="0.25">
      <c r="A30" s="3" t="s">
        <v>110</v>
      </c>
      <c r="B30" s="14"/>
      <c r="C30" s="15"/>
      <c r="D30" s="16"/>
      <c r="E30" s="145"/>
      <c r="F30" s="161"/>
      <c r="G30" s="161"/>
      <c r="H30" s="162"/>
    </row>
    <row r="31" spans="1:8" ht="15.75" x14ac:dyDescent="0.25">
      <c r="A31" s="3"/>
      <c r="B31" s="14"/>
      <c r="C31" s="15"/>
      <c r="D31" s="16"/>
      <c r="E31" s="13"/>
      <c r="F31" s="13"/>
      <c r="G31" s="13"/>
      <c r="H31" s="13"/>
    </row>
    <row r="32" spans="1:8" ht="15.75" x14ac:dyDescent="0.25">
      <c r="A32" s="3"/>
      <c r="B32" s="14"/>
      <c r="C32" s="15"/>
      <c r="D32" s="16"/>
      <c r="E32" s="13"/>
      <c r="F32" s="13"/>
      <c r="G32" s="13"/>
      <c r="H32" s="13"/>
    </row>
    <row r="33" spans="1:8" ht="15.75" x14ac:dyDescent="0.25">
      <c r="A33" s="3"/>
      <c r="B33" s="14"/>
      <c r="C33" s="15"/>
      <c r="D33" s="16"/>
      <c r="E33" s="13"/>
      <c r="F33" s="13"/>
      <c r="G33" s="13"/>
      <c r="H33" s="13"/>
    </row>
    <row r="34" spans="1:8" ht="15.75" x14ac:dyDescent="0.25">
      <c r="A34" s="3" t="s">
        <v>111</v>
      </c>
      <c r="B34" s="14"/>
      <c r="C34" s="15"/>
      <c r="D34" s="16"/>
      <c r="E34" s="13"/>
      <c r="F34" s="13"/>
      <c r="G34" s="13"/>
      <c r="H34" s="13"/>
    </row>
    <row r="35" spans="1:8" ht="15.75" x14ac:dyDescent="0.25">
      <c r="A35" s="3"/>
      <c r="B35" s="14"/>
      <c r="C35" s="15"/>
      <c r="D35" s="16"/>
      <c r="E35" s="13"/>
      <c r="F35" s="13"/>
      <c r="G35" s="13"/>
      <c r="H35" s="13"/>
    </row>
    <row r="36" spans="1:8" ht="15.75" x14ac:dyDescent="0.25">
      <c r="A36" s="3"/>
      <c r="B36" s="14"/>
      <c r="C36" s="15"/>
      <c r="D36" s="16"/>
      <c r="E36" s="13"/>
      <c r="F36" s="13"/>
      <c r="G36" s="13"/>
      <c r="H36" s="13"/>
    </row>
    <row r="37" spans="1:8" ht="15.75" x14ac:dyDescent="0.25">
      <c r="A37" s="3"/>
      <c r="B37" s="132"/>
      <c r="C37" s="133"/>
      <c r="D37" s="134"/>
      <c r="E37" s="130"/>
      <c r="F37" s="130"/>
      <c r="G37" s="130"/>
      <c r="H37" s="130"/>
    </row>
    <row r="38" spans="1:8" ht="15.75" x14ac:dyDescent="0.25">
      <c r="A38" s="23" t="s">
        <v>3</v>
      </c>
      <c r="B38" s="132">
        <f>SUM(B4:D37)</f>
        <v>0</v>
      </c>
      <c r="C38" s="133"/>
      <c r="D38" s="134"/>
      <c r="E38" s="130">
        <f>SUM(E4+E12)-E5-E6-E7-E13-E14-E15-E20-E21-E22</f>
        <v>4860.8500000000004</v>
      </c>
      <c r="F38" s="130"/>
      <c r="G38" s="130"/>
      <c r="H38" s="130"/>
    </row>
    <row r="39" spans="1:8" x14ac:dyDescent="0.25">
      <c r="A39" s="21" t="s">
        <v>27</v>
      </c>
      <c r="B39" s="130">
        <f>SUM(E38-B38)</f>
        <v>4860.8500000000004</v>
      </c>
      <c r="C39" s="130"/>
      <c r="D39" s="130"/>
      <c r="E39" s="130"/>
      <c r="F39" s="130"/>
      <c r="G39" s="130"/>
      <c r="H39" s="130"/>
    </row>
  </sheetData>
  <mergeCells count="62">
    <mergeCell ref="B28:D28"/>
    <mergeCell ref="B29:D29"/>
    <mergeCell ref="B39:H39"/>
    <mergeCell ref="B26:D26"/>
    <mergeCell ref="E26:H26"/>
    <mergeCell ref="E27:H27"/>
    <mergeCell ref="B22:D22"/>
    <mergeCell ref="E22:H22"/>
    <mergeCell ref="B37:D37"/>
    <mergeCell ref="E37:H37"/>
    <mergeCell ref="B38:D38"/>
    <mergeCell ref="E38:H38"/>
    <mergeCell ref="B27:D27"/>
    <mergeCell ref="E28:H28"/>
    <mergeCell ref="E29:H29"/>
    <mergeCell ref="E30:H30"/>
    <mergeCell ref="B23:D23"/>
    <mergeCell ref="E23:H23"/>
    <mergeCell ref="E24:H24"/>
    <mergeCell ref="B24:D24"/>
    <mergeCell ref="B25:D25"/>
    <mergeCell ref="E25:H25"/>
    <mergeCell ref="B19:D19"/>
    <mergeCell ref="E19:H19"/>
    <mergeCell ref="B20:D20"/>
    <mergeCell ref="E20:H20"/>
    <mergeCell ref="B21:D21"/>
    <mergeCell ref="E21:H21"/>
    <mergeCell ref="B16:D16"/>
    <mergeCell ref="E16:H16"/>
    <mergeCell ref="B17:D17"/>
    <mergeCell ref="E17:H17"/>
    <mergeCell ref="B18:D18"/>
    <mergeCell ref="E18:H18"/>
    <mergeCell ref="B13:D13"/>
    <mergeCell ref="E13:H13"/>
    <mergeCell ref="B14:D14"/>
    <mergeCell ref="E14:H14"/>
    <mergeCell ref="B15:D15"/>
    <mergeCell ref="E15:H15"/>
    <mergeCell ref="B10:D10"/>
    <mergeCell ref="E10:H10"/>
    <mergeCell ref="B11:D11"/>
    <mergeCell ref="E11:H11"/>
    <mergeCell ref="B12:D12"/>
    <mergeCell ref="E12:H12"/>
    <mergeCell ref="B7:D7"/>
    <mergeCell ref="E7:H7"/>
    <mergeCell ref="B8:D8"/>
    <mergeCell ref="E8:H8"/>
    <mergeCell ref="B9:D9"/>
    <mergeCell ref="E9:H9"/>
    <mergeCell ref="B5:D5"/>
    <mergeCell ref="E5:H5"/>
    <mergeCell ref="B6:D6"/>
    <mergeCell ref="E6:H6"/>
    <mergeCell ref="A1:H1"/>
    <mergeCell ref="A2:H2"/>
    <mergeCell ref="B3:D3"/>
    <mergeCell ref="E3:H3"/>
    <mergeCell ref="B4:D4"/>
    <mergeCell ref="E4:H4"/>
  </mergeCells>
  <pageMargins left="0.11811023622047245" right="0.11811023622047245" top="0" bottom="0" header="0" footer="0.11811023622047245"/>
  <pageSetup paperSize="9" orientation="landscape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L33"/>
  <sheetViews>
    <sheetView workbookViewId="0">
      <selection activeCell="A25" sqref="A25:L25"/>
    </sheetView>
  </sheetViews>
  <sheetFormatPr baseColWidth="10" defaultRowHeight="15" x14ac:dyDescent="0.25"/>
  <cols>
    <col min="1" max="1" width="30.7109375" customWidth="1"/>
    <col min="2" max="12" width="8.7109375" customWidth="1"/>
  </cols>
  <sheetData>
    <row r="1" spans="1:12" ht="20.100000000000001" customHeight="1" x14ac:dyDescent="0.25">
      <c r="A1" s="163" t="s">
        <v>24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</row>
    <row r="2" spans="1:12" ht="15.75" x14ac:dyDescent="0.25">
      <c r="A2" s="170" t="s">
        <v>28</v>
      </c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</row>
    <row r="3" spans="1:12" ht="14.1" customHeight="1" x14ac:dyDescent="0.25">
      <c r="A3" s="6"/>
      <c r="B3" s="164" t="s">
        <v>25</v>
      </c>
      <c r="C3" s="165"/>
      <c r="D3" s="165"/>
      <c r="E3" s="165"/>
      <c r="F3" s="166"/>
      <c r="G3" s="164" t="s">
        <v>26</v>
      </c>
      <c r="H3" s="165"/>
      <c r="I3" s="165"/>
      <c r="J3" s="165"/>
      <c r="K3" s="165"/>
      <c r="L3" s="166"/>
    </row>
    <row r="4" spans="1:12" ht="14.1" customHeight="1" x14ac:dyDescent="0.25">
      <c r="A4" s="4" t="s">
        <v>0</v>
      </c>
      <c r="B4" s="171"/>
      <c r="C4" s="172"/>
      <c r="D4" s="172"/>
      <c r="E4" s="172"/>
      <c r="F4" s="173"/>
      <c r="G4" s="174"/>
      <c r="H4" s="175"/>
      <c r="I4" s="175"/>
      <c r="J4" s="175"/>
      <c r="K4" s="175"/>
      <c r="L4" s="175"/>
    </row>
    <row r="5" spans="1:12" ht="14.1" customHeight="1" x14ac:dyDescent="0.25">
      <c r="A5" s="4" t="s">
        <v>1</v>
      </c>
      <c r="B5" s="171"/>
      <c r="C5" s="172"/>
      <c r="D5" s="172"/>
      <c r="E5" s="172"/>
      <c r="F5" s="173"/>
      <c r="G5" s="174"/>
      <c r="H5" s="175"/>
      <c r="I5" s="175"/>
      <c r="J5" s="175"/>
      <c r="K5" s="175"/>
      <c r="L5" s="175"/>
    </row>
    <row r="6" spans="1:12" ht="14.1" customHeight="1" x14ac:dyDescent="0.25">
      <c r="A6" s="4" t="s">
        <v>2</v>
      </c>
      <c r="B6" s="167"/>
      <c r="C6" s="168"/>
      <c r="D6" s="168"/>
      <c r="E6" s="168"/>
      <c r="F6" s="169"/>
      <c r="G6" s="176"/>
      <c r="H6" s="177"/>
      <c r="I6" s="177"/>
      <c r="J6" s="177"/>
      <c r="K6" s="177"/>
      <c r="L6" s="177"/>
    </row>
    <row r="7" spans="1:12" ht="14.1" customHeight="1" x14ac:dyDescent="0.25">
      <c r="A7" s="7" t="s">
        <v>3</v>
      </c>
      <c r="B7" s="178">
        <f>SUM(B4:F6)</f>
        <v>0</v>
      </c>
      <c r="C7" s="178"/>
      <c r="D7" s="178"/>
      <c r="E7" s="178"/>
      <c r="F7" s="178"/>
      <c r="G7" s="174">
        <f>SUM(G4:L6)</f>
        <v>0</v>
      </c>
      <c r="H7" s="175"/>
      <c r="I7" s="175"/>
      <c r="J7" s="175"/>
      <c r="K7" s="175"/>
      <c r="L7" s="179"/>
    </row>
    <row r="8" spans="1:12" ht="14.1" customHeight="1" x14ac:dyDescent="0.25">
      <c r="A8" s="8" t="s">
        <v>27</v>
      </c>
      <c r="B8" s="180">
        <f>SUM(G7-B7)</f>
        <v>0</v>
      </c>
      <c r="C8" s="181"/>
      <c r="D8" s="181"/>
      <c r="E8" s="181"/>
      <c r="F8" s="181"/>
      <c r="G8" s="181"/>
      <c r="H8" s="181"/>
      <c r="I8" s="181"/>
      <c r="J8" s="181"/>
      <c r="K8" s="181"/>
      <c r="L8" s="182"/>
    </row>
    <row r="9" spans="1:12" ht="14.1" customHeight="1" x14ac:dyDescent="0.25">
      <c r="A9" s="183" t="s">
        <v>13</v>
      </c>
      <c r="B9" s="184"/>
      <c r="C9" s="184"/>
      <c r="D9" s="184"/>
      <c r="E9" s="184"/>
      <c r="F9" s="184"/>
      <c r="G9" s="184"/>
      <c r="H9" s="184"/>
      <c r="I9" s="184"/>
      <c r="J9" s="184"/>
      <c r="K9" s="184"/>
      <c r="L9" s="185"/>
    </row>
    <row r="10" spans="1:12" ht="14.1" customHeight="1" x14ac:dyDescent="0.25">
      <c r="A10" s="4" t="s">
        <v>29</v>
      </c>
      <c r="B10" s="171">
        <v>0</v>
      </c>
      <c r="C10" s="172"/>
      <c r="D10" s="172"/>
      <c r="E10" s="172"/>
      <c r="F10" s="173"/>
      <c r="G10" s="174">
        <v>50000</v>
      </c>
      <c r="H10" s="175"/>
      <c r="I10" s="175"/>
      <c r="J10" s="175"/>
      <c r="K10" s="175"/>
      <c r="L10" s="175"/>
    </row>
    <row r="11" spans="1:12" ht="14.1" customHeight="1" x14ac:dyDescent="0.25">
      <c r="A11" s="4"/>
      <c r="B11" s="171"/>
      <c r="C11" s="172"/>
      <c r="D11" s="172"/>
      <c r="E11" s="172"/>
      <c r="F11" s="173"/>
      <c r="G11" s="174"/>
      <c r="H11" s="175"/>
      <c r="I11" s="175"/>
      <c r="J11" s="175"/>
      <c r="K11" s="175"/>
      <c r="L11" s="175"/>
    </row>
    <row r="12" spans="1:12" ht="14.1" customHeight="1" x14ac:dyDescent="0.25">
      <c r="A12" s="4"/>
      <c r="B12" s="167"/>
      <c r="C12" s="168"/>
      <c r="D12" s="168"/>
      <c r="E12" s="168"/>
      <c r="F12" s="169"/>
      <c r="G12" s="176"/>
      <c r="H12" s="177"/>
      <c r="I12" s="177"/>
      <c r="J12" s="177"/>
      <c r="K12" s="177"/>
      <c r="L12" s="177"/>
    </row>
    <row r="13" spans="1:12" ht="14.1" customHeight="1" x14ac:dyDescent="0.25">
      <c r="A13" s="7" t="s">
        <v>3</v>
      </c>
      <c r="B13" s="178">
        <f>SUM(B10:F12)</f>
        <v>0</v>
      </c>
      <c r="C13" s="178"/>
      <c r="D13" s="178"/>
      <c r="E13" s="178"/>
      <c r="F13" s="178"/>
      <c r="G13" s="174">
        <f>SUM(G10:L12)</f>
        <v>50000</v>
      </c>
      <c r="H13" s="175"/>
      <c r="I13" s="175"/>
      <c r="J13" s="175"/>
      <c r="K13" s="175"/>
      <c r="L13" s="179"/>
    </row>
    <row r="14" spans="1:12" ht="14.1" customHeight="1" x14ac:dyDescent="0.25">
      <c r="A14" s="8" t="s">
        <v>27</v>
      </c>
      <c r="B14" s="180">
        <f>SUM(G13-B13)</f>
        <v>50000</v>
      </c>
      <c r="C14" s="181"/>
      <c r="D14" s="181"/>
      <c r="E14" s="181"/>
      <c r="F14" s="181"/>
      <c r="G14" s="181"/>
      <c r="H14" s="181"/>
      <c r="I14" s="181"/>
      <c r="J14" s="181"/>
      <c r="K14" s="181"/>
      <c r="L14" s="182"/>
    </row>
    <row r="15" spans="1:12" ht="14.1" customHeight="1" x14ac:dyDescent="0.25">
      <c r="A15" s="189" t="s">
        <v>10</v>
      </c>
      <c r="B15" s="190"/>
      <c r="C15" s="190"/>
      <c r="D15" s="190"/>
      <c r="E15" s="190"/>
      <c r="F15" s="190"/>
      <c r="G15" s="190"/>
      <c r="H15" s="190"/>
      <c r="I15" s="190"/>
      <c r="J15" s="190"/>
      <c r="K15" s="190"/>
      <c r="L15" s="191"/>
    </row>
    <row r="16" spans="1:12" ht="14.1" customHeight="1" x14ac:dyDescent="0.25">
      <c r="A16" s="9"/>
      <c r="B16" s="186" t="s">
        <v>25</v>
      </c>
      <c r="C16" s="187"/>
      <c r="D16" s="187"/>
      <c r="E16" s="187"/>
      <c r="F16" s="188"/>
      <c r="G16" s="186" t="s">
        <v>26</v>
      </c>
      <c r="H16" s="187"/>
      <c r="I16" s="187"/>
      <c r="J16" s="187"/>
      <c r="K16" s="187"/>
      <c r="L16" s="188"/>
    </row>
    <row r="17" spans="1:12" ht="14.1" customHeight="1" x14ac:dyDescent="0.25">
      <c r="A17" s="4" t="s">
        <v>4</v>
      </c>
      <c r="B17" s="171"/>
      <c r="C17" s="172"/>
      <c r="D17" s="172"/>
      <c r="E17" s="172"/>
      <c r="F17" s="173"/>
      <c r="G17" s="174">
        <v>11254</v>
      </c>
      <c r="H17" s="175"/>
      <c r="I17" s="175"/>
      <c r="J17" s="175"/>
      <c r="K17" s="175"/>
      <c r="L17" s="175"/>
    </row>
    <row r="18" spans="1:12" ht="14.1" customHeight="1" x14ac:dyDescent="0.25">
      <c r="A18" s="4" t="s">
        <v>5</v>
      </c>
      <c r="B18" s="171"/>
      <c r="C18" s="172"/>
      <c r="D18" s="172"/>
      <c r="E18" s="172"/>
      <c r="F18" s="173"/>
      <c r="G18" s="174">
        <v>0</v>
      </c>
      <c r="H18" s="175"/>
      <c r="I18" s="175"/>
      <c r="J18" s="175"/>
      <c r="K18" s="175"/>
      <c r="L18" s="175"/>
    </row>
    <row r="19" spans="1:12" ht="14.1" customHeight="1" x14ac:dyDescent="0.25">
      <c r="A19" s="4" t="s">
        <v>6</v>
      </c>
      <c r="B19" s="171"/>
      <c r="C19" s="172"/>
      <c r="D19" s="172"/>
      <c r="E19" s="172"/>
      <c r="F19" s="173"/>
      <c r="G19" s="174"/>
      <c r="H19" s="175"/>
      <c r="I19" s="175"/>
      <c r="J19" s="175"/>
      <c r="K19" s="175"/>
      <c r="L19" s="175"/>
    </row>
    <row r="20" spans="1:12" ht="14.1" customHeight="1" x14ac:dyDescent="0.25">
      <c r="A20" s="4"/>
      <c r="B20" s="171"/>
      <c r="C20" s="172"/>
      <c r="D20" s="172"/>
      <c r="E20" s="172"/>
      <c r="F20" s="173"/>
      <c r="G20" s="174"/>
      <c r="H20" s="175"/>
      <c r="I20" s="175"/>
      <c r="J20" s="175"/>
      <c r="K20" s="175"/>
      <c r="L20" s="175"/>
    </row>
    <row r="21" spans="1:12" ht="14.1" customHeight="1" x14ac:dyDescent="0.25">
      <c r="A21" s="4"/>
      <c r="B21" s="171"/>
      <c r="C21" s="172"/>
      <c r="D21" s="172"/>
      <c r="E21" s="172"/>
      <c r="F21" s="173"/>
      <c r="G21" s="174"/>
      <c r="H21" s="175"/>
      <c r="I21" s="175"/>
      <c r="J21" s="175"/>
      <c r="K21" s="175"/>
      <c r="L21" s="175"/>
    </row>
    <row r="22" spans="1:12" ht="14.1" customHeight="1" x14ac:dyDescent="0.25">
      <c r="A22" s="4"/>
      <c r="B22" s="167"/>
      <c r="C22" s="168"/>
      <c r="D22" s="168"/>
      <c r="E22" s="168"/>
      <c r="F22" s="169"/>
      <c r="G22" s="176"/>
      <c r="H22" s="177"/>
      <c r="I22" s="177"/>
      <c r="J22" s="177"/>
      <c r="K22" s="177"/>
      <c r="L22" s="177"/>
    </row>
    <row r="23" spans="1:12" ht="14.1" customHeight="1" x14ac:dyDescent="0.25">
      <c r="A23" s="7" t="s">
        <v>3</v>
      </c>
      <c r="B23" s="178">
        <f>SUM(B17:F22)</f>
        <v>0</v>
      </c>
      <c r="C23" s="178"/>
      <c r="D23" s="178"/>
      <c r="E23" s="178"/>
      <c r="F23" s="178"/>
      <c r="G23" s="174">
        <f>SUM(G17:L22)</f>
        <v>11254</v>
      </c>
      <c r="H23" s="175"/>
      <c r="I23" s="175"/>
      <c r="J23" s="175"/>
      <c r="K23" s="175"/>
      <c r="L23" s="179"/>
    </row>
    <row r="24" spans="1:12" ht="14.1" customHeight="1" x14ac:dyDescent="0.25">
      <c r="A24" s="7" t="s">
        <v>27</v>
      </c>
      <c r="B24" s="195">
        <f>SUM(G23-B23)</f>
        <v>11254</v>
      </c>
      <c r="C24" s="195"/>
      <c r="D24" s="195"/>
      <c r="E24" s="195"/>
      <c r="F24" s="195"/>
      <c r="G24" s="195"/>
      <c r="H24" s="195"/>
      <c r="I24" s="195"/>
      <c r="J24" s="195"/>
      <c r="K24" s="195"/>
      <c r="L24" s="195"/>
    </row>
    <row r="25" spans="1:12" ht="14.1" customHeight="1" x14ac:dyDescent="0.25">
      <c r="A25" s="192" t="s">
        <v>9</v>
      </c>
      <c r="B25" s="193"/>
      <c r="C25" s="193"/>
      <c r="D25" s="193"/>
      <c r="E25" s="193"/>
      <c r="F25" s="193"/>
      <c r="G25" s="193"/>
      <c r="H25" s="193"/>
      <c r="I25" s="193"/>
      <c r="J25" s="193"/>
      <c r="K25" s="193"/>
      <c r="L25" s="194"/>
    </row>
    <row r="26" spans="1:12" ht="14.1" customHeight="1" x14ac:dyDescent="0.25">
      <c r="A26" s="4" t="s">
        <v>7</v>
      </c>
      <c r="B26" s="171"/>
      <c r="C26" s="172"/>
      <c r="D26" s="172"/>
      <c r="E26" s="172"/>
      <c r="F26" s="173"/>
      <c r="G26" s="174"/>
      <c r="H26" s="175"/>
      <c r="I26" s="175"/>
      <c r="J26" s="175"/>
      <c r="K26" s="175"/>
      <c r="L26" s="175"/>
    </row>
    <row r="27" spans="1:12" ht="14.1" customHeight="1" x14ac:dyDescent="0.25">
      <c r="A27" s="4" t="s">
        <v>8</v>
      </c>
      <c r="B27" s="171"/>
      <c r="C27" s="172"/>
      <c r="D27" s="172"/>
      <c r="E27" s="172"/>
      <c r="F27" s="173"/>
      <c r="G27" s="174"/>
      <c r="H27" s="175"/>
      <c r="I27" s="175"/>
      <c r="J27" s="175"/>
      <c r="K27" s="175"/>
      <c r="L27" s="175"/>
    </row>
    <row r="28" spans="1:12" ht="14.1" customHeight="1" x14ac:dyDescent="0.25">
      <c r="A28" s="4"/>
      <c r="B28" s="171"/>
      <c r="C28" s="172"/>
      <c r="D28" s="172"/>
      <c r="E28" s="172"/>
      <c r="F28" s="173"/>
      <c r="G28" s="174"/>
      <c r="H28" s="175"/>
      <c r="I28" s="175"/>
      <c r="J28" s="175"/>
      <c r="K28" s="175"/>
      <c r="L28" s="175"/>
    </row>
    <row r="29" spans="1:12" ht="14.1" customHeight="1" x14ac:dyDescent="0.25">
      <c r="A29" s="4"/>
      <c r="B29" s="171"/>
      <c r="C29" s="172"/>
      <c r="D29" s="172"/>
      <c r="E29" s="172"/>
      <c r="F29" s="173"/>
      <c r="G29" s="174"/>
      <c r="H29" s="175"/>
      <c r="I29" s="175"/>
      <c r="J29" s="175"/>
      <c r="K29" s="175"/>
      <c r="L29" s="175"/>
    </row>
    <row r="30" spans="1:12" ht="14.1" customHeight="1" x14ac:dyDescent="0.25">
      <c r="A30" s="4"/>
      <c r="B30" s="171"/>
      <c r="C30" s="172"/>
      <c r="D30" s="172"/>
      <c r="E30" s="172"/>
      <c r="F30" s="173"/>
      <c r="G30" s="174"/>
      <c r="H30" s="175"/>
      <c r="I30" s="175"/>
      <c r="J30" s="175"/>
      <c r="K30" s="175"/>
      <c r="L30" s="175"/>
    </row>
    <row r="31" spans="1:12" ht="14.1" customHeight="1" x14ac:dyDescent="0.25">
      <c r="A31" s="4"/>
      <c r="B31" s="167"/>
      <c r="C31" s="168"/>
      <c r="D31" s="168"/>
      <c r="E31" s="168"/>
      <c r="F31" s="169"/>
      <c r="G31" s="176"/>
      <c r="H31" s="177"/>
      <c r="I31" s="177"/>
      <c r="J31" s="177"/>
      <c r="K31" s="177"/>
      <c r="L31" s="177"/>
    </row>
    <row r="32" spans="1:12" ht="14.1" customHeight="1" x14ac:dyDescent="0.25">
      <c r="A32" s="7" t="s">
        <v>3</v>
      </c>
      <c r="B32" s="178">
        <f>SUM(B26:F31)</f>
        <v>0</v>
      </c>
      <c r="C32" s="178"/>
      <c r="D32" s="178"/>
      <c r="E32" s="178"/>
      <c r="F32" s="178"/>
      <c r="G32" s="174">
        <f>SUM(G26:L31)</f>
        <v>0</v>
      </c>
      <c r="H32" s="175"/>
      <c r="I32" s="175"/>
      <c r="J32" s="175"/>
      <c r="K32" s="175"/>
      <c r="L32" s="179"/>
    </row>
    <row r="33" spans="1:12" ht="14.1" customHeight="1" x14ac:dyDescent="0.25">
      <c r="A33" s="7" t="s">
        <v>27</v>
      </c>
      <c r="B33" s="195">
        <f>SUM(G32-B32)</f>
        <v>0</v>
      </c>
      <c r="C33" s="195"/>
      <c r="D33" s="195"/>
      <c r="E33" s="195"/>
      <c r="F33" s="195"/>
      <c r="G33" s="195"/>
      <c r="H33" s="195"/>
      <c r="I33" s="195"/>
      <c r="J33" s="195"/>
      <c r="K33" s="195"/>
      <c r="L33" s="195"/>
    </row>
  </sheetData>
  <mergeCells count="57">
    <mergeCell ref="B29:F29"/>
    <mergeCell ref="G29:L29"/>
    <mergeCell ref="B33:L33"/>
    <mergeCell ref="B30:F30"/>
    <mergeCell ref="G30:L30"/>
    <mergeCell ref="B31:F31"/>
    <mergeCell ref="G31:L31"/>
    <mergeCell ref="B32:F32"/>
    <mergeCell ref="G32:L32"/>
    <mergeCell ref="G21:L21"/>
    <mergeCell ref="B24:L24"/>
    <mergeCell ref="B27:F27"/>
    <mergeCell ref="G27:L27"/>
    <mergeCell ref="B28:F28"/>
    <mergeCell ref="G28:L28"/>
    <mergeCell ref="A15:L15"/>
    <mergeCell ref="G16:L16"/>
    <mergeCell ref="A25:L25"/>
    <mergeCell ref="B26:F26"/>
    <mergeCell ref="G26:L26"/>
    <mergeCell ref="B18:F18"/>
    <mergeCell ref="G18:L18"/>
    <mergeCell ref="B22:F22"/>
    <mergeCell ref="G22:L22"/>
    <mergeCell ref="B23:F23"/>
    <mergeCell ref="G23:L23"/>
    <mergeCell ref="B19:F19"/>
    <mergeCell ref="B20:F20"/>
    <mergeCell ref="B21:F21"/>
    <mergeCell ref="G19:L19"/>
    <mergeCell ref="G20:L20"/>
    <mergeCell ref="B17:F17"/>
    <mergeCell ref="B7:F7"/>
    <mergeCell ref="G7:L7"/>
    <mergeCell ref="B8:L8"/>
    <mergeCell ref="A9:L9"/>
    <mergeCell ref="G17:L17"/>
    <mergeCell ref="B10:F10"/>
    <mergeCell ref="G10:L10"/>
    <mergeCell ref="B11:F11"/>
    <mergeCell ref="G11:L11"/>
    <mergeCell ref="G13:L13"/>
    <mergeCell ref="B12:F12"/>
    <mergeCell ref="G12:L12"/>
    <mergeCell ref="B13:F13"/>
    <mergeCell ref="B14:L14"/>
    <mergeCell ref="B16:F16"/>
    <mergeCell ref="A1:L1"/>
    <mergeCell ref="G3:L3"/>
    <mergeCell ref="B6:F6"/>
    <mergeCell ref="A2:L2"/>
    <mergeCell ref="B3:F3"/>
    <mergeCell ref="B4:F4"/>
    <mergeCell ref="G4:L4"/>
    <mergeCell ref="B5:F5"/>
    <mergeCell ref="G5:L5"/>
    <mergeCell ref="G6:L6"/>
  </mergeCells>
  <pageMargins left="0.7" right="0.7" top="0.75" bottom="0.75" header="0.3" footer="0.3"/>
  <pageSetup paperSize="9" orientation="landscape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H26"/>
  <sheetViews>
    <sheetView workbookViewId="0">
      <selection activeCell="J16" sqref="J16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53" t="s">
        <v>30</v>
      </c>
      <c r="B1" s="153"/>
      <c r="C1" s="153"/>
      <c r="D1" s="153"/>
      <c r="E1" s="153"/>
      <c r="F1" s="153"/>
      <c r="G1" s="153"/>
      <c r="H1" s="153"/>
    </row>
    <row r="2" spans="1:8" ht="15" customHeight="1" x14ac:dyDescent="0.25">
      <c r="A2" s="135" t="s">
        <v>12</v>
      </c>
      <c r="B2" s="135"/>
      <c r="C2" s="135"/>
      <c r="D2" s="135"/>
      <c r="E2" s="135"/>
      <c r="F2" s="135"/>
      <c r="G2" s="135"/>
      <c r="H2" s="135"/>
    </row>
    <row r="3" spans="1:8" ht="15" customHeight="1" x14ac:dyDescent="0.25">
      <c r="A3" s="10"/>
      <c r="B3" s="137" t="s">
        <v>25</v>
      </c>
      <c r="C3" s="138"/>
      <c r="D3" s="139"/>
      <c r="E3" s="137" t="s">
        <v>26</v>
      </c>
      <c r="F3" s="138"/>
      <c r="G3" s="138"/>
      <c r="H3" s="139"/>
    </row>
    <row r="4" spans="1:8" ht="15" customHeight="1" x14ac:dyDescent="0.25">
      <c r="A4" s="1" t="s">
        <v>14</v>
      </c>
      <c r="B4" s="132"/>
      <c r="C4" s="133"/>
      <c r="D4" s="134"/>
      <c r="E4" s="132">
        <v>0</v>
      </c>
      <c r="F4" s="133"/>
      <c r="G4" s="133"/>
      <c r="H4" s="134"/>
    </row>
    <row r="5" spans="1:8" ht="15" customHeight="1" x14ac:dyDescent="0.25">
      <c r="A5" s="1" t="s">
        <v>15</v>
      </c>
      <c r="B5" s="132"/>
      <c r="C5" s="133"/>
      <c r="D5" s="134"/>
      <c r="E5" s="132"/>
      <c r="F5" s="133"/>
      <c r="G5" s="133"/>
      <c r="H5" s="134"/>
    </row>
    <row r="6" spans="1:8" ht="15" customHeight="1" x14ac:dyDescent="0.25">
      <c r="A6" s="1" t="s">
        <v>11</v>
      </c>
      <c r="B6" s="132"/>
      <c r="C6" s="133"/>
      <c r="D6" s="134"/>
      <c r="E6" s="132">
        <v>800</v>
      </c>
      <c r="F6" s="133"/>
      <c r="G6" s="133"/>
      <c r="H6" s="134"/>
    </row>
    <row r="7" spans="1:8" ht="15" customHeight="1" x14ac:dyDescent="0.25">
      <c r="A7" s="1" t="s">
        <v>16</v>
      </c>
      <c r="B7" s="132"/>
      <c r="C7" s="133"/>
      <c r="D7" s="134"/>
      <c r="E7" s="132"/>
      <c r="F7" s="133"/>
      <c r="G7" s="133"/>
      <c r="H7" s="134"/>
    </row>
    <row r="8" spans="1:8" ht="15" customHeight="1" x14ac:dyDescent="0.25">
      <c r="A8" s="1" t="s">
        <v>17</v>
      </c>
      <c r="B8" s="132"/>
      <c r="C8" s="133"/>
      <c r="D8" s="134"/>
      <c r="E8" s="132">
        <v>9.99</v>
      </c>
      <c r="F8" s="133"/>
      <c r="G8" s="133"/>
      <c r="H8" s="134"/>
    </row>
    <row r="9" spans="1:8" ht="15" customHeight="1" x14ac:dyDescent="0.25">
      <c r="A9" s="1" t="s">
        <v>31</v>
      </c>
      <c r="B9" s="132"/>
      <c r="C9" s="133"/>
      <c r="D9" s="134"/>
      <c r="E9" s="132">
        <v>1200</v>
      </c>
      <c r="F9" s="133"/>
      <c r="G9" s="133"/>
      <c r="H9" s="134"/>
    </row>
    <row r="10" spans="1:8" ht="15" customHeight="1" x14ac:dyDescent="0.25">
      <c r="A10" s="1" t="s">
        <v>18</v>
      </c>
      <c r="B10" s="132"/>
      <c r="C10" s="133"/>
      <c r="D10" s="134"/>
      <c r="E10" s="132">
        <v>800</v>
      </c>
      <c r="F10" s="133"/>
      <c r="G10" s="133"/>
      <c r="H10" s="134"/>
    </row>
    <row r="11" spans="1:8" ht="15.75" x14ac:dyDescent="0.25">
      <c r="A11" s="3" t="s">
        <v>19</v>
      </c>
      <c r="B11" s="132"/>
      <c r="C11" s="133"/>
      <c r="D11" s="134"/>
      <c r="E11" s="132">
        <v>1000</v>
      </c>
      <c r="F11" s="133"/>
      <c r="G11" s="133"/>
      <c r="H11" s="134"/>
    </row>
    <row r="12" spans="1:8" ht="15.75" x14ac:dyDescent="0.25">
      <c r="A12" s="3" t="s">
        <v>32</v>
      </c>
      <c r="B12" s="132"/>
      <c r="C12" s="133"/>
      <c r="D12" s="134"/>
      <c r="E12" s="132">
        <v>580</v>
      </c>
      <c r="F12" s="133"/>
      <c r="G12" s="133"/>
      <c r="H12" s="134"/>
    </row>
    <row r="13" spans="1:8" ht="15.75" x14ac:dyDescent="0.25">
      <c r="A13" s="3" t="s">
        <v>20</v>
      </c>
      <c r="B13" s="132"/>
      <c r="C13" s="133"/>
      <c r="D13" s="134"/>
      <c r="E13" s="132"/>
      <c r="F13" s="133"/>
      <c r="G13" s="133"/>
      <c r="H13" s="134"/>
    </row>
    <row r="14" spans="1:8" ht="15.75" x14ac:dyDescent="0.25">
      <c r="A14" s="3" t="s">
        <v>21</v>
      </c>
      <c r="B14" s="132"/>
      <c r="C14" s="133"/>
      <c r="D14" s="134"/>
      <c r="E14" s="130"/>
      <c r="F14" s="130"/>
      <c r="G14" s="130"/>
      <c r="H14" s="130"/>
    </row>
    <row r="15" spans="1:8" ht="15.75" x14ac:dyDescent="0.25">
      <c r="A15" s="3" t="s">
        <v>39</v>
      </c>
      <c r="B15" s="132"/>
      <c r="C15" s="133"/>
      <c r="D15" s="134"/>
      <c r="E15" s="130"/>
      <c r="F15" s="130"/>
      <c r="G15" s="130"/>
      <c r="H15" s="130"/>
    </row>
    <row r="16" spans="1:8" ht="15.75" x14ac:dyDescent="0.25">
      <c r="A16" s="3" t="s">
        <v>40</v>
      </c>
      <c r="B16" s="132"/>
      <c r="C16" s="133"/>
      <c r="D16" s="134"/>
      <c r="E16" s="130"/>
      <c r="F16" s="130"/>
      <c r="G16" s="130"/>
      <c r="H16" s="130"/>
    </row>
    <row r="17" spans="1:8" ht="15.75" x14ac:dyDescent="0.25">
      <c r="A17" s="3" t="s">
        <v>41</v>
      </c>
      <c r="B17" s="132"/>
      <c r="C17" s="133"/>
      <c r="D17" s="134"/>
      <c r="E17" s="130"/>
      <c r="F17" s="130"/>
      <c r="G17" s="130"/>
      <c r="H17" s="130"/>
    </row>
    <row r="18" spans="1:8" ht="15.75" x14ac:dyDescent="0.25">
      <c r="A18" s="3" t="s">
        <v>42</v>
      </c>
      <c r="B18" s="132"/>
      <c r="C18" s="133"/>
      <c r="D18" s="134"/>
      <c r="E18" s="130"/>
      <c r="F18" s="130"/>
      <c r="G18" s="130"/>
      <c r="H18" s="130"/>
    </row>
    <row r="19" spans="1:8" ht="15.75" x14ac:dyDescent="0.25">
      <c r="A19" s="3"/>
      <c r="B19" s="132"/>
      <c r="C19" s="133"/>
      <c r="D19" s="134"/>
      <c r="E19" s="130"/>
      <c r="F19" s="130"/>
      <c r="G19" s="130"/>
      <c r="H19" s="130"/>
    </row>
    <row r="20" spans="1:8" ht="15.75" x14ac:dyDescent="0.25">
      <c r="A20" s="3"/>
      <c r="B20" s="132"/>
      <c r="C20" s="133"/>
      <c r="D20" s="134"/>
      <c r="E20" s="130"/>
      <c r="F20" s="130"/>
      <c r="G20" s="130"/>
      <c r="H20" s="130"/>
    </row>
    <row r="21" spans="1:8" ht="15.75" x14ac:dyDescent="0.25">
      <c r="A21" s="3"/>
      <c r="B21" s="132"/>
      <c r="C21" s="133"/>
      <c r="D21" s="134"/>
      <c r="E21" s="130"/>
      <c r="F21" s="130"/>
      <c r="G21" s="130"/>
      <c r="H21" s="130"/>
    </row>
    <row r="22" spans="1:8" ht="15.75" x14ac:dyDescent="0.25">
      <c r="A22" s="3"/>
      <c r="B22" s="132"/>
      <c r="C22" s="133"/>
      <c r="D22" s="134"/>
      <c r="E22" s="130"/>
      <c r="F22" s="130"/>
      <c r="G22" s="130"/>
      <c r="H22" s="130"/>
    </row>
    <row r="23" spans="1:8" ht="15.75" x14ac:dyDescent="0.25">
      <c r="A23" s="3"/>
      <c r="B23" s="132"/>
      <c r="C23" s="133"/>
      <c r="D23" s="134"/>
      <c r="E23" s="130"/>
      <c r="F23" s="130"/>
      <c r="G23" s="130"/>
      <c r="H23" s="130"/>
    </row>
    <row r="24" spans="1:8" ht="15.75" x14ac:dyDescent="0.25">
      <c r="A24" s="3"/>
      <c r="B24" s="132"/>
      <c r="C24" s="133"/>
      <c r="D24" s="134"/>
      <c r="E24" s="130"/>
      <c r="F24" s="130"/>
      <c r="G24" s="130"/>
      <c r="H24" s="130"/>
    </row>
    <row r="25" spans="1:8" ht="15.75" x14ac:dyDescent="0.25">
      <c r="A25" s="5" t="s">
        <v>3</v>
      </c>
      <c r="B25" s="132">
        <f>SUM(B4:D24)</f>
        <v>0</v>
      </c>
      <c r="C25" s="133"/>
      <c r="D25" s="134"/>
      <c r="E25" s="130">
        <f>SUM(E4:H24)</f>
        <v>4389.99</v>
      </c>
      <c r="F25" s="130"/>
      <c r="G25" s="130"/>
      <c r="H25" s="130"/>
    </row>
    <row r="26" spans="1:8" x14ac:dyDescent="0.25">
      <c r="A26" s="2" t="s">
        <v>27</v>
      </c>
      <c r="B26" s="130">
        <f>SUM(E25-B25)</f>
        <v>4389.99</v>
      </c>
      <c r="C26" s="130"/>
      <c r="D26" s="130"/>
      <c r="E26" s="130"/>
      <c r="F26" s="130"/>
      <c r="G26" s="130"/>
      <c r="H26" s="130"/>
    </row>
  </sheetData>
  <mergeCells count="49">
    <mergeCell ref="E24:H24"/>
    <mergeCell ref="E25:H25"/>
    <mergeCell ref="B24:D24"/>
    <mergeCell ref="B25:D25"/>
    <mergeCell ref="B23:D23"/>
    <mergeCell ref="E20:H20"/>
    <mergeCell ref="E21:H21"/>
    <mergeCell ref="E22:H22"/>
    <mergeCell ref="E23:H23"/>
    <mergeCell ref="B12:D12"/>
    <mergeCell ref="B13:D13"/>
    <mergeCell ref="B14:D14"/>
    <mergeCell ref="B20:D20"/>
    <mergeCell ref="B21:D21"/>
    <mergeCell ref="B22:D22"/>
    <mergeCell ref="E15:H15"/>
    <mergeCell ref="E16:H16"/>
    <mergeCell ref="E17:H17"/>
    <mergeCell ref="E18:H18"/>
    <mergeCell ref="E19:H19"/>
    <mergeCell ref="E11:H11"/>
    <mergeCell ref="E12:H12"/>
    <mergeCell ref="E13:H13"/>
    <mergeCell ref="E14:H14"/>
    <mergeCell ref="E7:H7"/>
    <mergeCell ref="E8:H8"/>
    <mergeCell ref="E9:H9"/>
    <mergeCell ref="E10:H10"/>
    <mergeCell ref="A1:H1"/>
    <mergeCell ref="B11:D11"/>
    <mergeCell ref="B26:H26"/>
    <mergeCell ref="B3:D3"/>
    <mergeCell ref="E3:H3"/>
    <mergeCell ref="B4:D4"/>
    <mergeCell ref="E4:H4"/>
    <mergeCell ref="B5:D5"/>
    <mergeCell ref="B6:D6"/>
    <mergeCell ref="B7:D7"/>
    <mergeCell ref="B8:D8"/>
    <mergeCell ref="B16:D16"/>
    <mergeCell ref="B17:D17"/>
    <mergeCell ref="B18:D18"/>
    <mergeCell ref="B19:D19"/>
    <mergeCell ref="B15:D15"/>
    <mergeCell ref="A2:H2"/>
    <mergeCell ref="B9:D9"/>
    <mergeCell ref="B10:D10"/>
    <mergeCell ref="E5:H5"/>
    <mergeCell ref="E6:H6"/>
  </mergeCells>
  <pageMargins left="0.7" right="0.7" top="0.75" bottom="0.75" header="0.3" footer="0.3"/>
  <pageSetup paperSize="9" orientation="landscape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H26"/>
  <sheetViews>
    <sheetView workbookViewId="0">
      <selection activeCell="A4" sqref="A4:A21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53" t="s">
        <v>30</v>
      </c>
      <c r="B1" s="153"/>
      <c r="C1" s="153"/>
      <c r="D1" s="153"/>
      <c r="E1" s="153"/>
      <c r="F1" s="153"/>
      <c r="G1" s="153"/>
      <c r="H1" s="153"/>
    </row>
    <row r="2" spans="1:8" ht="15" customHeight="1" x14ac:dyDescent="0.25">
      <c r="A2" s="135" t="s">
        <v>33</v>
      </c>
      <c r="B2" s="135"/>
      <c r="C2" s="135"/>
      <c r="D2" s="135"/>
      <c r="E2" s="135"/>
      <c r="F2" s="135"/>
      <c r="G2" s="135"/>
      <c r="H2" s="135"/>
    </row>
    <row r="3" spans="1:8" ht="15" customHeight="1" x14ac:dyDescent="0.25">
      <c r="A3" s="10"/>
      <c r="B3" s="137" t="s">
        <v>25</v>
      </c>
      <c r="C3" s="138"/>
      <c r="D3" s="139"/>
      <c r="E3" s="137" t="s">
        <v>26</v>
      </c>
      <c r="F3" s="138"/>
      <c r="G3" s="138"/>
      <c r="H3" s="139"/>
    </row>
    <row r="4" spans="1:8" ht="15" customHeight="1" x14ac:dyDescent="0.25">
      <c r="A4" s="12" t="s">
        <v>34</v>
      </c>
      <c r="B4" s="132"/>
      <c r="C4" s="133"/>
      <c r="D4" s="134"/>
      <c r="E4" s="132"/>
      <c r="F4" s="133"/>
      <c r="G4" s="133"/>
      <c r="H4" s="134"/>
    </row>
    <row r="5" spans="1:8" ht="15" customHeight="1" x14ac:dyDescent="0.25">
      <c r="A5" s="12" t="s">
        <v>11</v>
      </c>
      <c r="B5" s="132"/>
      <c r="C5" s="133"/>
      <c r="D5" s="134"/>
      <c r="E5" s="132"/>
      <c r="F5" s="133"/>
      <c r="G5" s="133"/>
      <c r="H5" s="134"/>
    </row>
    <row r="6" spans="1:8" ht="15" customHeight="1" x14ac:dyDescent="0.25">
      <c r="A6" s="12" t="s">
        <v>35</v>
      </c>
      <c r="B6" s="132"/>
      <c r="C6" s="133"/>
      <c r="D6" s="134"/>
      <c r="E6" s="132">
        <v>39.99</v>
      </c>
      <c r="F6" s="133"/>
      <c r="G6" s="133"/>
      <c r="H6" s="134"/>
    </row>
    <row r="7" spans="1:8" ht="15" customHeight="1" x14ac:dyDescent="0.25">
      <c r="A7" s="12" t="s">
        <v>16</v>
      </c>
      <c r="B7" s="132"/>
      <c r="C7" s="133"/>
      <c r="D7" s="134"/>
      <c r="E7" s="132">
        <v>250</v>
      </c>
      <c r="F7" s="133"/>
      <c r="G7" s="133"/>
      <c r="H7" s="134"/>
    </row>
    <row r="8" spans="1:8" ht="15" customHeight="1" x14ac:dyDescent="0.25">
      <c r="A8" s="12" t="s">
        <v>44</v>
      </c>
      <c r="B8" s="132"/>
      <c r="C8" s="133"/>
      <c r="D8" s="134"/>
      <c r="E8" s="132">
        <v>400</v>
      </c>
      <c r="F8" s="133"/>
      <c r="G8" s="133"/>
      <c r="H8" s="134"/>
    </row>
    <row r="9" spans="1:8" ht="15" customHeight="1" x14ac:dyDescent="0.25">
      <c r="A9" s="12" t="s">
        <v>36</v>
      </c>
      <c r="B9" s="132"/>
      <c r="C9" s="133"/>
      <c r="D9" s="134"/>
      <c r="E9" s="132">
        <v>600</v>
      </c>
      <c r="F9" s="133"/>
      <c r="G9" s="133"/>
      <c r="H9" s="134"/>
    </row>
    <row r="10" spans="1:8" ht="15" customHeight="1" x14ac:dyDescent="0.25">
      <c r="A10" s="12" t="s">
        <v>22</v>
      </c>
      <c r="B10" s="132"/>
      <c r="C10" s="133"/>
      <c r="D10" s="134"/>
      <c r="E10" s="132">
        <v>800</v>
      </c>
      <c r="F10" s="133"/>
      <c r="G10" s="133"/>
      <c r="H10" s="134"/>
    </row>
    <row r="11" spans="1:8" ht="15.75" x14ac:dyDescent="0.25">
      <c r="A11" s="11" t="s">
        <v>32</v>
      </c>
      <c r="B11" s="132"/>
      <c r="C11" s="133"/>
      <c r="D11" s="134"/>
      <c r="E11" s="132">
        <v>200</v>
      </c>
      <c r="F11" s="133"/>
      <c r="G11" s="133"/>
      <c r="H11" s="134"/>
    </row>
    <row r="12" spans="1:8" ht="15.75" x14ac:dyDescent="0.25">
      <c r="A12" s="11" t="s">
        <v>20</v>
      </c>
      <c r="B12" s="132"/>
      <c r="C12" s="133"/>
      <c r="D12" s="134"/>
      <c r="E12" s="132"/>
      <c r="F12" s="133"/>
      <c r="G12" s="133"/>
      <c r="H12" s="134"/>
    </row>
    <row r="13" spans="1:8" ht="15.75" x14ac:dyDescent="0.25">
      <c r="A13" s="11" t="s">
        <v>37</v>
      </c>
      <c r="B13" s="132"/>
      <c r="C13" s="133"/>
      <c r="D13" s="134"/>
      <c r="E13" s="132"/>
      <c r="F13" s="133"/>
      <c r="G13" s="133"/>
      <c r="H13" s="134"/>
    </row>
    <row r="14" spans="1:8" ht="15.75" x14ac:dyDescent="0.25">
      <c r="A14" s="11" t="s">
        <v>38</v>
      </c>
      <c r="B14" s="132"/>
      <c r="C14" s="133"/>
      <c r="D14" s="134"/>
      <c r="E14" s="130"/>
      <c r="F14" s="130"/>
      <c r="G14" s="130"/>
      <c r="H14" s="130"/>
    </row>
    <row r="15" spans="1:8" ht="15.75" x14ac:dyDescent="0.25">
      <c r="A15" s="3" t="s">
        <v>43</v>
      </c>
      <c r="B15" s="132"/>
      <c r="C15" s="133"/>
      <c r="D15" s="134"/>
      <c r="E15" s="130"/>
      <c r="F15" s="130"/>
      <c r="G15" s="130"/>
      <c r="H15" s="130"/>
    </row>
    <row r="16" spans="1:8" ht="15.75" x14ac:dyDescent="0.25">
      <c r="A16" s="11" t="s">
        <v>45</v>
      </c>
      <c r="B16" s="132"/>
      <c r="C16" s="133"/>
      <c r="D16" s="134"/>
      <c r="E16" s="130"/>
      <c r="F16" s="130"/>
      <c r="G16" s="130"/>
      <c r="H16" s="130"/>
    </row>
    <row r="17" spans="1:8" ht="15.75" x14ac:dyDescent="0.25">
      <c r="A17" s="3" t="s">
        <v>46</v>
      </c>
      <c r="B17" s="132"/>
      <c r="C17" s="133"/>
      <c r="D17" s="134"/>
      <c r="E17" s="130"/>
      <c r="F17" s="130"/>
      <c r="G17" s="130"/>
      <c r="H17" s="130"/>
    </row>
    <row r="18" spans="1:8" ht="15.75" x14ac:dyDescent="0.25">
      <c r="A18" s="3" t="s">
        <v>93</v>
      </c>
      <c r="B18" s="132"/>
      <c r="C18" s="133"/>
      <c r="D18" s="134"/>
      <c r="E18" s="130">
        <v>135.08000000000001</v>
      </c>
      <c r="F18" s="130"/>
      <c r="G18" s="130"/>
      <c r="H18" s="130"/>
    </row>
    <row r="19" spans="1:8" ht="15.75" x14ac:dyDescent="0.25">
      <c r="A19" s="3" t="s">
        <v>94</v>
      </c>
      <c r="B19" s="132"/>
      <c r="C19" s="133"/>
      <c r="D19" s="134"/>
      <c r="E19" s="130">
        <v>67.540000000000006</v>
      </c>
      <c r="F19" s="130"/>
      <c r="G19" s="130"/>
      <c r="H19" s="130"/>
    </row>
    <row r="20" spans="1:8" ht="15.75" x14ac:dyDescent="0.25">
      <c r="A20" s="3" t="s">
        <v>95</v>
      </c>
      <c r="B20" s="132"/>
      <c r="C20" s="133"/>
      <c r="D20" s="134"/>
      <c r="E20" s="130">
        <v>104.86</v>
      </c>
      <c r="F20" s="130"/>
      <c r="G20" s="130"/>
      <c r="H20" s="130"/>
    </row>
    <row r="21" spans="1:8" ht="15.75" x14ac:dyDescent="0.25">
      <c r="A21" s="3" t="s">
        <v>96</v>
      </c>
      <c r="B21" s="132"/>
      <c r="C21" s="133"/>
      <c r="D21" s="134"/>
      <c r="E21" s="130">
        <v>50.99</v>
      </c>
      <c r="F21" s="130"/>
      <c r="G21" s="130"/>
      <c r="H21" s="130"/>
    </row>
    <row r="22" spans="1:8" ht="15.75" x14ac:dyDescent="0.25">
      <c r="A22" s="3"/>
      <c r="B22" s="132"/>
      <c r="C22" s="133"/>
      <c r="D22" s="134"/>
      <c r="E22" s="130"/>
      <c r="F22" s="130"/>
      <c r="G22" s="130"/>
      <c r="H22" s="130"/>
    </row>
    <row r="23" spans="1:8" ht="15.75" x14ac:dyDescent="0.25">
      <c r="A23" s="3"/>
      <c r="B23" s="132"/>
      <c r="C23" s="133"/>
      <c r="D23" s="134"/>
      <c r="E23" s="130"/>
      <c r="F23" s="130"/>
      <c r="G23" s="130"/>
      <c r="H23" s="130"/>
    </row>
    <row r="24" spans="1:8" ht="15.75" x14ac:dyDescent="0.25">
      <c r="A24" s="3"/>
      <c r="B24" s="132"/>
      <c r="C24" s="133"/>
      <c r="D24" s="134"/>
      <c r="E24" s="130"/>
      <c r="F24" s="130"/>
      <c r="G24" s="130"/>
      <c r="H24" s="130"/>
    </row>
    <row r="25" spans="1:8" ht="15.75" x14ac:dyDescent="0.25">
      <c r="A25" s="5" t="s">
        <v>3</v>
      </c>
      <c r="B25" s="132">
        <f>SUM(B4:D24)</f>
        <v>0</v>
      </c>
      <c r="C25" s="133"/>
      <c r="D25" s="134"/>
      <c r="E25" s="130">
        <f>SUM(E4:H24)</f>
        <v>2648.4599999999996</v>
      </c>
      <c r="F25" s="130"/>
      <c r="G25" s="130"/>
      <c r="H25" s="130"/>
    </row>
    <row r="26" spans="1:8" x14ac:dyDescent="0.25">
      <c r="A26" s="2" t="s">
        <v>27</v>
      </c>
      <c r="B26" s="130">
        <f>SUM(E25-B25)</f>
        <v>2648.4599999999996</v>
      </c>
      <c r="C26" s="130"/>
      <c r="D26" s="130"/>
      <c r="E26" s="130"/>
      <c r="F26" s="130"/>
      <c r="G26" s="130"/>
      <c r="H26" s="130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H26"/>
  <sheetViews>
    <sheetView workbookViewId="0">
      <selection activeCell="E5" sqref="E5:H5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53" t="s">
        <v>30</v>
      </c>
      <c r="B1" s="153"/>
      <c r="C1" s="153"/>
      <c r="D1" s="153"/>
      <c r="E1" s="153"/>
      <c r="F1" s="153"/>
      <c r="G1" s="153"/>
      <c r="H1" s="153"/>
    </row>
    <row r="2" spans="1:8" ht="15" customHeight="1" x14ac:dyDescent="0.25">
      <c r="A2" s="135" t="s">
        <v>47</v>
      </c>
      <c r="B2" s="135"/>
      <c r="C2" s="135"/>
      <c r="D2" s="135"/>
      <c r="E2" s="135"/>
      <c r="F2" s="135"/>
      <c r="G2" s="135"/>
      <c r="H2" s="135"/>
    </row>
    <row r="3" spans="1:8" ht="15" customHeight="1" x14ac:dyDescent="0.25">
      <c r="A3" s="10"/>
      <c r="B3" s="137" t="s">
        <v>25</v>
      </c>
      <c r="C3" s="138"/>
      <c r="D3" s="139"/>
      <c r="E3" s="137" t="s">
        <v>26</v>
      </c>
      <c r="F3" s="138"/>
      <c r="G3" s="138"/>
      <c r="H3" s="139"/>
    </row>
    <row r="4" spans="1:8" ht="15" customHeight="1" x14ac:dyDescent="0.25">
      <c r="A4" s="1" t="s">
        <v>23</v>
      </c>
      <c r="B4" s="132"/>
      <c r="C4" s="133"/>
      <c r="D4" s="134"/>
      <c r="E4" s="132">
        <v>680</v>
      </c>
      <c r="F4" s="133"/>
      <c r="G4" s="133"/>
      <c r="H4" s="134"/>
    </row>
    <row r="5" spans="1:8" ht="15" customHeight="1" x14ac:dyDescent="0.25">
      <c r="A5" s="1"/>
      <c r="B5" s="132"/>
      <c r="C5" s="133"/>
      <c r="D5" s="134"/>
      <c r="E5" s="132"/>
      <c r="F5" s="133"/>
      <c r="G5" s="133"/>
      <c r="H5" s="134"/>
    </row>
    <row r="6" spans="1:8" ht="15" customHeight="1" x14ac:dyDescent="0.25">
      <c r="A6" s="1"/>
      <c r="B6" s="132"/>
      <c r="C6" s="133"/>
      <c r="D6" s="134"/>
      <c r="E6" s="132"/>
      <c r="F6" s="133"/>
      <c r="G6" s="133"/>
      <c r="H6" s="134"/>
    </row>
    <row r="7" spans="1:8" ht="15" customHeight="1" x14ac:dyDescent="0.25">
      <c r="A7" s="1"/>
      <c r="B7" s="132"/>
      <c r="C7" s="133"/>
      <c r="D7" s="134"/>
      <c r="E7" s="132"/>
      <c r="F7" s="133"/>
      <c r="G7" s="133"/>
      <c r="H7" s="134"/>
    </row>
    <row r="8" spans="1:8" ht="15" customHeight="1" x14ac:dyDescent="0.25">
      <c r="A8" s="1"/>
      <c r="B8" s="132"/>
      <c r="C8" s="133"/>
      <c r="D8" s="134"/>
      <c r="E8" s="132"/>
      <c r="F8" s="133"/>
      <c r="G8" s="133"/>
      <c r="H8" s="134"/>
    </row>
    <row r="9" spans="1:8" ht="15" customHeight="1" x14ac:dyDescent="0.25">
      <c r="A9" s="1"/>
      <c r="B9" s="132"/>
      <c r="C9" s="133"/>
      <c r="D9" s="134"/>
      <c r="E9" s="132"/>
      <c r="F9" s="133"/>
      <c r="G9" s="133"/>
      <c r="H9" s="134"/>
    </row>
    <row r="10" spans="1:8" ht="15" customHeight="1" x14ac:dyDescent="0.25">
      <c r="A10" s="1"/>
      <c r="B10" s="132"/>
      <c r="C10" s="133"/>
      <c r="D10" s="134"/>
      <c r="E10" s="132"/>
      <c r="F10" s="133"/>
      <c r="G10" s="133"/>
      <c r="H10" s="134"/>
    </row>
    <row r="11" spans="1:8" ht="15.75" x14ac:dyDescent="0.25">
      <c r="A11" s="3"/>
      <c r="B11" s="132"/>
      <c r="C11" s="133"/>
      <c r="D11" s="134"/>
      <c r="E11" s="132"/>
      <c r="F11" s="133"/>
      <c r="G11" s="133"/>
      <c r="H11" s="134"/>
    </row>
    <row r="12" spans="1:8" ht="15.75" x14ac:dyDescent="0.25">
      <c r="A12" s="3"/>
      <c r="B12" s="132"/>
      <c r="C12" s="133"/>
      <c r="D12" s="134"/>
      <c r="E12" s="132"/>
      <c r="F12" s="133"/>
      <c r="G12" s="133"/>
      <c r="H12" s="134"/>
    </row>
    <row r="13" spans="1:8" ht="15.75" x14ac:dyDescent="0.25">
      <c r="A13" s="3"/>
      <c r="B13" s="132"/>
      <c r="C13" s="133"/>
      <c r="D13" s="134"/>
      <c r="E13" s="132"/>
      <c r="F13" s="133"/>
      <c r="G13" s="133"/>
      <c r="H13" s="134"/>
    </row>
    <row r="14" spans="1:8" ht="15.75" x14ac:dyDescent="0.25">
      <c r="A14" s="3"/>
      <c r="B14" s="132"/>
      <c r="C14" s="133"/>
      <c r="D14" s="134"/>
      <c r="E14" s="130"/>
      <c r="F14" s="130"/>
      <c r="G14" s="130"/>
      <c r="H14" s="130"/>
    </row>
    <row r="15" spans="1:8" ht="15.75" x14ac:dyDescent="0.25">
      <c r="A15" s="3"/>
      <c r="B15" s="132"/>
      <c r="C15" s="133"/>
      <c r="D15" s="134"/>
      <c r="E15" s="130"/>
      <c r="F15" s="130"/>
      <c r="G15" s="130"/>
      <c r="H15" s="130"/>
    </row>
    <row r="16" spans="1:8" ht="15.75" x14ac:dyDescent="0.25">
      <c r="A16" s="3"/>
      <c r="B16" s="132"/>
      <c r="C16" s="133"/>
      <c r="D16" s="134"/>
      <c r="E16" s="130"/>
      <c r="F16" s="130"/>
      <c r="G16" s="130"/>
      <c r="H16" s="130"/>
    </row>
    <row r="17" spans="1:8" ht="15.75" x14ac:dyDescent="0.25">
      <c r="A17" s="3"/>
      <c r="B17" s="132"/>
      <c r="C17" s="133"/>
      <c r="D17" s="134"/>
      <c r="E17" s="130"/>
      <c r="F17" s="130"/>
      <c r="G17" s="130"/>
      <c r="H17" s="130"/>
    </row>
    <row r="18" spans="1:8" ht="15.75" x14ac:dyDescent="0.25">
      <c r="A18" s="3"/>
      <c r="B18" s="132"/>
      <c r="C18" s="133"/>
      <c r="D18" s="134"/>
      <c r="E18" s="130"/>
      <c r="F18" s="130"/>
      <c r="G18" s="130"/>
      <c r="H18" s="130"/>
    </row>
    <row r="19" spans="1:8" ht="15.75" x14ac:dyDescent="0.25">
      <c r="A19" s="3"/>
      <c r="B19" s="132"/>
      <c r="C19" s="133"/>
      <c r="D19" s="134"/>
      <c r="E19" s="130"/>
      <c r="F19" s="130"/>
      <c r="G19" s="130"/>
      <c r="H19" s="130"/>
    </row>
    <row r="20" spans="1:8" ht="15.75" x14ac:dyDescent="0.25">
      <c r="A20" s="3"/>
      <c r="B20" s="132"/>
      <c r="C20" s="133"/>
      <c r="D20" s="134"/>
      <c r="E20" s="130"/>
      <c r="F20" s="130"/>
      <c r="G20" s="130"/>
      <c r="H20" s="130"/>
    </row>
    <row r="21" spans="1:8" ht="15.75" x14ac:dyDescent="0.25">
      <c r="A21" s="3"/>
      <c r="B21" s="132"/>
      <c r="C21" s="133"/>
      <c r="D21" s="134"/>
      <c r="E21" s="130"/>
      <c r="F21" s="130"/>
      <c r="G21" s="130"/>
      <c r="H21" s="130"/>
    </row>
    <row r="22" spans="1:8" ht="15.75" x14ac:dyDescent="0.25">
      <c r="A22" s="3"/>
      <c r="B22" s="132"/>
      <c r="C22" s="133"/>
      <c r="D22" s="134"/>
      <c r="E22" s="130"/>
      <c r="F22" s="130"/>
      <c r="G22" s="130"/>
      <c r="H22" s="130"/>
    </row>
    <row r="23" spans="1:8" ht="15.75" x14ac:dyDescent="0.25">
      <c r="A23" s="3"/>
      <c r="B23" s="132"/>
      <c r="C23" s="133"/>
      <c r="D23" s="134"/>
      <c r="E23" s="130"/>
      <c r="F23" s="130"/>
      <c r="G23" s="130"/>
      <c r="H23" s="130"/>
    </row>
    <row r="24" spans="1:8" ht="15.75" x14ac:dyDescent="0.25">
      <c r="A24" s="3"/>
      <c r="B24" s="132"/>
      <c r="C24" s="133"/>
      <c r="D24" s="134"/>
      <c r="E24" s="130"/>
      <c r="F24" s="130"/>
      <c r="G24" s="130"/>
      <c r="H24" s="130"/>
    </row>
    <row r="25" spans="1:8" ht="15.75" x14ac:dyDescent="0.25">
      <c r="A25" s="5" t="s">
        <v>3</v>
      </c>
      <c r="B25" s="132">
        <f>SUM(B4:D24)</f>
        <v>0</v>
      </c>
      <c r="C25" s="133"/>
      <c r="D25" s="134"/>
      <c r="E25" s="130">
        <f>SUM(E4:H24)</f>
        <v>680</v>
      </c>
      <c r="F25" s="130"/>
      <c r="G25" s="130"/>
      <c r="H25" s="130"/>
    </row>
    <row r="26" spans="1:8" x14ac:dyDescent="0.25">
      <c r="A26" s="2" t="s">
        <v>27</v>
      </c>
      <c r="B26" s="130">
        <f>SUM(E25-B25)</f>
        <v>680</v>
      </c>
      <c r="C26" s="130"/>
      <c r="D26" s="130"/>
      <c r="E26" s="130"/>
      <c r="F26" s="130"/>
      <c r="G26" s="130"/>
      <c r="H26" s="130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E8BFECF7-EF23-4896-8BC1-78E923F44C9A}">
  <ds:schemaRefs/>
</ds:datastoreItem>
</file>

<file path=customXml/itemProps2.xml><?xml version="1.0" encoding="utf-8"?>
<ds:datastoreItem xmlns:ds="http://schemas.openxmlformats.org/officeDocument/2006/customXml" ds:itemID="{3E2AA2DC-52DE-4154-8672-84CFDDE09835}">
  <ds:schemaRefs/>
</ds:datastoreItem>
</file>

<file path=customXml/itemProps3.xml><?xml version="1.0" encoding="utf-8"?>
<ds:datastoreItem xmlns:ds="http://schemas.openxmlformats.org/officeDocument/2006/customXml" ds:itemID="{F1F45A65-1CC5-4070-91FF-56F0322D8A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21</vt:i4>
      </vt:variant>
    </vt:vector>
  </HeadingPairs>
  <TitlesOfParts>
    <vt:vector size="42" baseType="lpstr">
      <vt:lpstr>Saisie</vt:lpstr>
      <vt:lpstr>Charges</vt:lpstr>
      <vt:lpstr>Suivi_Emprunts</vt:lpstr>
      <vt:lpstr>Suivi encaissements</vt:lpstr>
      <vt:lpstr>D_Encaissements</vt:lpstr>
      <vt:lpstr>D_Charges_Sociales</vt:lpstr>
      <vt:lpstr>D_Charges_Magasin</vt:lpstr>
      <vt:lpstr>D_Charges_Entreprise</vt:lpstr>
      <vt:lpstr>D_Charges_Communes</vt:lpstr>
      <vt:lpstr>D_Emprunts</vt:lpstr>
      <vt:lpstr>D_Salaires</vt:lpstr>
      <vt:lpstr>Emprunt</vt:lpstr>
      <vt:lpstr>Pret covid19</vt:lpstr>
      <vt:lpstr>Salaire magasin</vt:lpstr>
      <vt:lpstr>Salaire entreprise</vt:lpstr>
      <vt:lpstr>charges sociales</vt:lpstr>
      <vt:lpstr>Bilan mensuel</vt:lpstr>
      <vt:lpstr>Encaissement</vt:lpstr>
      <vt:lpstr>Charge magasin</vt:lpstr>
      <vt:lpstr>Charge enterprise</vt:lpstr>
      <vt:lpstr>Charge commune</vt:lpstr>
      <vt:lpstr>categories</vt:lpstr>
      <vt:lpstr>Charges_Communes</vt:lpstr>
      <vt:lpstr>Charges_Entreprise</vt:lpstr>
      <vt:lpstr>Charges_Magasin</vt:lpstr>
      <vt:lpstr>Charges_Sociales</vt:lpstr>
      <vt:lpstr>D_Encaissements!Criteres</vt:lpstr>
      <vt:lpstr>Description_Encaiss</vt:lpstr>
      <vt:lpstr>Emplacements</vt:lpstr>
      <vt:lpstr>Erreurs</vt:lpstr>
      <vt:lpstr>fournisseurs</vt:lpstr>
      <vt:lpstr>Libelle_Emprunt</vt:lpstr>
      <vt:lpstr>Salaries</vt:lpstr>
      <vt:lpstr>Sous_categorie</vt:lpstr>
      <vt:lpstr>T_Charges_Communes</vt:lpstr>
      <vt:lpstr>T_Charges_Entreprise</vt:lpstr>
      <vt:lpstr>T_Charges_Magasin</vt:lpstr>
      <vt:lpstr>T_Emprunts</vt:lpstr>
      <vt:lpstr>T_Encaissements</vt:lpstr>
      <vt:lpstr>TEmp1</vt:lpstr>
      <vt:lpstr>TEmp2</vt:lpstr>
      <vt:lpstr>Type_Pret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chretien</dc:creator>
  <cp:lastModifiedBy>Yvan KURDIJAKA</cp:lastModifiedBy>
  <cp:lastPrinted>2020-04-18T14:17:43Z</cp:lastPrinted>
  <dcterms:created xsi:type="dcterms:W3CDTF">2020-04-18T09:03:46Z</dcterms:created>
  <dcterms:modified xsi:type="dcterms:W3CDTF">2020-05-13T15:05:38Z</dcterms:modified>
</cp:coreProperties>
</file>