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Exceloco/Ste Chretien/"/>
    </mc:Choice>
  </mc:AlternateContent>
  <xr:revisionPtr revIDLastSave="360" documentId="8_{80E696AD-36FE-4426-AADD-051C6EF40409}" xr6:coauthVersionLast="45" xr6:coauthVersionMax="45" xr10:uidLastSave="{9B28E663-06AC-4BD1-A6C3-2168877DB9EB}"/>
  <bookViews>
    <workbookView xWindow="-120" yWindow="-120" windowWidth="29040" windowHeight="15840" tabRatio="783" activeTab="6" xr2:uid="{00000000-000D-0000-FFFF-FFFF00000000}"/>
  </bookViews>
  <sheets>
    <sheet name="Saisie" sheetId="23" r:id="rId1"/>
    <sheet name="D_Encaissements" sheetId="15" r:id="rId2"/>
    <sheet name="D_Charges_Magasin" sheetId="17" r:id="rId3"/>
    <sheet name="D_Charges_Entreprise" sheetId="18" r:id="rId4"/>
    <sheet name="D_Charges_Communes" sheetId="19" r:id="rId5"/>
    <sheet name="D_Emprunts" sheetId="20" r:id="rId6"/>
    <sheet name="TA" sheetId="27" r:id="rId7"/>
    <sheet name="Emprunt" sheetId="9" r:id="rId8"/>
    <sheet name="Pret covid19" sheetId="10" r:id="rId9"/>
    <sheet name="D_Salaires" sheetId="21" r:id="rId10"/>
    <sheet name="Salaire magasin" sheetId="11" r:id="rId11"/>
    <sheet name="Salaire entreprise" sheetId="12" r:id="rId12"/>
    <sheet name="D_Charges_Sociales" sheetId="22" r:id="rId13"/>
    <sheet name="charges sociales" sheetId="13" r:id="rId14"/>
    <sheet name="Bilan mensuel" sheetId="14" r:id="rId15"/>
    <sheet name="Encaissement" sheetId="1" r:id="rId16"/>
    <sheet name="Charge magasin" sheetId="2" r:id="rId17"/>
    <sheet name="Charge enterprise" sheetId="6" r:id="rId18"/>
    <sheet name="Charge commune" sheetId="7" r:id="rId19"/>
  </sheets>
  <definedNames>
    <definedName name="categories">D_Encaissements!$I$6:$I$15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ous_categorie">D_Encaissements!$J$6:$J$10</definedName>
    <definedName name="T_Amort">Tableau7[]</definedName>
    <definedName name="T_Charges_Communes">Tableau6[]</definedName>
    <definedName name="T_Charges_Entreprise">Tableau4[]</definedName>
    <definedName name="T_Charges_Magasin">Tableau3[]</definedName>
    <definedName name="T_Emprunts">Tableau1[]</definedName>
    <definedName name="T_Encaissements">Tableau2[]</definedName>
    <definedName name="Type_Pret">D_Emprunts!$L$7:$L$10</definedName>
  </definedNames>
  <calcPr calcId="191029"/>
  <pivotCaches>
    <pivotCache cacheId="0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27" l="1"/>
  <c r="C13" i="27"/>
  <c r="B14" i="27"/>
  <c r="C14" i="27"/>
  <c r="B15" i="27"/>
  <c r="C15" i="27"/>
  <c r="B16" i="27"/>
  <c r="C16" i="27"/>
  <c r="B17" i="27"/>
  <c r="C17" i="27"/>
  <c r="B18" i="27"/>
  <c r="C18" i="27"/>
  <c r="B19" i="27"/>
  <c r="C19" i="27"/>
  <c r="B20" i="27"/>
  <c r="C20" i="27"/>
  <c r="B21" i="27"/>
  <c r="C21" i="27"/>
  <c r="B22" i="27"/>
  <c r="C22" i="27"/>
  <c r="B23" i="27"/>
  <c r="C23" i="27"/>
  <c r="B24" i="27"/>
  <c r="C24" i="27"/>
  <c r="B25" i="27"/>
  <c r="C25" i="27"/>
  <c r="B26" i="27"/>
  <c r="C26" i="27"/>
  <c r="B27" i="27"/>
  <c r="C27" i="27"/>
  <c r="B28" i="27"/>
  <c r="C28" i="27"/>
  <c r="B29" i="27"/>
  <c r="C29" i="27"/>
  <c r="B30" i="27"/>
  <c r="C30" i="27"/>
  <c r="B31" i="27"/>
  <c r="C31" i="27"/>
  <c r="B32" i="27"/>
  <c r="C32" i="27"/>
  <c r="B33" i="27"/>
  <c r="C33" i="27"/>
  <c r="B34" i="27"/>
  <c r="C34" i="27"/>
  <c r="B35" i="27"/>
  <c r="C35" i="27"/>
  <c r="B36" i="27"/>
  <c r="C36" i="27"/>
  <c r="D11" i="27"/>
  <c r="G4" i="27" l="1"/>
  <c r="H4" i="27"/>
  <c r="E4" i="27"/>
  <c r="C12" i="27" l="1"/>
  <c r="C11" i="27"/>
  <c r="F4" i="27"/>
  <c r="E11" i="27" s="1"/>
  <c r="F11" i="27" s="1"/>
  <c r="D4" i="27"/>
  <c r="D19" i="27" l="1"/>
  <c r="E19" i="27" s="1"/>
  <c r="D27" i="27"/>
  <c r="E27" i="27" s="1"/>
  <c r="F33" i="27"/>
  <c r="D35" i="27"/>
  <c r="E35" i="27" s="1"/>
  <c r="D22" i="27"/>
  <c r="E22" i="27" s="1"/>
  <c r="F22" i="27" s="1"/>
  <c r="F14" i="27"/>
  <c r="D16" i="27"/>
  <c r="E16" i="27" s="1"/>
  <c r="D24" i="27"/>
  <c r="E24" i="27" s="1"/>
  <c r="F24" i="27" s="1"/>
  <c r="F30" i="27"/>
  <c r="D32" i="27"/>
  <c r="E32" i="27" s="1"/>
  <c r="D12" i="27"/>
  <c r="F32" i="27"/>
  <c r="F34" i="27"/>
  <c r="D13" i="27"/>
  <c r="E13" i="27" s="1"/>
  <c r="F19" i="27"/>
  <c r="D21" i="27"/>
  <c r="E21" i="27" s="1"/>
  <c r="F27" i="27"/>
  <c r="D29" i="27"/>
  <c r="E29" i="27" s="1"/>
  <c r="F35" i="27"/>
  <c r="D34" i="27"/>
  <c r="E34" i="27" s="1"/>
  <c r="D20" i="27"/>
  <c r="E20" i="27" s="1"/>
  <c r="F26" i="27"/>
  <c r="F16" i="27"/>
  <c r="D18" i="27"/>
  <c r="E18" i="27" s="1"/>
  <c r="F18" i="27" s="1"/>
  <c r="D26" i="27"/>
  <c r="E26" i="27" s="1"/>
  <c r="F15" i="27"/>
  <c r="F23" i="27"/>
  <c r="D30" i="27"/>
  <c r="E30" i="27" s="1"/>
  <c r="F13" i="27"/>
  <c r="D15" i="27"/>
  <c r="E15" i="27" s="1"/>
  <c r="F21" i="27"/>
  <c r="D23" i="27"/>
  <c r="E23" i="27" s="1"/>
  <c r="F29" i="27"/>
  <c r="D31" i="27"/>
  <c r="E31" i="27" s="1"/>
  <c r="F31" i="27" s="1"/>
  <c r="D28" i="27"/>
  <c r="E28" i="27" s="1"/>
  <c r="F28" i="27" s="1"/>
  <c r="D36" i="27"/>
  <c r="E36" i="27" s="1"/>
  <c r="F36" i="27" s="1"/>
  <c r="D17" i="27"/>
  <c r="E17" i="27" s="1"/>
  <c r="F17" i="27" s="1"/>
  <c r="D25" i="27"/>
  <c r="E25" i="27" s="1"/>
  <c r="F25" i="27" s="1"/>
  <c r="D33" i="27"/>
  <c r="E33" i="27" s="1"/>
  <c r="D14" i="27"/>
  <c r="E14" i="27" s="1"/>
  <c r="F20" i="27"/>
  <c r="E12" i="27"/>
  <c r="F12" i="27" s="1"/>
  <c r="B12" i="27"/>
  <c r="B11" i="27"/>
  <c r="B20" i="14"/>
  <c r="E4" i="14"/>
  <c r="B4" i="14"/>
  <c r="E25" i="13" l="1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B26" i="13" l="1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B33" i="1" l="1"/>
  <c r="B13" i="14"/>
  <c r="B24" i="1"/>
  <c r="B5" i="14"/>
  <c r="B26" i="7"/>
  <c r="E20" i="14"/>
  <c r="B26" i="6"/>
  <c r="E14" i="14"/>
  <c r="E19" i="14" s="1"/>
  <c r="B26" i="2"/>
  <c r="E6" i="14"/>
  <c r="B8" i="1"/>
  <c r="B14" i="1"/>
  <c r="B11" i="14" l="1"/>
  <c r="B38" i="14"/>
  <c r="E38" i="14"/>
  <c r="E11" i="14"/>
  <c r="B39" i="14" l="1"/>
</calcChain>
</file>

<file path=xl/sharedStrings.xml><?xml version="1.0" encoding="utf-8"?>
<sst xmlns="http://schemas.openxmlformats.org/spreadsheetml/2006/main" count="550" uniqueCount="247">
  <si>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</si>
  <si>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</si>
  <si>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</si>
  <si>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</si>
  <si>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</si>
  <si>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</si>
  <si>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</si>
  <si>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</si>
  <si>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</si>
  <si>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</si>
  <si>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</si>
  <si>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</si>
  <si>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</si>
  <si>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</si>
  <si>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</si>
  <si>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</si>
  <si>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</si>
  <si>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</si>
  <si>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</si>
  <si>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</si>
  <si>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</si>
  <si>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</si>
  <si>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</si>
  <si>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</si>
  <si>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</si>
  <si>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</si>
  <si>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</si>
  <si>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</si>
  <si>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</si>
  <si>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</si>
  <si>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</si>
  <si>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</si>
  <si>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</si>
  <si>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</si>
  <si>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</si>
  <si>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</si>
  <si>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</si>
  <si>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</si>
  <si>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</si>
  <si>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</si>
  <si>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</si>
  <si>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</si>
  <si>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</si>
  <si>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</si>
  <si>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</si>
  <si>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</si>
  <si>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</si>
  <si>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</si>
  <si>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</si>
  <si>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</si>
  <si>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</si>
  <si>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</si>
  <si>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</si>
  <si>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</si>
  <si>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</si>
  <si>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</si>
  <si>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</si>
  <si>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</si>
  <si>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</si>
  <si>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</si>
  <si>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</si>
  <si>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</si>
  <si>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</si>
  <si>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</si>
  <si>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</si>
  <si>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</si>
  <si>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</si>
  <si>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</si>
  <si>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</si>
  <si>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</si>
  <si>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</si>
  <si>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</si>
  <si>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</si>
  <si>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</si>
  <si>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</si>
  <si>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</si>
  <si>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</si>
  <si>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</si>
  <si>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</si>
  <si>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</si>
  <si>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</si>
  <si>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</si>
  <si>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</si>
  <si>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</si>
  <si>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</si>
  <si>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</si>
  <si>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</si>
  <si>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</si>
  <si>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</si>
  <si>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</si>
  <si>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</si>
  <si>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</si>
  <si>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</si>
  <si>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</si>
  <si>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</si>
  <si>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</si>
  <si>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</si>
  <si>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</si>
  <si>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</si>
  <si>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</si>
  <si>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</si>
  <si>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</si>
  <si>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</si>
  <si>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</si>
  <si>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</si>
  <si>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</si>
  <si>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</si>
  <si>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</si>
  <si>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</si>
  <si>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</si>
  <si>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</si>
  <si>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</si>
  <si>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</si>
  <si>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</si>
  <si>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</si>
  <si>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Dépenses Fournisseurs Entreprise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</si>
  <si>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</si>
  <si>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</si>
  <si>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</si>
  <si>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</si>
  <si>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</si>
  <si>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</si>
  <si>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</si>
  <si>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</si>
  <si>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Emprunt</t>
  </si>
  <si>
    <t>Prêt covid19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</si>
  <si>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</si>
  <si>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</si>
  <si>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</si>
  <si>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</si>
  <si>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</si>
  <si>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</si>
  <si>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</si>
  <si>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</si>
  <si>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</si>
  <si>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</si>
  <si>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</si>
  <si>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Tableau des emprunts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</si>
  <si>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</si>
  <si>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</si>
  <si>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</si>
  <si>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</si>
  <si>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</si>
  <si>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</si>
  <si>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</si>
  <si>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</si>
  <si>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</si>
  <si>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</si>
  <si>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</si>
  <si>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</si>
  <si>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</si>
  <si>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</si>
  <si>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</si>
  <si>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</si>
  <si>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</si>
  <si>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</si>
  <si>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charge</t>
  </si>
  <si>
    <t>montant</t>
  </si>
  <si>
    <t>Entreprise Chretien SA - Application de gestion</t>
  </si>
  <si>
    <t>Duree</t>
  </si>
  <si>
    <t>05/05/2020</t>
  </si>
  <si>
    <t/>
  </si>
  <si>
    <t>2500</t>
  </si>
  <si>
    <t>05/05/2021</t>
  </si>
  <si>
    <t>2501</t>
  </si>
  <si>
    <t>05/05/2022</t>
  </si>
  <si>
    <t>2502</t>
  </si>
  <si>
    <t>05/05/2023</t>
  </si>
  <si>
    <t>2503</t>
  </si>
  <si>
    <t>05/05/2024</t>
  </si>
  <si>
    <t>2504</t>
  </si>
  <si>
    <t>05/05/2025</t>
  </si>
  <si>
    <t>2505</t>
  </si>
  <si>
    <t>05/05/2026</t>
  </si>
  <si>
    <t>2506</t>
  </si>
  <si>
    <t>05/05/2027</t>
  </si>
  <si>
    <t>2507</t>
  </si>
  <si>
    <t>05/05/2028</t>
  </si>
  <si>
    <t>2508</t>
  </si>
  <si>
    <t>05/05/2029</t>
  </si>
  <si>
    <t>2509</t>
  </si>
  <si>
    <t>05/05/2030</t>
  </si>
  <si>
    <t>2510</t>
  </si>
  <si>
    <t>05/05/2031</t>
  </si>
  <si>
    <t>2511</t>
  </si>
  <si>
    <t>05/05/2032</t>
  </si>
  <si>
    <t>2512</t>
  </si>
  <si>
    <t>05/05/2033</t>
  </si>
  <si>
    <t>2513</t>
  </si>
  <si>
    <t>05/05/2034</t>
  </si>
  <si>
    <t>2514</t>
  </si>
  <si>
    <t>05/05/2035</t>
  </si>
  <si>
    <t>2515</t>
  </si>
  <si>
    <t>05/05/2036</t>
  </si>
  <si>
    <t>2516</t>
  </si>
  <si>
    <t>05/05/2037</t>
  </si>
  <si>
    <t>2517</t>
  </si>
  <si>
    <t>05/05/2038</t>
  </si>
  <si>
    <t>2518</t>
  </si>
  <si>
    <t>05/05/2039</t>
  </si>
  <si>
    <t>2519</t>
  </si>
  <si>
    <t>05/05/2040</t>
  </si>
  <si>
    <t>2520</t>
  </si>
  <si>
    <t>05/05/2041</t>
  </si>
  <si>
    <t>2521</t>
  </si>
  <si>
    <t>05/05/2042</t>
  </si>
  <si>
    <t>2522</t>
  </si>
  <si>
    <t>05/05/2043</t>
  </si>
  <si>
    <t>2523</t>
  </si>
  <si>
    <t>05/05/2044</t>
  </si>
  <si>
    <t>2524</t>
  </si>
  <si>
    <t>05/05/2045</t>
  </si>
  <si>
    <t>2525</t>
  </si>
  <si>
    <t>05/05/2046</t>
  </si>
  <si>
    <t>2526</t>
  </si>
  <si>
    <t>05/05/2047</t>
  </si>
  <si>
    <t>2527</t>
  </si>
  <si>
    <t>05/05/2048</t>
  </si>
  <si>
    <t>2528</t>
  </si>
  <si>
    <t>05/05/2049</t>
  </si>
  <si>
    <t>2529</t>
  </si>
  <si>
    <t>05/05/2050</t>
  </si>
  <si>
    <t>2530</t>
  </si>
  <si>
    <t>05/05/2051</t>
  </si>
  <si>
    <t>2531</t>
  </si>
  <si>
    <t>05/05/2052</t>
  </si>
  <si>
    <t>2532</t>
  </si>
  <si>
    <t>365</t>
  </si>
  <si>
    <t>Libellé</t>
  </si>
  <si>
    <t>12</t>
  </si>
  <si>
    <t>20000</t>
  </si>
  <si>
    <t>3000</t>
  </si>
  <si>
    <t>Total général</t>
  </si>
  <si>
    <t>travaux magasin</t>
  </si>
  <si>
    <t>voiture Boss</t>
  </si>
  <si>
    <t>Étiquettes de colonnes</t>
  </si>
  <si>
    <t>1er paiement</t>
  </si>
  <si>
    <t>Solde</t>
  </si>
  <si>
    <t>Mensualité</t>
  </si>
  <si>
    <t>Sélection du prêt</t>
  </si>
  <si>
    <t>Plan d'amortissement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</si>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</sst>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#,##0.00\ _€"/>
    <numFmt numFmtId="166" formatCode="[$-40C]d\-mmm\-yyyy;@"/>
    <numFmt numFmtId="167" formatCode="[$-40C]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0" fillId="9" borderId="18" xfId="0" applyFont="1" applyFill="1" applyBorder="1"/>
    <xf numFmtId="0" fontId="0" fillId="9" borderId="19" xfId="0" applyFont="1" applyFill="1" applyBorder="1"/>
    <xf numFmtId="0" fontId="0" fillId="9" borderId="20" xfId="0" applyFont="1" applyFill="1" applyBorder="1"/>
    <xf numFmtId="0" fontId="14" fillId="8" borderId="21" xfId="0" applyFont="1" applyFill="1" applyBorder="1"/>
    <xf numFmtId="0" fontId="14" fillId="8" borderId="22" xfId="0" applyFont="1" applyFill="1" applyBorder="1"/>
    <xf numFmtId="0" fontId="14" fillId="8" borderId="23" xfId="0" applyFont="1" applyFill="1" applyBorder="1"/>
    <xf numFmtId="0" fontId="0" fillId="0" borderId="0" xfId="0" applyFont="1" applyFill="1" applyBorder="1"/>
    <xf numFmtId="0" fontId="14" fillId="8" borderId="24" xfId="0" applyFont="1" applyFill="1" applyBorder="1"/>
    <xf numFmtId="0" fontId="14" fillId="8" borderId="0" xfId="0" applyFont="1" applyFill="1" applyBorder="1"/>
    <xf numFmtId="0" fontId="14" fillId="8" borderId="25" xfId="0" applyFont="1" applyFill="1" applyBorder="1"/>
    <xf numFmtId="167" fontId="14" fillId="8" borderId="26" xfId="0" applyNumberFormat="1" applyFont="1" applyFill="1" applyBorder="1"/>
    <xf numFmtId="167" fontId="14" fillId="8" borderId="0" xfId="0" applyNumberFormat="1" applyFont="1" applyFill="1" applyBorder="1"/>
    <xf numFmtId="167" fontId="14" fillId="8" borderId="27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14" fontId="0" fillId="0" borderId="0" xfId="0" applyNumberFormat="1" applyAlignment="1">
      <alignment horizontal="right" vertical="center"/>
    </xf>
    <xf numFmtId="0" fontId="16" fillId="10" borderId="1" xfId="0" applyFont="1" applyFill="1" applyBorder="1"/>
    <xf numFmtId="0" fontId="1" fillId="11" borderId="0" xfId="0" applyFont="1" applyFill="1" applyAlignment="1">
      <alignment horizontal="center"/>
    </xf>
    <xf numFmtId="0" fontId="15" fillId="7" borderId="10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9"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9" formatCode="dd/mm/yyyy"/>
      <alignment horizontal="right" vertical="center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9" formatCode="dd/mm/yyyy"/>
      <alignment horizontal="righ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C15AF2C9-57B5-45BE-9563-E94F05D78BE1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1E6D5B5E-07B9-43A1-947B-B4800CCF5BA8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38992FB7-B847-44E8-B0A7-886AF5B9121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9525</xdr:colOff>
      <xdr:row>16</xdr:row>
      <xdr:rowOff>38101</xdr:rowOff>
    </xdr:from>
    <xdr:to>
      <xdr:col>2</xdr:col>
      <xdr:colOff>695325</xdr:colOff>
      <xdr:row>26</xdr:row>
      <xdr:rowOff>104775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D0F20A7C-0C85-4E3C-9084-41487442254F}"/>
            </a:ext>
          </a:extLst>
        </xdr:cNvPr>
        <xdr:cNvGrpSpPr/>
      </xdr:nvGrpSpPr>
      <xdr:grpSpPr>
        <a:xfrm>
          <a:off x="771525" y="3352801"/>
          <a:ext cx="1447800" cy="1971674"/>
          <a:chOff x="657225" y="37623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D32A4258-23C5-478C-8479-2CE49FD8E0C1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6461EBD4-4B1F-4CF4-A05A-A2A3636A80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314325</xdr:colOff>
      <xdr:row>5</xdr:row>
      <xdr:rowOff>66676</xdr:rowOff>
    </xdr:from>
    <xdr:to>
      <xdr:col>6</xdr:col>
      <xdr:colOff>590550</xdr:colOff>
      <xdr:row>14</xdr:row>
      <xdr:rowOff>161925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8C22A01-88E2-4212-B077-BDC36BA4FE2F}"/>
            </a:ext>
          </a:extLst>
        </xdr:cNvPr>
        <xdr:cNvGrpSpPr/>
      </xdr:nvGrpSpPr>
      <xdr:grpSpPr>
        <a:xfrm>
          <a:off x="3000375" y="1123951"/>
          <a:ext cx="1447800" cy="1971674"/>
          <a:chOff x="2933700" y="9810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E111E3B-086F-4C2E-BF7A-15E3DF297C84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FA1EE78B-E2F0-41E7-82D1-F0CB500CD2B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295275</xdr:colOff>
      <xdr:row>16</xdr:row>
      <xdr:rowOff>47626</xdr:rowOff>
    </xdr:from>
    <xdr:to>
      <xdr:col>6</xdr:col>
      <xdr:colOff>571500</xdr:colOff>
      <xdr:row>26</xdr:row>
      <xdr:rowOff>114300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3BB07ED6-1F8B-4443-BE35-9D8CC66404B2}"/>
            </a:ext>
          </a:extLst>
        </xdr:cNvPr>
        <xdr:cNvGrpSpPr/>
      </xdr:nvGrpSpPr>
      <xdr:grpSpPr>
        <a:xfrm>
          <a:off x="2981325" y="3362326"/>
          <a:ext cx="1447800" cy="1971674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ECCE27D9-9A4C-4231-9A5B-4DBD336E8685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FB4B4F40-F4FC-4F43-B814-249D6A8D3C6D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57150</xdr:colOff>
      <xdr:row>16</xdr:row>
      <xdr:rowOff>57151</xdr:rowOff>
    </xdr:from>
    <xdr:to>
      <xdr:col>10</xdr:col>
      <xdr:colOff>352425</xdr:colOff>
      <xdr:row>26</xdr:row>
      <xdr:rowOff>123825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9E980735-D5EF-401C-B980-D8097FAC2231}"/>
            </a:ext>
          </a:extLst>
        </xdr:cNvPr>
        <xdr:cNvGrpSpPr/>
      </xdr:nvGrpSpPr>
      <xdr:grpSpPr>
        <a:xfrm>
          <a:off x="5181600" y="3371851"/>
          <a:ext cx="1447800" cy="1971674"/>
          <a:chOff x="5067300" y="378142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F220026A-2426-46A1-9E1E-E181C4C9FDCF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41F0CECB-E09C-421A-ABD6-85913F860F3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47625</xdr:colOff>
      <xdr:row>5</xdr:row>
      <xdr:rowOff>95251</xdr:rowOff>
    </xdr:from>
    <xdr:to>
      <xdr:col>10</xdr:col>
      <xdr:colOff>342900</xdr:colOff>
      <xdr:row>15</xdr:row>
      <xdr:rowOff>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272430D-8942-4CC4-8FEE-1DB2EF024022}"/>
            </a:ext>
          </a:extLst>
        </xdr:cNvPr>
        <xdr:cNvGrpSpPr/>
      </xdr:nvGrpSpPr>
      <xdr:grpSpPr>
        <a:xfrm>
          <a:off x="5172075" y="1152526"/>
          <a:ext cx="1447800" cy="1971674"/>
          <a:chOff x="5105400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48D6067D-BCE1-495A-AA2A-7FBADF67251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F7D2077-3023-455D-9A7D-277A0B847EC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295275</xdr:colOff>
      <xdr:row>5</xdr:row>
      <xdr:rowOff>95251</xdr:rowOff>
    </xdr:from>
    <xdr:to>
      <xdr:col>14</xdr:col>
      <xdr:colOff>85725</xdr:colOff>
      <xdr:row>15</xdr:row>
      <xdr:rowOff>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58DD99C-D921-4420-83DA-642F43E1DF3D}"/>
            </a:ext>
          </a:extLst>
        </xdr:cNvPr>
        <xdr:cNvGrpSpPr/>
      </xdr:nvGrpSpPr>
      <xdr:grpSpPr>
        <a:xfrm>
          <a:off x="7334250" y="1152526"/>
          <a:ext cx="1447800" cy="1971674"/>
          <a:chOff x="7267575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3EE91643-7E48-4F55-A34A-D34C9D9E1F16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F6A5CEF9-4B6B-461D-92C2-E04B0B4FCDF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0</xdr:colOff>
      <xdr:row>27</xdr:row>
      <xdr:rowOff>95250</xdr:rowOff>
    </xdr:from>
    <xdr:to>
      <xdr:col>15</xdr:col>
      <xdr:colOff>228600</xdr:colOff>
      <xdr:row>28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CFA70909-704E-4143-AB05-68AECB7F78E4}"/>
            </a:ext>
          </a:extLst>
        </xdr:cNvPr>
        <xdr:cNvSpPr/>
      </xdr:nvSpPr>
      <xdr:spPr>
        <a:xfrm>
          <a:off x="762000" y="5495925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638175</xdr:colOff>
      <xdr:row>3</xdr:row>
      <xdr:rowOff>171450</xdr:rowOff>
    </xdr:from>
    <xdr:to>
      <xdr:col>15</xdr:col>
      <xdr:colOff>104775</xdr:colOff>
      <xdr:row>4</xdr:row>
      <xdr:rowOff>209550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200866A5-8F6C-4E51-B199-FEA459D952BC}"/>
            </a:ext>
          </a:extLst>
        </xdr:cNvPr>
        <xdr:cNvSpPr/>
      </xdr:nvSpPr>
      <xdr:spPr>
        <a:xfrm>
          <a:off x="638175" y="742950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4</xdr:row>
          <xdr:rowOff>152400</xdr:rowOff>
        </xdr:from>
        <xdr:to>
          <xdr:col>2</xdr:col>
          <xdr:colOff>333375</xdr:colOff>
          <xdr:row>6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9FC2031-C0AE-4D76-BAA6-E4FBBDB61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56.682975925927" createdVersion="6" refreshedVersion="6" minRefreshableVersion="3" recordCount="2" xr:uid="{FC4BD715-BE89-4290-9137-723F5E036922}">
  <cacheSource type="worksheet">
    <worksheetSource name="Tableau1"/>
  </cacheSource>
  <cacheFields count="8">
    <cacheField name="date de début" numFmtId="0">
      <sharedItems/>
    </cacheField>
    <cacheField name="Duree" numFmtId="0">
      <sharedItems/>
    </cacheField>
    <cacheField name="date de fin" numFmtId="0">
      <sharedItems/>
    </cacheField>
    <cacheField name="type de prêt" numFmtId="0">
      <sharedItems count="2">
        <s v="Investissement"/>
        <s v="Véhicule"/>
      </sharedItems>
    </cacheField>
    <cacheField name="libellé" numFmtId="0">
      <sharedItems/>
    </cacheField>
    <cacheField name="montant emprunté" numFmtId="0">
      <sharedItems/>
    </cacheField>
    <cacheField name="mensualité" numFmtId="0">
      <sharedItems/>
    </cacheField>
    <cacheField name="sol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5/05/2020"/>
    <s v="12"/>
    <s v="05/05/2021"/>
    <x v="0"/>
    <s v="travaux magasin"/>
    <s v="10000"/>
    <s v="1500"/>
    <m/>
  </r>
  <r>
    <s v="05/05/2020"/>
    <s v="12"/>
    <s v="05/05/2021"/>
    <x v="1"/>
    <s v="voiture Boss"/>
    <s v="20000"/>
    <s v="30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1CFF8-CAB5-4D86-A627-D0D0E43776F6}" name="Tableau croisé dynamique1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K18:M19" firstHeaderRow="1" firstDataRow="2" firstDataCol="0"/>
  <pivotFields count="8"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3"/>
  </colFields>
  <colItems count="3">
    <i>
      <x/>
    </i>
    <i>
      <x v="1"/>
    </i>
    <i t="grand">
      <x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ableau2" displayName="Tableau2" ref="A4:F38" totalsRowShown="0" headerRowDxfId="18" tableBorderDxfId="17">
  <autoFilter ref="A4:F38" xr:uid="{D4A95B28-10FD-4EBA-9297-233B39BB8B9D}"/>
  <tableColumns count="6">
    <tableColumn id="1" xr3:uid="{3182FD92-538D-4644-B86A-08AFA5A750A7}" name="Date" dataDxfId="16"/>
    <tableColumn id="2" xr3:uid="{1F773D7D-2F99-47B9-B51A-32BF6DCB0E14}" name="Catégorie"/>
    <tableColumn id="3" xr3:uid="{64A6C184-1FF6-40CD-9881-CF66FE2E1919}" name="Sous catégorie"/>
    <tableColumn id="4" xr3:uid="{5E6A478E-47DF-4053-955A-9549252F2A59}" name="Fournisseur"/>
    <tableColumn id="5" xr3:uid="{D4F4F120-1DC1-42A3-B229-56A7E375BB9D}" name="Description"/>
    <tableColumn id="6" xr3:uid="{AA07AA64-0842-4D34-8D57-5B036ED20898}" name="Monta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ableau3" displayName="Tableau3" ref="E4:G5" totalsRowShown="0" headerRowDxfId="15" tableBorderDxfId="14">
  <autoFilter ref="E4:G5" xr:uid="{B60C612A-367F-42F4-9F65-C11E8C2C4873}"/>
  <tableColumns count="3">
    <tableColumn id="1" xr3:uid="{94A4C0D8-3C29-4C3A-9CD6-79650E07C941}" name="Date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ableau4" displayName="Tableau4" ref="E4:G5" totalsRowShown="0" headerRowDxfId="13" tableBorderDxfId="12">
  <autoFilter ref="E4:G5" xr:uid="{27CA3C78-3A3B-4C3D-A3AA-7F0CAB3E0A1F}"/>
  <tableColumns count="3">
    <tableColumn id="1" xr3:uid="{28FC4236-CAE4-4B55-95BF-1792D437228F}" name="Date"/>
    <tableColumn id="2" xr3:uid="{9EB0DC66-72AD-4003-A174-54F1527FDABA}" name="Libellé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ableau6" displayName="Tableau6" ref="E4:G5" totalsRowShown="0" headerRowDxfId="11" tableBorderDxfId="10">
  <autoFilter ref="E4:G5" xr:uid="{723E3087-752D-4C58-BBDC-D804A856F8D9}"/>
  <tableColumns count="3">
    <tableColumn id="1" xr3:uid="{CCEB1F28-E330-4A16-846D-C979AE1F3512}" name="Date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9" tableBorderDxfId="8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AAF08E3-6AED-486B-A176-AE43A817038E}" name="Tableau7" displayName="Tableau7" ref="B10:F37" totalsRowCount="1">
  <autoFilter ref="B10:F36" xr:uid="{0037DBA1-FEF0-49AA-B754-F07B1AED53B4}"/>
  <tableColumns count="5">
    <tableColumn id="1" xr3:uid="{94688C60-39EA-4743-9F27-5559E18715E4}" name="Date" dataDxfId="7" totalsRowDxfId="3">
      <calculatedColumnFormula>$D$4</calculatedColumnFormula>
    </tableColumn>
    <tableColumn id="2" xr3:uid="{52D3121D-A4F3-48EC-9299-D5D85C4FF850}" name="Mensualité">
      <calculatedColumnFormula>$H$4</calculatedColumnFormula>
    </tableColumn>
    <tableColumn id="3" xr3:uid="{02489E73-248E-483D-B1DE-5B8094F9E23C}" name="Intérêts" dataDxfId="5" totalsRowDxfId="2">
      <calculatedColumnFormula>G4*F4/12</calculatedColumnFormula>
    </tableColumn>
    <tableColumn id="4" xr3:uid="{D6C559D3-6975-4FD0-8C8E-B4111F8FEC01}" name="Capital" dataDxfId="6" totalsRowDxfId="1">
      <calculatedColumnFormula>Tableau7[[#This Row],[Mensualité]]-Tableau7[[#This Row],[Intérêts]]</calculatedColumnFormula>
    </tableColumn>
    <tableColumn id="5" xr3:uid="{5B408764-1958-40F7-AE1F-7DBFB9808837}" name="Solde" dataDxfId="4" totalsRowDxfId="0">
      <calculatedColumnFormula>$G$4-Tableau7[[#This Row],[Mensualité]]-Tableau7[[#This Row],[Intérêts]]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29"/>
  <sheetViews>
    <sheetView workbookViewId="0">
      <selection activeCell="C35" sqref="C35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6.5703125" style="41" customWidth="1"/>
    <col min="16" max="16384" width="11.42578125" style="41"/>
  </cols>
  <sheetData>
    <row r="1" spans="2:17" ht="15.75" thickBot="1" x14ac:dyDescent="0.3"/>
    <row r="2" spans="2:17" ht="15" customHeight="1" x14ac:dyDescent="0.25">
      <c r="B2" s="70" t="s">
        <v>158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2"/>
    </row>
    <row r="3" spans="2:17" ht="15" customHeight="1" x14ac:dyDescent="0.25">
      <c r="B3" s="73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5"/>
    </row>
    <row r="4" spans="2:17" ht="15" customHeight="1" thickBot="1" x14ac:dyDescent="0.3">
      <c r="B4" s="76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8"/>
    </row>
    <row r="5" spans="2:17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7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7" ht="5.25" customHeight="1" x14ac:dyDescent="0.25">
      <c r="E7" s="46"/>
    </row>
    <row r="12" spans="2:17" ht="14.25" customHeight="1" x14ac:dyDescent="0.25"/>
    <row r="13" spans="2:17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21" spans="2:23" x14ac:dyDescent="0.25">
      <c r="W21" s="41" t="s">
        <v>161</v>
      </c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</row>
  </sheetData>
  <mergeCells count="1">
    <mergeCell ref="B2:O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38"/>
  <sheetViews>
    <sheetView zoomScale="80" zoomScaleNormal="80" workbookViewId="0">
      <selection activeCell="A5" sqref="A5:F38"/>
    </sheetView>
  </sheetViews>
  <sheetFormatPr baseColWidth="10" defaultRowHeight="15" x14ac:dyDescent="0.25"/>
  <cols>
    <col min="1" max="1" width="11.42578125" style="3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80" t="s">
        <v>133</v>
      </c>
      <c r="B2" s="80"/>
      <c r="C2" s="80"/>
      <c r="D2" s="80"/>
      <c r="E2" s="80"/>
      <c r="F2" s="80"/>
      <c r="H2" s="79" t="s">
        <v>132</v>
      </c>
      <c r="I2" s="79"/>
      <c r="J2" s="79"/>
      <c r="K2" s="79"/>
      <c r="L2" s="79"/>
    </row>
    <row r="4" spans="1:12" ht="15.75" x14ac:dyDescent="0.25">
      <c r="A4" s="58" t="s">
        <v>130</v>
      </c>
      <c r="B4" s="59" t="s">
        <v>113</v>
      </c>
      <c r="C4" s="59" t="s">
        <v>114</v>
      </c>
      <c r="D4" s="59" t="s">
        <v>127</v>
      </c>
      <c r="E4" s="59" t="s">
        <v>112</v>
      </c>
      <c r="F4" s="60" t="s">
        <v>131</v>
      </c>
      <c r="H4" s="36" t="s">
        <v>116</v>
      </c>
      <c r="I4" s="37" t="s">
        <v>120</v>
      </c>
      <c r="J4" s="37" t="s">
        <v>126</v>
      </c>
      <c r="K4" s="37" t="s">
        <v>112</v>
      </c>
      <c r="L4" s="37" t="s">
        <v>128</v>
      </c>
    </row>
    <row r="5" spans="1:12" x14ac:dyDescent="0.25">
      <c r="A5" s="31" t="s">
        <v>160</v>
      </c>
      <c r="B5" t="s">
        <v>98</v>
      </c>
      <c r="C5" t="s">
        <v>28</v>
      </c>
      <c r="D5" t="s">
        <v>161</v>
      </c>
      <c r="E5" t="s">
        <v>0</v>
      </c>
      <c r="F5" t="s">
        <v>162</v>
      </c>
    </row>
    <row r="6" spans="1:12" x14ac:dyDescent="0.25">
      <c r="A6" s="31" t="s">
        <v>163</v>
      </c>
      <c r="B6" t="s">
        <v>98</v>
      </c>
      <c r="C6" t="s">
        <v>28</v>
      </c>
      <c r="D6" t="s">
        <v>161</v>
      </c>
      <c r="E6" t="s">
        <v>0</v>
      </c>
      <c r="F6" t="s">
        <v>164</v>
      </c>
      <c r="H6" t="s">
        <v>4</v>
      </c>
      <c r="I6" t="s">
        <v>98</v>
      </c>
      <c r="J6" s="54" t="s">
        <v>28</v>
      </c>
      <c r="K6" t="s">
        <v>0</v>
      </c>
      <c r="L6" t="s">
        <v>129</v>
      </c>
    </row>
    <row r="7" spans="1:12" x14ac:dyDescent="0.25">
      <c r="A7" s="31" t="s">
        <v>165</v>
      </c>
      <c r="B7" t="s">
        <v>98</v>
      </c>
      <c r="C7" t="s">
        <v>28</v>
      </c>
      <c r="D7" t="s">
        <v>161</v>
      </c>
      <c r="E7" t="s">
        <v>0</v>
      </c>
      <c r="F7" t="s">
        <v>166</v>
      </c>
      <c r="H7" t="s">
        <v>117</v>
      </c>
      <c r="I7" t="s">
        <v>121</v>
      </c>
      <c r="J7" s="54" t="s">
        <v>13</v>
      </c>
      <c r="K7" t="s">
        <v>1</v>
      </c>
    </row>
    <row r="8" spans="1:12" x14ac:dyDescent="0.25">
      <c r="A8" s="31" t="s">
        <v>167</v>
      </c>
      <c r="B8" t="s">
        <v>98</v>
      </c>
      <c r="C8" t="s">
        <v>28</v>
      </c>
      <c r="D8" t="s">
        <v>161</v>
      </c>
      <c r="E8" t="s">
        <v>0</v>
      </c>
      <c r="F8" t="s">
        <v>168</v>
      </c>
      <c r="H8" t="s">
        <v>118</v>
      </c>
      <c r="I8" t="s">
        <v>122</v>
      </c>
      <c r="J8" s="54" t="s">
        <v>10</v>
      </c>
      <c r="K8" t="s">
        <v>2</v>
      </c>
    </row>
    <row r="9" spans="1:12" x14ac:dyDescent="0.25">
      <c r="A9" s="31" t="s">
        <v>169</v>
      </c>
      <c r="B9" t="s">
        <v>98</v>
      </c>
      <c r="C9" t="s">
        <v>28</v>
      </c>
      <c r="D9" t="s">
        <v>161</v>
      </c>
      <c r="E9" t="s">
        <v>0</v>
      </c>
      <c r="F9" t="s">
        <v>170</v>
      </c>
      <c r="H9" t="s">
        <v>119</v>
      </c>
      <c r="I9" t="s">
        <v>123</v>
      </c>
      <c r="J9" s="54" t="s">
        <v>115</v>
      </c>
      <c r="K9" t="s">
        <v>29</v>
      </c>
    </row>
    <row r="10" spans="1:12" x14ac:dyDescent="0.25">
      <c r="A10" s="31" t="s">
        <v>171</v>
      </c>
      <c r="B10" t="s">
        <v>98</v>
      </c>
      <c r="C10" t="s">
        <v>28</v>
      </c>
      <c r="D10" t="s">
        <v>161</v>
      </c>
      <c r="E10" t="s">
        <v>0</v>
      </c>
      <c r="F10" t="s">
        <v>172</v>
      </c>
      <c r="H10" t="s">
        <v>8</v>
      </c>
      <c r="I10" t="s">
        <v>124</v>
      </c>
    </row>
    <row r="11" spans="1:12" x14ac:dyDescent="0.25">
      <c r="A11" s="31" t="s">
        <v>173</v>
      </c>
      <c r="B11" t="s">
        <v>98</v>
      </c>
      <c r="C11" t="s">
        <v>28</v>
      </c>
      <c r="D11" t="s">
        <v>161</v>
      </c>
      <c r="E11" t="s">
        <v>0</v>
      </c>
      <c r="F11" t="s">
        <v>174</v>
      </c>
      <c r="I11" t="s">
        <v>125</v>
      </c>
    </row>
    <row r="12" spans="1:12" x14ac:dyDescent="0.25">
      <c r="A12" s="31" t="s">
        <v>175</v>
      </c>
      <c r="B12" t="s">
        <v>98</v>
      </c>
      <c r="C12" t="s">
        <v>28</v>
      </c>
      <c r="D12" t="s">
        <v>161</v>
      </c>
      <c r="E12" t="s">
        <v>0</v>
      </c>
      <c r="F12" t="s">
        <v>176</v>
      </c>
      <c r="I12" t="s">
        <v>79</v>
      </c>
    </row>
    <row r="13" spans="1:12" x14ac:dyDescent="0.25">
      <c r="A13" s="31" t="s">
        <v>177</v>
      </c>
      <c r="B13" t="s">
        <v>98</v>
      </c>
      <c r="C13" t="s">
        <v>28</v>
      </c>
      <c r="D13" t="s">
        <v>161</v>
      </c>
      <c r="E13" t="s">
        <v>0</v>
      </c>
      <c r="F13" t="s">
        <v>178</v>
      </c>
      <c r="I13" t="s">
        <v>103</v>
      </c>
    </row>
    <row r="14" spans="1:12" x14ac:dyDescent="0.25">
      <c r="A14" s="31" t="s">
        <v>179</v>
      </c>
      <c r="B14" t="s">
        <v>98</v>
      </c>
      <c r="C14" t="s">
        <v>28</v>
      </c>
      <c r="D14" t="s">
        <v>161</v>
      </c>
      <c r="E14" t="s">
        <v>0</v>
      </c>
      <c r="F14" t="s">
        <v>180</v>
      </c>
      <c r="I14" t="s">
        <v>86</v>
      </c>
    </row>
    <row r="15" spans="1:12" x14ac:dyDescent="0.25">
      <c r="A15" s="31" t="s">
        <v>181</v>
      </c>
      <c r="B15" t="s">
        <v>98</v>
      </c>
      <c r="C15" t="s">
        <v>28</v>
      </c>
      <c r="D15" t="s">
        <v>161</v>
      </c>
      <c r="E15" t="s">
        <v>0</v>
      </c>
      <c r="F15" t="s">
        <v>182</v>
      </c>
    </row>
    <row r="16" spans="1:12" x14ac:dyDescent="0.25">
      <c r="A16" s="31" t="s">
        <v>183</v>
      </c>
      <c r="B16" t="s">
        <v>98</v>
      </c>
      <c r="C16" t="s">
        <v>28</v>
      </c>
      <c r="D16" t="s">
        <v>161</v>
      </c>
      <c r="E16" t="s">
        <v>0</v>
      </c>
      <c r="F16" t="s">
        <v>184</v>
      </c>
    </row>
    <row r="17" spans="1:6" x14ac:dyDescent="0.25">
      <c r="A17" s="31" t="s">
        <v>185</v>
      </c>
      <c r="B17" t="s">
        <v>98</v>
      </c>
      <c r="C17" t="s">
        <v>28</v>
      </c>
      <c r="D17" t="s">
        <v>161</v>
      </c>
      <c r="E17" t="s">
        <v>0</v>
      </c>
      <c r="F17" t="s">
        <v>186</v>
      </c>
    </row>
    <row r="18" spans="1:6" x14ac:dyDescent="0.25">
      <c r="A18" s="31" t="s">
        <v>187</v>
      </c>
      <c r="B18" t="s">
        <v>98</v>
      </c>
      <c r="C18" t="s">
        <v>28</v>
      </c>
      <c r="D18" t="s">
        <v>161</v>
      </c>
      <c r="E18" t="s">
        <v>0</v>
      </c>
      <c r="F18" t="s">
        <v>188</v>
      </c>
    </row>
    <row r="19" spans="1:6" x14ac:dyDescent="0.25">
      <c r="A19" s="31" t="s">
        <v>189</v>
      </c>
      <c r="B19" t="s">
        <v>98</v>
      </c>
      <c r="C19" t="s">
        <v>28</v>
      </c>
      <c r="D19" t="s">
        <v>161</v>
      </c>
      <c r="E19" t="s">
        <v>0</v>
      </c>
      <c r="F19" t="s">
        <v>190</v>
      </c>
    </row>
    <row r="20" spans="1:6" x14ac:dyDescent="0.25">
      <c r="A20" s="31" t="s">
        <v>191</v>
      </c>
      <c r="B20" t="s">
        <v>98</v>
      </c>
      <c r="C20" t="s">
        <v>28</v>
      </c>
      <c r="D20" t="s">
        <v>161</v>
      </c>
      <c r="E20" t="s">
        <v>0</v>
      </c>
      <c r="F20" t="s">
        <v>192</v>
      </c>
    </row>
    <row r="21" spans="1:6" x14ac:dyDescent="0.25">
      <c r="A21" s="31" t="s">
        <v>193</v>
      </c>
      <c r="B21" t="s">
        <v>98</v>
      </c>
      <c r="C21" t="s">
        <v>28</v>
      </c>
      <c r="D21" t="s">
        <v>161</v>
      </c>
      <c r="E21" t="s">
        <v>0</v>
      </c>
      <c r="F21" t="s">
        <v>194</v>
      </c>
    </row>
    <row r="22" spans="1:6" x14ac:dyDescent="0.25">
      <c r="A22" s="31" t="s">
        <v>195</v>
      </c>
      <c r="B22" t="s">
        <v>98</v>
      </c>
      <c r="C22" t="s">
        <v>28</v>
      </c>
      <c r="D22" t="s">
        <v>161</v>
      </c>
      <c r="E22" t="s">
        <v>0</v>
      </c>
      <c r="F22" t="s">
        <v>196</v>
      </c>
    </row>
    <row r="23" spans="1:6" x14ac:dyDescent="0.25">
      <c r="A23" s="31" t="s">
        <v>197</v>
      </c>
      <c r="B23" t="s">
        <v>98</v>
      </c>
      <c r="C23" t="s">
        <v>28</v>
      </c>
      <c r="D23" t="s">
        <v>161</v>
      </c>
      <c r="E23" t="s">
        <v>0</v>
      </c>
      <c r="F23" t="s">
        <v>198</v>
      </c>
    </row>
    <row r="24" spans="1:6" x14ac:dyDescent="0.25">
      <c r="A24" s="31" t="s">
        <v>199</v>
      </c>
      <c r="B24" t="s">
        <v>98</v>
      </c>
      <c r="C24" t="s">
        <v>28</v>
      </c>
      <c r="D24" t="s">
        <v>161</v>
      </c>
      <c r="E24" t="s">
        <v>0</v>
      </c>
      <c r="F24" t="s">
        <v>200</v>
      </c>
    </row>
    <row r="25" spans="1:6" x14ac:dyDescent="0.25">
      <c r="A25" s="31" t="s">
        <v>201</v>
      </c>
      <c r="B25" t="s">
        <v>98</v>
      </c>
      <c r="C25" t="s">
        <v>28</v>
      </c>
      <c r="D25" t="s">
        <v>161</v>
      </c>
      <c r="E25" t="s">
        <v>0</v>
      </c>
      <c r="F25" t="s">
        <v>202</v>
      </c>
    </row>
    <row r="26" spans="1:6" x14ac:dyDescent="0.25">
      <c r="A26" s="31" t="s">
        <v>203</v>
      </c>
      <c r="B26" t="s">
        <v>98</v>
      </c>
      <c r="C26" t="s">
        <v>28</v>
      </c>
      <c r="D26" t="s">
        <v>161</v>
      </c>
      <c r="E26" t="s">
        <v>0</v>
      </c>
      <c r="F26" t="s">
        <v>204</v>
      </c>
    </row>
    <row r="27" spans="1:6" x14ac:dyDescent="0.25">
      <c r="A27" s="31" t="s">
        <v>205</v>
      </c>
      <c r="B27" t="s">
        <v>98</v>
      </c>
      <c r="C27" t="s">
        <v>28</v>
      </c>
      <c r="D27" t="s">
        <v>161</v>
      </c>
      <c r="E27" t="s">
        <v>0</v>
      </c>
      <c r="F27" t="s">
        <v>206</v>
      </c>
    </row>
    <row r="28" spans="1:6" x14ac:dyDescent="0.25">
      <c r="A28" s="31" t="s">
        <v>207</v>
      </c>
      <c r="B28" t="s">
        <v>98</v>
      </c>
      <c r="C28" t="s">
        <v>28</v>
      </c>
      <c r="D28" t="s">
        <v>161</v>
      </c>
      <c r="E28" t="s">
        <v>0</v>
      </c>
      <c r="F28" t="s">
        <v>208</v>
      </c>
    </row>
    <row r="29" spans="1:6" x14ac:dyDescent="0.25">
      <c r="A29" s="31" t="s">
        <v>209</v>
      </c>
      <c r="B29" t="s">
        <v>98</v>
      </c>
      <c r="C29" t="s">
        <v>28</v>
      </c>
      <c r="D29" t="s">
        <v>161</v>
      </c>
      <c r="E29" t="s">
        <v>0</v>
      </c>
      <c r="F29" t="s">
        <v>210</v>
      </c>
    </row>
    <row r="30" spans="1:6" x14ac:dyDescent="0.25">
      <c r="A30" s="31" t="s">
        <v>211</v>
      </c>
      <c r="B30" t="s">
        <v>98</v>
      </c>
      <c r="C30" t="s">
        <v>28</v>
      </c>
      <c r="D30" t="s">
        <v>161</v>
      </c>
      <c r="E30" t="s">
        <v>0</v>
      </c>
      <c r="F30" t="s">
        <v>212</v>
      </c>
    </row>
    <row r="31" spans="1:6" x14ac:dyDescent="0.25">
      <c r="A31" s="31" t="s">
        <v>213</v>
      </c>
      <c r="B31" t="s">
        <v>98</v>
      </c>
      <c r="C31" t="s">
        <v>28</v>
      </c>
      <c r="D31" t="s">
        <v>161</v>
      </c>
      <c r="E31" t="s">
        <v>0</v>
      </c>
      <c r="F31" t="s">
        <v>214</v>
      </c>
    </row>
    <row r="32" spans="1:6" x14ac:dyDescent="0.25">
      <c r="A32" s="31" t="s">
        <v>215</v>
      </c>
      <c r="B32" t="s">
        <v>98</v>
      </c>
      <c r="C32" t="s">
        <v>28</v>
      </c>
      <c r="D32" t="s">
        <v>161</v>
      </c>
      <c r="E32" t="s">
        <v>0</v>
      </c>
      <c r="F32" t="s">
        <v>216</v>
      </c>
    </row>
    <row r="33" spans="1:6" x14ac:dyDescent="0.25">
      <c r="A33" s="31" t="s">
        <v>217</v>
      </c>
      <c r="B33" t="s">
        <v>98</v>
      </c>
      <c r="C33" t="s">
        <v>28</v>
      </c>
      <c r="D33" t="s">
        <v>161</v>
      </c>
      <c r="E33" t="s">
        <v>0</v>
      </c>
      <c r="F33" t="s">
        <v>218</v>
      </c>
    </row>
    <row r="34" spans="1:6" x14ac:dyDescent="0.25">
      <c r="A34" s="31" t="s">
        <v>219</v>
      </c>
      <c r="B34" t="s">
        <v>98</v>
      </c>
      <c r="C34" t="s">
        <v>28</v>
      </c>
      <c r="D34" t="s">
        <v>161</v>
      </c>
      <c r="E34" t="s">
        <v>0</v>
      </c>
      <c r="F34" t="s">
        <v>220</v>
      </c>
    </row>
    <row r="35" spans="1:6" x14ac:dyDescent="0.25">
      <c r="A35" s="31" t="s">
        <v>221</v>
      </c>
      <c r="B35" t="s">
        <v>98</v>
      </c>
      <c r="C35" t="s">
        <v>28</v>
      </c>
      <c r="D35" t="s">
        <v>161</v>
      </c>
      <c r="E35" t="s">
        <v>0</v>
      </c>
      <c r="F35" t="s">
        <v>222</v>
      </c>
    </row>
    <row r="36" spans="1:6" x14ac:dyDescent="0.25">
      <c r="A36" s="31" t="s">
        <v>223</v>
      </c>
      <c r="B36" t="s">
        <v>98</v>
      </c>
      <c r="C36" t="s">
        <v>28</v>
      </c>
      <c r="D36" t="s">
        <v>161</v>
      </c>
      <c r="E36" t="s">
        <v>0</v>
      </c>
      <c r="F36" t="s">
        <v>224</v>
      </c>
    </row>
    <row r="37" spans="1:6" x14ac:dyDescent="0.25">
      <c r="A37" s="31" t="s">
        <v>225</v>
      </c>
      <c r="B37" t="s">
        <v>98</v>
      </c>
      <c r="C37" t="s">
        <v>28</v>
      </c>
      <c r="D37" t="s">
        <v>161</v>
      </c>
      <c r="E37" t="s">
        <v>0</v>
      </c>
      <c r="F37" t="s">
        <v>226</v>
      </c>
    </row>
    <row r="38" spans="1:6" x14ac:dyDescent="0.25">
      <c r="A38" s="31" t="s">
        <v>160</v>
      </c>
      <c r="B38" t="s">
        <v>98</v>
      </c>
      <c r="C38" t="s">
        <v>13</v>
      </c>
      <c r="D38" t="s">
        <v>161</v>
      </c>
      <c r="E38" t="s">
        <v>0</v>
      </c>
      <c r="F38" t="s">
        <v>227</v>
      </c>
    </row>
  </sheetData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G20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7" ht="18.75" x14ac:dyDescent="0.3">
      <c r="E2" s="81" t="s">
        <v>136</v>
      </c>
      <c r="F2" s="81"/>
      <c r="G2" s="81"/>
    </row>
    <row r="4" spans="1:7" ht="15.75" x14ac:dyDescent="0.25">
      <c r="A4" s="35" t="s">
        <v>134</v>
      </c>
      <c r="E4" s="55" t="s">
        <v>130</v>
      </c>
      <c r="F4" s="56" t="s">
        <v>135</v>
      </c>
      <c r="G4" s="57" t="s">
        <v>131</v>
      </c>
    </row>
    <row r="5" spans="1:7" x14ac:dyDescent="0.25">
      <c r="A5" s="32"/>
    </row>
    <row r="6" spans="1:7" x14ac:dyDescent="0.25">
      <c r="A6" s="30" t="s">
        <v>14</v>
      </c>
    </row>
    <row r="7" spans="1:7" x14ac:dyDescent="0.25">
      <c r="A7" s="30" t="s">
        <v>15</v>
      </c>
    </row>
    <row r="8" spans="1:7" x14ac:dyDescent="0.25">
      <c r="A8" s="30" t="s">
        <v>11</v>
      </c>
    </row>
    <row r="9" spans="1:7" x14ac:dyDescent="0.25">
      <c r="A9" s="30" t="s">
        <v>16</v>
      </c>
    </row>
    <row r="10" spans="1:7" x14ac:dyDescent="0.25">
      <c r="A10" s="30" t="s">
        <v>17</v>
      </c>
    </row>
    <row r="11" spans="1:7" x14ac:dyDescent="0.25">
      <c r="A11" s="30" t="s">
        <v>31</v>
      </c>
    </row>
    <row r="12" spans="1:7" x14ac:dyDescent="0.25">
      <c r="A12" s="30" t="s">
        <v>18</v>
      </c>
    </row>
    <row r="13" spans="1:7" x14ac:dyDescent="0.25">
      <c r="A13" s="29" t="s">
        <v>19</v>
      </c>
    </row>
    <row r="14" spans="1:7" x14ac:dyDescent="0.25">
      <c r="A14" s="29" t="s">
        <v>32</v>
      </c>
    </row>
    <row r="15" spans="1:7" x14ac:dyDescent="0.25">
      <c r="A15" s="29" t="s">
        <v>20</v>
      </c>
    </row>
    <row r="16" spans="1:7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7" ht="18.75" x14ac:dyDescent="0.3">
      <c r="E2" s="81" t="s">
        <v>136</v>
      </c>
      <c r="F2" s="81"/>
      <c r="G2" s="81"/>
    </row>
    <row r="4" spans="1:7" ht="15.75" x14ac:dyDescent="0.25">
      <c r="A4" s="35" t="s">
        <v>134</v>
      </c>
      <c r="E4" s="55" t="s">
        <v>130</v>
      </c>
      <c r="F4" s="56" t="s">
        <v>228</v>
      </c>
      <c r="G4" s="57" t="s">
        <v>131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28515625" bestFit="1" customWidth="1"/>
  </cols>
  <sheetData>
    <row r="2" spans="1:7" ht="18.75" x14ac:dyDescent="0.3">
      <c r="E2" s="81" t="s">
        <v>136</v>
      </c>
      <c r="F2" s="81"/>
      <c r="G2" s="81"/>
    </row>
    <row r="4" spans="1:7" ht="15.75" x14ac:dyDescent="0.25">
      <c r="A4" s="35" t="s">
        <v>134</v>
      </c>
      <c r="E4" s="55" t="s">
        <v>130</v>
      </c>
      <c r="F4" s="56" t="s">
        <v>135</v>
      </c>
      <c r="G4" s="57" t="s">
        <v>131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M19"/>
  <sheetViews>
    <sheetView workbookViewId="0">
      <selection activeCell="G10" sqref="G10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2" width="23.85546875" bestFit="1" customWidth="1"/>
    <col min="13" max="13" width="12.5703125" bestFit="1" customWidth="1"/>
  </cols>
  <sheetData>
    <row r="3" spans="1:13" ht="18.75" x14ac:dyDescent="0.3">
      <c r="A3" s="82" t="s">
        <v>137</v>
      </c>
      <c r="B3" s="82"/>
      <c r="C3" s="82"/>
      <c r="D3" s="82"/>
      <c r="E3" s="82"/>
      <c r="F3" s="82"/>
      <c r="G3" s="82"/>
      <c r="H3" s="82"/>
      <c r="L3" s="83" t="s">
        <v>132</v>
      </c>
      <c r="M3" s="83"/>
    </row>
    <row r="4" spans="1:13" x14ac:dyDescent="0.25">
      <c r="L4" s="38"/>
      <c r="M4" s="38"/>
    </row>
    <row r="5" spans="1:13" x14ac:dyDescent="0.25">
      <c r="A5" s="55" t="s">
        <v>146</v>
      </c>
      <c r="B5" s="56" t="s">
        <v>159</v>
      </c>
      <c r="C5" s="56" t="s">
        <v>138</v>
      </c>
      <c r="D5" s="56" t="s">
        <v>139</v>
      </c>
      <c r="E5" s="56" t="s">
        <v>143</v>
      </c>
      <c r="F5" s="56" t="s">
        <v>144</v>
      </c>
      <c r="G5" s="56" t="s">
        <v>145</v>
      </c>
      <c r="H5" s="57" t="s">
        <v>147</v>
      </c>
      <c r="I5" s="32"/>
      <c r="L5" s="37" t="s">
        <v>139</v>
      </c>
      <c r="M5" s="62"/>
    </row>
    <row r="6" spans="1:13" x14ac:dyDescent="0.25">
      <c r="A6" t="s">
        <v>160</v>
      </c>
      <c r="B6">
        <v>24</v>
      </c>
      <c r="C6" s="65">
        <v>44686</v>
      </c>
      <c r="D6" t="s">
        <v>141</v>
      </c>
      <c r="E6" t="s">
        <v>233</v>
      </c>
      <c r="F6">
        <v>20000</v>
      </c>
      <c r="G6">
        <v>864.41</v>
      </c>
      <c r="M6" s="63"/>
    </row>
    <row r="7" spans="1:13" x14ac:dyDescent="0.25">
      <c r="A7" t="s">
        <v>160</v>
      </c>
      <c r="B7" t="s">
        <v>229</v>
      </c>
      <c r="C7" t="s">
        <v>163</v>
      </c>
      <c r="D7" t="s">
        <v>140</v>
      </c>
      <c r="E7" t="s">
        <v>234</v>
      </c>
      <c r="F7" t="s">
        <v>230</v>
      </c>
      <c r="G7" t="s">
        <v>231</v>
      </c>
      <c r="L7" t="s">
        <v>141</v>
      </c>
      <c r="M7" s="29"/>
    </row>
    <row r="8" spans="1:13" x14ac:dyDescent="0.25">
      <c r="L8" t="s">
        <v>140</v>
      </c>
      <c r="M8" s="29"/>
    </row>
    <row r="9" spans="1:13" x14ac:dyDescent="0.25">
      <c r="L9" t="s">
        <v>142</v>
      </c>
      <c r="M9" s="29"/>
    </row>
    <row r="10" spans="1:13" x14ac:dyDescent="0.25">
      <c r="M10" s="29"/>
    </row>
    <row r="11" spans="1:13" x14ac:dyDescent="0.25">
      <c r="M11" s="29"/>
    </row>
    <row r="12" spans="1:13" x14ac:dyDescent="0.25">
      <c r="M12" s="29"/>
    </row>
    <row r="18" spans="11:13" x14ac:dyDescent="0.25">
      <c r="K18" s="61" t="s">
        <v>235</v>
      </c>
    </row>
    <row r="19" spans="11:13" x14ac:dyDescent="0.25">
      <c r="K19" t="s">
        <v>141</v>
      </c>
      <c r="L19" t="s">
        <v>140</v>
      </c>
      <c r="M19" t="s">
        <v>232</v>
      </c>
    </row>
  </sheetData>
  <mergeCells count="2">
    <mergeCell ref="A3:H3"/>
    <mergeCell ref="L3:M3"/>
  </mergeCell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B7ACE-0711-4DBC-820B-BE4E84EC861B}">
  <sheetPr codeName="Feuil22"/>
  <dimension ref="B3:H37"/>
  <sheetViews>
    <sheetView tabSelected="1" workbookViewId="0">
      <selection activeCell="F12" sqref="F12"/>
    </sheetView>
  </sheetViews>
  <sheetFormatPr baseColWidth="10" defaultRowHeight="15" x14ac:dyDescent="0.25"/>
  <cols>
    <col min="2" max="2" width="20.42578125" bestFit="1" customWidth="1"/>
    <col min="3" max="3" width="13.28515625" customWidth="1"/>
    <col min="4" max="4" width="12.85546875" bestFit="1" customWidth="1"/>
    <col min="5" max="5" width="20.7109375" bestFit="1" customWidth="1"/>
    <col min="6" max="6" width="14.5703125" bestFit="1" customWidth="1"/>
    <col min="7" max="7" width="16.5703125" bestFit="1" customWidth="1"/>
    <col min="8" max="8" width="15.140625" bestFit="1" customWidth="1"/>
    <col min="11" max="11" width="20.7109375" bestFit="1" customWidth="1"/>
    <col min="12" max="12" width="14.5703125" bestFit="1" customWidth="1"/>
    <col min="13" max="13" width="16.5703125" bestFit="1" customWidth="1"/>
    <col min="14" max="14" width="15.140625" bestFit="1" customWidth="1"/>
  </cols>
  <sheetData>
    <row r="3" spans="2:8" x14ac:dyDescent="0.25">
      <c r="B3" s="69" t="s">
        <v>239</v>
      </c>
      <c r="D3" s="68" t="s">
        <v>236</v>
      </c>
      <c r="E3" s="68" t="s">
        <v>243</v>
      </c>
      <c r="F3" s="68" t="s">
        <v>244</v>
      </c>
      <c r="G3" s="68" t="s">
        <v>245</v>
      </c>
      <c r="H3" s="68" t="s">
        <v>246</v>
      </c>
    </row>
    <row r="4" spans="2:8" x14ac:dyDescent="0.25">
      <c r="B4" s="1" t="s">
        <v>233</v>
      </c>
      <c r="D4" s="1" t="str">
        <f>_xlfn.XLOOKUP($B$4,Tableau1[libellé],Tableau1[date de début],"NA",0)</f>
        <v>05/05/2020</v>
      </c>
      <c r="E4" s="1">
        <f>_xlfn.XLOOKUP($B$4,Tableau1[libellé],Tableau1[Duree],"NA",0)</f>
        <v>24</v>
      </c>
      <c r="F4" s="66">
        <f>RATE(E4,-H4,G4,0,0)*12</f>
        <v>3.5400613806760156E-2</v>
      </c>
      <c r="G4" s="18">
        <f>_xlfn.XLOOKUP($B$4,Tableau1[libellé],Tableau1[montant emprunté],"NA",0)</f>
        <v>20000</v>
      </c>
      <c r="H4" s="1">
        <f>_xlfn.XLOOKUP($B$4,Tableau1[libellé],Tableau1[mensualité],"NA",0)</f>
        <v>864.41</v>
      </c>
    </row>
    <row r="8" spans="2:8" ht="21" x14ac:dyDescent="0.35">
      <c r="B8" s="84" t="s">
        <v>240</v>
      </c>
      <c r="C8" s="84"/>
      <c r="D8" s="84"/>
      <c r="E8" s="84"/>
      <c r="F8" s="84"/>
    </row>
    <row r="10" spans="2:8" x14ac:dyDescent="0.25">
      <c r="B10" t="s">
        <v>130</v>
      </c>
      <c r="C10" t="s">
        <v>238</v>
      </c>
      <c r="D10" t="s">
        <v>241</v>
      </c>
      <c r="E10" t="s">
        <v>242</v>
      </c>
      <c r="F10" t="s">
        <v>237</v>
      </c>
    </row>
    <row r="11" spans="2:8" x14ac:dyDescent="0.25">
      <c r="B11" s="67" t="str">
        <f>$D$4</f>
        <v>05/05/2020</v>
      </c>
      <c r="C11">
        <f>$H$4</f>
        <v>864.41</v>
      </c>
      <c r="D11" s="64">
        <f>$H$4*$F$4/12</f>
        <v>2.5500537150584619</v>
      </c>
      <c r="E11" s="64">
        <f>Tableau7[[#This Row],[Mensualité]]-Tableau7[[#This Row],[Intérêts]]</f>
        <v>861.85994628494154</v>
      </c>
      <c r="F11" s="64">
        <f>$G$4-Tableau7[[#This Row],[Capital]]</f>
        <v>19138.140053715058</v>
      </c>
    </row>
    <row r="12" spans="2:8" x14ac:dyDescent="0.25">
      <c r="B12" s="67" t="str">
        <f t="shared" ref="B12:B36" si="0">$D$4</f>
        <v>05/05/2020</v>
      </c>
      <c r="C12">
        <f t="shared" ref="C12:C36" si="1">$H$4</f>
        <v>864.41</v>
      </c>
      <c r="D12" s="64">
        <f>$F$11*$F$4/12</f>
        <v>56.458492085104574</v>
      </c>
      <c r="E12" s="64">
        <f>Tableau7[[#This Row],[Mensualité]]-Tableau7[[#This Row],[Intérêts]]</f>
        <v>807.95150791489539</v>
      </c>
      <c r="F12" s="64">
        <f>$F$11-Tableau7[[#This Row],[Capital]]</f>
        <v>18330.188545800163</v>
      </c>
    </row>
    <row r="13" spans="2:8" x14ac:dyDescent="0.25">
      <c r="B13" s="67" t="str">
        <f t="shared" si="0"/>
        <v>05/05/2020</v>
      </c>
      <c r="C13">
        <f t="shared" si="1"/>
        <v>864.41</v>
      </c>
      <c r="D13" s="64">
        <f t="shared" ref="D13:D36" si="2">$F$11*$F$4/12</f>
        <v>56.458492085104574</v>
      </c>
      <c r="E13" s="64">
        <f>Tableau7[[#This Row],[Mensualité]]-Tableau7[[#This Row],[Intérêts]]</f>
        <v>807.95150791489539</v>
      </c>
      <c r="F13" s="64">
        <f>$F$11-Tableau7[[#This Row],[Capital]]</f>
        <v>18330.188545800163</v>
      </c>
    </row>
    <row r="14" spans="2:8" x14ac:dyDescent="0.25">
      <c r="B14" s="67" t="str">
        <f t="shared" si="0"/>
        <v>05/05/2020</v>
      </c>
      <c r="C14">
        <f t="shared" si="1"/>
        <v>864.41</v>
      </c>
      <c r="D14" s="64">
        <f t="shared" si="2"/>
        <v>56.458492085104574</v>
      </c>
      <c r="E14" s="64">
        <f>Tableau7[[#This Row],[Mensualité]]-Tableau7[[#This Row],[Intérêts]]</f>
        <v>807.95150791489539</v>
      </c>
      <c r="F14" s="64">
        <f>$F$11-Tableau7[[#This Row],[Capital]]</f>
        <v>18330.188545800163</v>
      </c>
    </row>
    <row r="15" spans="2:8" x14ac:dyDescent="0.25">
      <c r="B15" s="67" t="str">
        <f t="shared" si="0"/>
        <v>05/05/2020</v>
      </c>
      <c r="C15">
        <f t="shared" si="1"/>
        <v>864.41</v>
      </c>
      <c r="D15" s="64">
        <f t="shared" si="2"/>
        <v>56.458492085104574</v>
      </c>
      <c r="E15" s="64">
        <f>Tableau7[[#This Row],[Mensualité]]-Tableau7[[#This Row],[Intérêts]]</f>
        <v>807.95150791489539</v>
      </c>
      <c r="F15" s="64">
        <f>$F$11-Tableau7[[#This Row],[Capital]]</f>
        <v>18330.188545800163</v>
      </c>
    </row>
    <row r="16" spans="2:8" x14ac:dyDescent="0.25">
      <c r="B16" s="67" t="str">
        <f t="shared" si="0"/>
        <v>05/05/2020</v>
      </c>
      <c r="C16">
        <f t="shared" si="1"/>
        <v>864.41</v>
      </c>
      <c r="D16" s="64">
        <f t="shared" si="2"/>
        <v>56.458492085104574</v>
      </c>
      <c r="E16" s="64">
        <f>Tableau7[[#This Row],[Mensualité]]-Tableau7[[#This Row],[Intérêts]]</f>
        <v>807.95150791489539</v>
      </c>
      <c r="F16" s="64">
        <f>$F$11-Tableau7[[#This Row],[Capital]]</f>
        <v>18330.188545800163</v>
      </c>
    </row>
    <row r="17" spans="2:6" x14ac:dyDescent="0.25">
      <c r="B17" s="67" t="str">
        <f t="shared" si="0"/>
        <v>05/05/2020</v>
      </c>
      <c r="C17">
        <f t="shared" si="1"/>
        <v>864.41</v>
      </c>
      <c r="D17" s="64">
        <f t="shared" si="2"/>
        <v>56.458492085104574</v>
      </c>
      <c r="E17" s="64">
        <f>Tableau7[[#This Row],[Mensualité]]-Tableau7[[#This Row],[Intérêts]]</f>
        <v>807.95150791489539</v>
      </c>
      <c r="F17" s="64">
        <f>$F$11-Tableau7[[#This Row],[Capital]]</f>
        <v>18330.188545800163</v>
      </c>
    </row>
    <row r="18" spans="2:6" x14ac:dyDescent="0.25">
      <c r="B18" s="67" t="str">
        <f t="shared" si="0"/>
        <v>05/05/2020</v>
      </c>
      <c r="C18">
        <f t="shared" si="1"/>
        <v>864.41</v>
      </c>
      <c r="D18" s="64">
        <f t="shared" si="2"/>
        <v>56.458492085104574</v>
      </c>
      <c r="E18" s="64">
        <f>Tableau7[[#This Row],[Mensualité]]-Tableau7[[#This Row],[Intérêts]]</f>
        <v>807.95150791489539</v>
      </c>
      <c r="F18" s="64">
        <f>$F$11-Tableau7[[#This Row],[Capital]]</f>
        <v>18330.188545800163</v>
      </c>
    </row>
    <row r="19" spans="2:6" x14ac:dyDescent="0.25">
      <c r="B19" s="67" t="str">
        <f t="shared" si="0"/>
        <v>05/05/2020</v>
      </c>
      <c r="C19">
        <f t="shared" si="1"/>
        <v>864.41</v>
      </c>
      <c r="D19" s="64">
        <f t="shared" si="2"/>
        <v>56.458492085104574</v>
      </c>
      <c r="E19" s="64">
        <f>Tableau7[[#This Row],[Mensualité]]-Tableau7[[#This Row],[Intérêts]]</f>
        <v>807.95150791489539</v>
      </c>
      <c r="F19" s="64">
        <f>$F$11-Tableau7[[#This Row],[Capital]]</f>
        <v>18330.188545800163</v>
      </c>
    </row>
    <row r="20" spans="2:6" x14ac:dyDescent="0.25">
      <c r="B20" s="67" t="str">
        <f t="shared" si="0"/>
        <v>05/05/2020</v>
      </c>
      <c r="C20">
        <f t="shared" si="1"/>
        <v>864.41</v>
      </c>
      <c r="D20" s="64">
        <f t="shared" si="2"/>
        <v>56.458492085104574</v>
      </c>
      <c r="E20" s="64">
        <f>Tableau7[[#This Row],[Mensualité]]-Tableau7[[#This Row],[Intérêts]]</f>
        <v>807.95150791489539</v>
      </c>
      <c r="F20" s="64">
        <f>$F$11-Tableau7[[#This Row],[Capital]]</f>
        <v>18330.188545800163</v>
      </c>
    </row>
    <row r="21" spans="2:6" x14ac:dyDescent="0.25">
      <c r="B21" s="67" t="str">
        <f t="shared" si="0"/>
        <v>05/05/2020</v>
      </c>
      <c r="C21">
        <f t="shared" si="1"/>
        <v>864.41</v>
      </c>
      <c r="D21" s="64">
        <f t="shared" si="2"/>
        <v>56.458492085104574</v>
      </c>
      <c r="E21" s="64">
        <f>Tableau7[[#This Row],[Mensualité]]-Tableau7[[#This Row],[Intérêts]]</f>
        <v>807.95150791489539</v>
      </c>
      <c r="F21" s="64">
        <f>$F$11-Tableau7[[#This Row],[Capital]]</f>
        <v>18330.188545800163</v>
      </c>
    </row>
    <row r="22" spans="2:6" x14ac:dyDescent="0.25">
      <c r="B22" s="67" t="str">
        <f t="shared" si="0"/>
        <v>05/05/2020</v>
      </c>
      <c r="C22">
        <f t="shared" si="1"/>
        <v>864.41</v>
      </c>
      <c r="D22" s="64">
        <f t="shared" si="2"/>
        <v>56.458492085104574</v>
      </c>
      <c r="E22" s="64">
        <f>Tableau7[[#This Row],[Mensualité]]-Tableau7[[#This Row],[Intérêts]]</f>
        <v>807.95150791489539</v>
      </c>
      <c r="F22" s="64">
        <f>$F$11-Tableau7[[#This Row],[Capital]]</f>
        <v>18330.188545800163</v>
      </c>
    </row>
    <row r="23" spans="2:6" x14ac:dyDescent="0.25">
      <c r="B23" s="67" t="str">
        <f t="shared" si="0"/>
        <v>05/05/2020</v>
      </c>
      <c r="C23">
        <f t="shared" si="1"/>
        <v>864.41</v>
      </c>
      <c r="D23" s="64">
        <f t="shared" si="2"/>
        <v>56.458492085104574</v>
      </c>
      <c r="E23" s="64">
        <f>Tableau7[[#This Row],[Mensualité]]-Tableau7[[#This Row],[Intérêts]]</f>
        <v>807.95150791489539</v>
      </c>
      <c r="F23" s="64">
        <f>$F$11-Tableau7[[#This Row],[Capital]]</f>
        <v>18330.188545800163</v>
      </c>
    </row>
    <row r="24" spans="2:6" x14ac:dyDescent="0.25">
      <c r="B24" s="67" t="str">
        <f t="shared" si="0"/>
        <v>05/05/2020</v>
      </c>
      <c r="C24">
        <f t="shared" si="1"/>
        <v>864.41</v>
      </c>
      <c r="D24" s="64">
        <f t="shared" si="2"/>
        <v>56.458492085104574</v>
      </c>
      <c r="E24" s="64">
        <f>Tableau7[[#This Row],[Mensualité]]-Tableau7[[#This Row],[Intérêts]]</f>
        <v>807.95150791489539</v>
      </c>
      <c r="F24" s="64">
        <f>$F$11-Tableau7[[#This Row],[Capital]]</f>
        <v>18330.188545800163</v>
      </c>
    </row>
    <row r="25" spans="2:6" x14ac:dyDescent="0.25">
      <c r="B25" s="67" t="str">
        <f t="shared" si="0"/>
        <v>05/05/2020</v>
      </c>
      <c r="C25">
        <f t="shared" si="1"/>
        <v>864.41</v>
      </c>
      <c r="D25" s="64">
        <f t="shared" si="2"/>
        <v>56.458492085104574</v>
      </c>
      <c r="E25" s="64">
        <f>Tableau7[[#This Row],[Mensualité]]-Tableau7[[#This Row],[Intérêts]]</f>
        <v>807.95150791489539</v>
      </c>
      <c r="F25" s="64">
        <f>$F$11-Tableau7[[#This Row],[Capital]]</f>
        <v>18330.188545800163</v>
      </c>
    </row>
    <row r="26" spans="2:6" x14ac:dyDescent="0.25">
      <c r="B26" s="67" t="str">
        <f t="shared" si="0"/>
        <v>05/05/2020</v>
      </c>
      <c r="C26">
        <f t="shared" si="1"/>
        <v>864.41</v>
      </c>
      <c r="D26" s="64">
        <f t="shared" si="2"/>
        <v>56.458492085104574</v>
      </c>
      <c r="E26" s="64">
        <f>Tableau7[[#This Row],[Mensualité]]-Tableau7[[#This Row],[Intérêts]]</f>
        <v>807.95150791489539</v>
      </c>
      <c r="F26" s="64">
        <f>$F$11-Tableau7[[#This Row],[Capital]]</f>
        <v>18330.188545800163</v>
      </c>
    </row>
    <row r="27" spans="2:6" x14ac:dyDescent="0.25">
      <c r="B27" s="67" t="str">
        <f t="shared" si="0"/>
        <v>05/05/2020</v>
      </c>
      <c r="C27">
        <f t="shared" si="1"/>
        <v>864.41</v>
      </c>
      <c r="D27" s="64">
        <f t="shared" si="2"/>
        <v>56.458492085104574</v>
      </c>
      <c r="E27" s="64">
        <f>Tableau7[[#This Row],[Mensualité]]-Tableau7[[#This Row],[Intérêts]]</f>
        <v>807.95150791489539</v>
      </c>
      <c r="F27" s="64">
        <f>$F$11-Tableau7[[#This Row],[Capital]]</f>
        <v>18330.188545800163</v>
      </c>
    </row>
    <row r="28" spans="2:6" x14ac:dyDescent="0.25">
      <c r="B28" s="67" t="str">
        <f t="shared" si="0"/>
        <v>05/05/2020</v>
      </c>
      <c r="C28">
        <f t="shared" si="1"/>
        <v>864.41</v>
      </c>
      <c r="D28" s="64">
        <f t="shared" si="2"/>
        <v>56.458492085104574</v>
      </c>
      <c r="E28" s="64">
        <f>Tableau7[[#This Row],[Mensualité]]-Tableau7[[#This Row],[Intérêts]]</f>
        <v>807.95150791489539</v>
      </c>
      <c r="F28" s="64">
        <f>$F$11-Tableau7[[#This Row],[Capital]]</f>
        <v>18330.188545800163</v>
      </c>
    </row>
    <row r="29" spans="2:6" x14ac:dyDescent="0.25">
      <c r="B29" s="67" t="str">
        <f t="shared" si="0"/>
        <v>05/05/2020</v>
      </c>
      <c r="C29">
        <f t="shared" si="1"/>
        <v>864.41</v>
      </c>
      <c r="D29" s="64">
        <f t="shared" si="2"/>
        <v>56.458492085104574</v>
      </c>
      <c r="E29" s="64">
        <f>Tableau7[[#This Row],[Mensualité]]-Tableau7[[#This Row],[Intérêts]]</f>
        <v>807.95150791489539</v>
      </c>
      <c r="F29" s="64">
        <f>$F$11-Tableau7[[#This Row],[Capital]]</f>
        <v>18330.188545800163</v>
      </c>
    </row>
    <row r="30" spans="2:6" x14ac:dyDescent="0.25">
      <c r="B30" s="67" t="str">
        <f t="shared" si="0"/>
        <v>05/05/2020</v>
      </c>
      <c r="C30">
        <f t="shared" si="1"/>
        <v>864.41</v>
      </c>
      <c r="D30" s="64">
        <f t="shared" si="2"/>
        <v>56.458492085104574</v>
      </c>
      <c r="E30" s="64">
        <f>Tableau7[[#This Row],[Mensualité]]-Tableau7[[#This Row],[Intérêts]]</f>
        <v>807.95150791489539</v>
      </c>
      <c r="F30" s="64">
        <f>$F$11-Tableau7[[#This Row],[Capital]]</f>
        <v>18330.188545800163</v>
      </c>
    </row>
    <row r="31" spans="2:6" x14ac:dyDescent="0.25">
      <c r="B31" s="67" t="str">
        <f t="shared" si="0"/>
        <v>05/05/2020</v>
      </c>
      <c r="C31">
        <f t="shared" si="1"/>
        <v>864.41</v>
      </c>
      <c r="D31" s="64">
        <f t="shared" si="2"/>
        <v>56.458492085104574</v>
      </c>
      <c r="E31" s="64">
        <f>Tableau7[[#This Row],[Mensualité]]-Tableau7[[#This Row],[Intérêts]]</f>
        <v>807.95150791489539</v>
      </c>
      <c r="F31" s="64">
        <f>$F$11-Tableau7[[#This Row],[Capital]]</f>
        <v>18330.188545800163</v>
      </c>
    </row>
    <row r="32" spans="2:6" x14ac:dyDescent="0.25">
      <c r="B32" s="67" t="str">
        <f t="shared" si="0"/>
        <v>05/05/2020</v>
      </c>
      <c r="C32">
        <f t="shared" si="1"/>
        <v>864.41</v>
      </c>
      <c r="D32" s="64">
        <f t="shared" si="2"/>
        <v>56.458492085104574</v>
      </c>
      <c r="E32" s="64">
        <f>Tableau7[[#This Row],[Mensualité]]-Tableau7[[#This Row],[Intérêts]]</f>
        <v>807.95150791489539</v>
      </c>
      <c r="F32" s="64">
        <f>$F$11-Tableau7[[#This Row],[Capital]]</f>
        <v>18330.188545800163</v>
      </c>
    </row>
    <row r="33" spans="2:6" x14ac:dyDescent="0.25">
      <c r="B33" s="67" t="str">
        <f t="shared" si="0"/>
        <v>05/05/2020</v>
      </c>
      <c r="C33">
        <f t="shared" si="1"/>
        <v>864.41</v>
      </c>
      <c r="D33" s="64">
        <f t="shared" si="2"/>
        <v>56.458492085104574</v>
      </c>
      <c r="E33" s="64">
        <f>Tableau7[[#This Row],[Mensualité]]-Tableau7[[#This Row],[Intérêts]]</f>
        <v>807.95150791489539</v>
      </c>
      <c r="F33" s="64">
        <f>$F$11-Tableau7[[#This Row],[Capital]]</f>
        <v>18330.188545800163</v>
      </c>
    </row>
    <row r="34" spans="2:6" x14ac:dyDescent="0.25">
      <c r="B34" s="67" t="str">
        <f t="shared" si="0"/>
        <v>05/05/2020</v>
      </c>
      <c r="C34">
        <f t="shared" si="1"/>
        <v>864.41</v>
      </c>
      <c r="D34" s="64">
        <f t="shared" si="2"/>
        <v>56.458492085104574</v>
      </c>
      <c r="E34" s="64">
        <f>Tableau7[[#This Row],[Mensualité]]-Tableau7[[#This Row],[Intérêts]]</f>
        <v>807.95150791489539</v>
      </c>
      <c r="F34" s="64">
        <f>$F$11-Tableau7[[#This Row],[Capital]]</f>
        <v>18330.188545800163</v>
      </c>
    </row>
    <row r="35" spans="2:6" x14ac:dyDescent="0.25">
      <c r="B35" s="67" t="str">
        <f t="shared" si="0"/>
        <v>05/05/2020</v>
      </c>
      <c r="C35">
        <f t="shared" si="1"/>
        <v>864.41</v>
      </c>
      <c r="D35" s="64">
        <f t="shared" si="2"/>
        <v>56.458492085104574</v>
      </c>
      <c r="E35" s="64">
        <f>Tableau7[[#This Row],[Mensualité]]-Tableau7[[#This Row],[Intérêts]]</f>
        <v>807.95150791489539</v>
      </c>
      <c r="F35" s="64">
        <f>$F$11-Tableau7[[#This Row],[Capital]]</f>
        <v>18330.188545800163</v>
      </c>
    </row>
    <row r="36" spans="2:6" x14ac:dyDescent="0.25">
      <c r="B36" s="67" t="str">
        <f t="shared" si="0"/>
        <v>05/05/2020</v>
      </c>
      <c r="C36">
        <f t="shared" si="1"/>
        <v>864.41</v>
      </c>
      <c r="D36" s="64">
        <f t="shared" si="2"/>
        <v>56.458492085104574</v>
      </c>
      <c r="E36" s="64">
        <f>Tableau7[[#This Row],[Mensualité]]-Tableau7[[#This Row],[Intérêts]]</f>
        <v>807.95150791489539</v>
      </c>
      <c r="F36" s="64">
        <f>$F$11-Tableau7[[#This Row],[Capital]]</f>
        <v>18330.188545800163</v>
      </c>
    </row>
    <row r="37" spans="2:6" x14ac:dyDescent="0.25">
      <c r="B37" s="67"/>
      <c r="D37" s="64"/>
      <c r="E37" s="64"/>
      <c r="F37" s="64"/>
    </row>
  </sheetData>
  <mergeCells count="1">
    <mergeCell ref="B8:F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1">
                <anchor moveWithCells="1" sizeWithCells="1">
                  <from>
                    <xdr:col>1</xdr:col>
                    <xdr:colOff>790575</xdr:colOff>
                    <xdr:row>4</xdr:row>
                    <xdr:rowOff>152400</xdr:rowOff>
                  </from>
                  <to>
                    <xdr:col>2</xdr:col>
                    <xdr:colOff>333375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13B1FE-7896-4F58-AA5B-03660E4233CA}">
          <x14:formula1>
            <xm:f>D_Emprunts!$E$6:$E$7</xm:f>
          </x14:formula1>
          <xm:sqref>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B13" sqref="A13:K39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99" t="s">
        <v>30</v>
      </c>
      <c r="B1" s="99"/>
      <c r="C1" s="99"/>
      <c r="D1" s="99"/>
      <c r="E1" s="99"/>
      <c r="F1" s="99"/>
      <c r="G1" s="99"/>
      <c r="H1" s="99"/>
    </row>
    <row r="2" spans="1:11" ht="15" customHeight="1" x14ac:dyDescent="0.25">
      <c r="A2" s="90" t="s">
        <v>67</v>
      </c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1" ht="15" customHeight="1" x14ac:dyDescent="0.25">
      <c r="A3" s="92" t="s">
        <v>72</v>
      </c>
      <c r="B3" s="93"/>
      <c r="C3" s="93"/>
      <c r="D3" s="93"/>
      <c r="E3" s="93"/>
      <c r="F3" s="93"/>
      <c r="G3" s="93"/>
      <c r="H3" s="93"/>
      <c r="I3" s="93"/>
      <c r="J3" s="93"/>
      <c r="K3" s="94"/>
    </row>
    <row r="4" spans="1:11" ht="15" customHeight="1" x14ac:dyDescent="0.25">
      <c r="A4" s="10"/>
      <c r="B4" s="92" t="s">
        <v>25</v>
      </c>
      <c r="C4" s="93"/>
      <c r="D4" s="94"/>
      <c r="E4" s="92" t="s">
        <v>26</v>
      </c>
      <c r="F4" s="93"/>
      <c r="G4" s="93"/>
      <c r="H4" s="94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87"/>
      <c r="C5" s="88"/>
      <c r="D5" s="89"/>
      <c r="E5" s="87">
        <v>299.63</v>
      </c>
      <c r="F5" s="88"/>
      <c r="G5" s="88"/>
      <c r="H5" s="89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87"/>
      <c r="C6" s="88"/>
      <c r="D6" s="89"/>
      <c r="E6" s="87">
        <v>212.1</v>
      </c>
      <c r="F6" s="88"/>
      <c r="G6" s="88"/>
      <c r="H6" s="89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98"/>
      <c r="C7" s="98"/>
      <c r="D7" s="98"/>
      <c r="E7" s="98"/>
      <c r="F7" s="98"/>
      <c r="G7" s="98"/>
      <c r="H7" s="98"/>
      <c r="I7" s="1"/>
      <c r="J7" s="1"/>
      <c r="K7" s="1"/>
    </row>
    <row r="8" spans="1:11" ht="15" customHeight="1" x14ac:dyDescent="0.25">
      <c r="A8" s="1"/>
      <c r="B8" s="98"/>
      <c r="C8" s="98"/>
      <c r="D8" s="98"/>
      <c r="E8" s="98"/>
      <c r="F8" s="98"/>
      <c r="G8" s="98"/>
      <c r="H8" s="98"/>
      <c r="I8" s="1"/>
      <c r="J8" s="1"/>
      <c r="K8" s="1"/>
    </row>
    <row r="9" spans="1:11" ht="15" customHeight="1" x14ac:dyDescent="0.25">
      <c r="A9" s="1"/>
      <c r="B9" s="87"/>
      <c r="C9" s="88"/>
      <c r="D9" s="89"/>
      <c r="E9" s="87"/>
      <c r="F9" s="88"/>
      <c r="G9" s="88"/>
      <c r="H9" s="89"/>
      <c r="I9" s="1"/>
      <c r="J9" s="1"/>
      <c r="K9" s="19"/>
    </row>
    <row r="10" spans="1:11" ht="15" customHeight="1" x14ac:dyDescent="0.25">
      <c r="A10" s="1"/>
      <c r="B10" s="87"/>
      <c r="C10" s="88"/>
      <c r="D10" s="89"/>
      <c r="E10" s="87"/>
      <c r="F10" s="88"/>
      <c r="G10" s="88"/>
      <c r="H10" s="89"/>
      <c r="I10" s="1"/>
      <c r="J10" s="1"/>
      <c r="K10" s="1"/>
    </row>
    <row r="11" spans="1:11" ht="15.75" x14ac:dyDescent="0.25">
      <c r="A11" s="11" t="s">
        <v>75</v>
      </c>
      <c r="B11" s="86">
        <f>SUM(B5:D10)</f>
        <v>0</v>
      </c>
      <c r="C11" s="86"/>
      <c r="D11" s="86"/>
      <c r="E11" s="87">
        <f>SUM(E5:H10)</f>
        <v>511.73</v>
      </c>
      <c r="F11" s="88"/>
      <c r="G11" s="88"/>
      <c r="H11" s="88"/>
      <c r="I11" s="88"/>
      <c r="J11" s="88"/>
      <c r="K11" s="89"/>
    </row>
    <row r="12" spans="1:11" ht="15.75" customHeight="1" x14ac:dyDescent="0.25">
      <c r="A12" s="95" t="s">
        <v>73</v>
      </c>
      <c r="B12" s="96"/>
      <c r="C12" s="96"/>
      <c r="D12" s="96"/>
      <c r="E12" s="96"/>
      <c r="F12" s="96"/>
      <c r="G12" s="96"/>
      <c r="H12" s="96"/>
      <c r="I12" s="96"/>
      <c r="J12" s="96"/>
      <c r="K12" s="97"/>
    </row>
    <row r="13" spans="1:11" ht="15.75" customHeight="1" x14ac:dyDescent="0.25">
      <c r="A13" s="3"/>
      <c r="B13" s="87" t="s">
        <v>25</v>
      </c>
      <c r="C13" s="88"/>
      <c r="D13" s="89"/>
      <c r="E13" s="87" t="s">
        <v>26</v>
      </c>
      <c r="F13" s="88"/>
      <c r="G13" s="88"/>
      <c r="H13" s="89"/>
      <c r="I13" s="1"/>
      <c r="J13" s="1"/>
      <c r="K13" s="1"/>
    </row>
    <row r="14" spans="1:11" ht="15.75" x14ac:dyDescent="0.25">
      <c r="A14" s="3" t="s">
        <v>69</v>
      </c>
      <c r="B14" s="87"/>
      <c r="C14" s="88"/>
      <c r="D14" s="89"/>
      <c r="E14" s="87">
        <v>339.83</v>
      </c>
      <c r="F14" s="88"/>
      <c r="G14" s="88"/>
      <c r="H14" s="89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87"/>
      <c r="C15" s="88"/>
      <c r="D15" s="89"/>
      <c r="E15" s="87"/>
      <c r="F15" s="88"/>
      <c r="G15" s="88"/>
      <c r="H15" s="89"/>
      <c r="I15" s="1"/>
      <c r="J15" s="1"/>
      <c r="K15" s="1"/>
    </row>
    <row r="16" spans="1:11" ht="15.75" x14ac:dyDescent="0.25">
      <c r="A16" s="3"/>
      <c r="B16" s="87"/>
      <c r="C16" s="88"/>
      <c r="D16" s="89"/>
      <c r="E16" s="87"/>
      <c r="F16" s="88"/>
      <c r="G16" s="88"/>
      <c r="H16" s="89"/>
      <c r="I16" s="1"/>
      <c r="J16" s="1"/>
      <c r="K16" s="1"/>
    </row>
    <row r="17" spans="1:11" ht="15.75" x14ac:dyDescent="0.25">
      <c r="A17" s="3"/>
      <c r="B17" s="87"/>
      <c r="C17" s="88"/>
      <c r="D17" s="89"/>
      <c r="E17" s="87"/>
      <c r="F17" s="88"/>
      <c r="G17" s="88"/>
      <c r="H17" s="89"/>
      <c r="I17" s="1"/>
      <c r="J17" s="1"/>
      <c r="K17" s="1"/>
    </row>
    <row r="18" spans="1:11" ht="15.75" x14ac:dyDescent="0.25">
      <c r="A18" s="3"/>
      <c r="B18" s="87"/>
      <c r="C18" s="88"/>
      <c r="D18" s="89"/>
      <c r="E18" s="87"/>
      <c r="F18" s="88"/>
      <c r="G18" s="88"/>
      <c r="H18" s="89"/>
      <c r="I18" s="1"/>
      <c r="J18" s="1"/>
      <c r="K18" s="1"/>
    </row>
    <row r="19" spans="1:11" ht="15.75" x14ac:dyDescent="0.25">
      <c r="A19" s="3" t="s">
        <v>74</v>
      </c>
      <c r="B19" s="87">
        <f>SUM(B14:D18)</f>
        <v>0</v>
      </c>
      <c r="C19" s="88"/>
      <c r="D19" s="89"/>
      <c r="E19" s="87">
        <f>SUM(E14:H18)</f>
        <v>339.83</v>
      </c>
      <c r="F19" s="88"/>
      <c r="G19" s="88"/>
      <c r="H19" s="88"/>
      <c r="I19" s="88"/>
      <c r="J19" s="88"/>
      <c r="K19" s="89"/>
    </row>
    <row r="20" spans="1:11" x14ac:dyDescent="0.25">
      <c r="A20" s="91" t="s">
        <v>68</v>
      </c>
      <c r="B20" s="91"/>
      <c r="C20" s="91"/>
      <c r="D20" s="91"/>
      <c r="E20" s="91"/>
      <c r="F20" s="91"/>
      <c r="G20" s="91"/>
      <c r="H20" s="91"/>
      <c r="I20" s="91"/>
      <c r="J20" s="91"/>
      <c r="K20" s="91"/>
    </row>
    <row r="21" spans="1:11" ht="15.75" customHeight="1" x14ac:dyDescent="0.25">
      <c r="A21" s="24" t="s">
        <v>69</v>
      </c>
      <c r="B21" s="85">
        <v>347.45</v>
      </c>
      <c r="C21" s="85"/>
      <c r="D21" s="85"/>
      <c r="E21" s="85"/>
      <c r="F21" s="85"/>
      <c r="G21" s="85"/>
      <c r="H21" s="85"/>
      <c r="I21" s="85"/>
      <c r="J21" s="85"/>
      <c r="K21" s="85"/>
    </row>
    <row r="22" spans="1:11" ht="15.75" customHeight="1" x14ac:dyDescent="0.25">
      <c r="A22" s="3" t="s">
        <v>70</v>
      </c>
      <c r="B22" s="85">
        <v>248.97</v>
      </c>
      <c r="C22" s="85"/>
      <c r="D22" s="85"/>
      <c r="E22" s="85"/>
      <c r="F22" s="85"/>
      <c r="G22" s="85"/>
      <c r="H22" s="85"/>
      <c r="I22" s="85"/>
      <c r="J22" s="85"/>
      <c r="K22" s="85"/>
    </row>
    <row r="23" spans="1:11" ht="15.75" customHeight="1" x14ac:dyDescent="0.25">
      <c r="A23" s="3" t="s">
        <v>71</v>
      </c>
      <c r="B23" s="86">
        <v>463.58</v>
      </c>
      <c r="C23" s="86"/>
      <c r="D23" s="86"/>
      <c r="E23" s="86"/>
      <c r="F23" s="86"/>
      <c r="G23" s="86"/>
      <c r="H23" s="86"/>
      <c r="I23" s="86"/>
      <c r="J23" s="86"/>
      <c r="K23" s="86"/>
    </row>
    <row r="24" spans="1:11" x14ac:dyDescent="0.25">
      <c r="A24" s="5" t="s">
        <v>76</v>
      </c>
      <c r="B24" s="100">
        <f>SUM(B21:K23)</f>
        <v>1060</v>
      </c>
      <c r="C24" s="101"/>
      <c r="D24" s="101"/>
      <c r="E24" s="101"/>
      <c r="F24" s="101"/>
      <c r="G24" s="101"/>
      <c r="H24" s="101"/>
      <c r="I24" s="101"/>
      <c r="J24" s="101"/>
      <c r="K24" s="102"/>
    </row>
    <row r="25" spans="1:11" ht="30" customHeight="1" x14ac:dyDescent="0.25">
      <c r="A25" s="25" t="s">
        <v>77</v>
      </c>
      <c r="B25" s="103">
        <f>SUM(E11+E19+B24)</f>
        <v>1911.56</v>
      </c>
      <c r="C25" s="104"/>
      <c r="D25" s="104"/>
      <c r="E25" s="104"/>
      <c r="F25" s="104"/>
      <c r="G25" s="104"/>
      <c r="H25" s="104"/>
      <c r="I25" s="104"/>
      <c r="J25" s="104"/>
      <c r="K25" s="104"/>
    </row>
  </sheetData>
  <mergeCells count="40"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</mergeCells>
  <pageMargins left="0.7" right="0.7" top="0.75" bottom="0.75" header="0.3" footer="0.3"/>
  <pageSetup paperSize="9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98" t="s">
        <v>30</v>
      </c>
      <c r="B1" s="98"/>
      <c r="C1" s="98"/>
      <c r="D1" s="98"/>
      <c r="E1" s="98"/>
      <c r="F1" s="98"/>
      <c r="G1" s="98"/>
      <c r="H1" s="98"/>
    </row>
    <row r="2" spans="1:8" ht="15" customHeight="1" x14ac:dyDescent="0.25">
      <c r="A2" s="98" t="s">
        <v>66</v>
      </c>
      <c r="B2" s="98"/>
      <c r="C2" s="98"/>
      <c r="D2" s="98"/>
      <c r="E2" s="98"/>
      <c r="F2" s="98"/>
      <c r="G2" s="98"/>
      <c r="H2" s="1"/>
    </row>
    <row r="3" spans="1:8" ht="15.75" x14ac:dyDescent="0.25">
      <c r="A3" s="105" t="s">
        <v>53</v>
      </c>
      <c r="B3" s="106"/>
      <c r="C3" s="106"/>
      <c r="D3" s="107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87">
        <v>0</v>
      </c>
      <c r="C4" s="88"/>
      <c r="D4" s="89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87"/>
      <c r="C5" s="88"/>
      <c r="D5" s="89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87"/>
      <c r="C6" s="88"/>
      <c r="D6" s="89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87"/>
      <c r="C7" s="88"/>
      <c r="D7" s="89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87"/>
      <c r="C8" s="88"/>
      <c r="D8" s="89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87"/>
      <c r="C9" s="88"/>
      <c r="D9" s="89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87"/>
      <c r="C10" s="88"/>
      <c r="D10" s="89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87"/>
      <c r="C11" s="88"/>
      <c r="D11" s="89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87"/>
      <c r="C12" s="88"/>
      <c r="D12" s="89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87"/>
      <c r="C13" s="88"/>
      <c r="D13" s="89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87"/>
      <c r="C14" s="88"/>
      <c r="D14" s="89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87"/>
      <c r="C15" s="88"/>
      <c r="D15" s="89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87"/>
      <c r="C16" s="88"/>
      <c r="D16" s="89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87"/>
      <c r="C17" s="88"/>
      <c r="D17" s="89"/>
      <c r="E17" s="18">
        <v>80000</v>
      </c>
      <c r="F17" s="18"/>
      <c r="G17" s="19">
        <v>44303</v>
      </c>
    </row>
    <row r="18" spans="1:8" ht="15.75" x14ac:dyDescent="0.25">
      <c r="A18" s="3"/>
      <c r="B18" s="87"/>
      <c r="C18" s="88"/>
      <c r="D18" s="89"/>
      <c r="E18" s="18">
        <v>80000</v>
      </c>
      <c r="F18" s="18"/>
      <c r="G18" s="19">
        <v>44303</v>
      </c>
    </row>
    <row r="19" spans="1:8" ht="15.75" x14ac:dyDescent="0.25">
      <c r="A19" s="3"/>
      <c r="B19" s="87"/>
      <c r="C19" s="88"/>
      <c r="D19" s="89"/>
      <c r="E19" s="18">
        <v>80000</v>
      </c>
      <c r="F19" s="18"/>
      <c r="G19" s="19">
        <v>44303</v>
      </c>
    </row>
    <row r="20" spans="1:8" ht="15.75" x14ac:dyDescent="0.25">
      <c r="A20" s="3"/>
      <c r="B20" s="87"/>
      <c r="C20" s="88"/>
      <c r="D20" s="89"/>
      <c r="E20" s="18">
        <v>80000</v>
      </c>
      <c r="F20" s="18"/>
      <c r="G20" s="19">
        <v>44303</v>
      </c>
    </row>
    <row r="21" spans="1:8" ht="15.75" x14ac:dyDescent="0.25">
      <c r="A21" s="3"/>
      <c r="B21" s="87"/>
      <c r="C21" s="88"/>
      <c r="D21" s="89"/>
      <c r="E21" s="18">
        <v>80000</v>
      </c>
      <c r="F21" s="18"/>
      <c r="G21" s="19">
        <v>44303</v>
      </c>
    </row>
    <row r="22" spans="1:8" ht="15.75" x14ac:dyDescent="0.25">
      <c r="A22" s="3"/>
      <c r="B22" s="87"/>
      <c r="C22" s="88"/>
      <c r="D22" s="89"/>
      <c r="E22" s="18">
        <v>80000</v>
      </c>
      <c r="F22" s="18"/>
      <c r="G22" s="19">
        <v>44303</v>
      </c>
    </row>
    <row r="23" spans="1:8" ht="15.75" x14ac:dyDescent="0.25">
      <c r="A23" s="3"/>
      <c r="B23" s="87"/>
      <c r="C23" s="88"/>
      <c r="D23" s="89"/>
      <c r="E23" s="18">
        <v>80000</v>
      </c>
      <c r="F23" s="18"/>
      <c r="G23" s="19">
        <v>44303</v>
      </c>
    </row>
    <row r="24" spans="1:8" ht="15.75" x14ac:dyDescent="0.25">
      <c r="A24" s="3"/>
      <c r="B24" s="87"/>
      <c r="C24" s="88"/>
      <c r="D24" s="89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18">
        <v>80000</v>
      </c>
      <c r="F25" s="1"/>
      <c r="G25" s="19">
        <v>44303</v>
      </c>
      <c r="H25" s="22"/>
    </row>
  </sheetData>
  <mergeCells count="25"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  <mergeCell ref="B23:D23"/>
    <mergeCell ref="B24:D24"/>
    <mergeCell ref="B25:D25"/>
    <mergeCell ref="B20:D20"/>
    <mergeCell ref="B21:D21"/>
    <mergeCell ref="B22:D22"/>
    <mergeCell ref="B17:D17"/>
    <mergeCell ref="B18:D18"/>
    <mergeCell ref="B19:D19"/>
    <mergeCell ref="B14:D14"/>
    <mergeCell ref="B15:D15"/>
    <mergeCell ref="B16:D16"/>
  </mergeCells>
  <pageMargins left="0.7" right="0.7" top="0.75" bottom="0.75" header="0.3" footer="0.3"/>
  <pageSetup paperSize="9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G23"/>
  <sheetViews>
    <sheetView workbookViewId="0">
      <selection activeCell="H22" sqref="H22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7" ht="18.75" x14ac:dyDescent="0.3">
      <c r="E2" s="81" t="s">
        <v>148</v>
      </c>
      <c r="F2" s="81"/>
      <c r="G2" s="81"/>
    </row>
    <row r="4" spans="1:7" ht="15.75" x14ac:dyDescent="0.25">
      <c r="A4" s="36" t="s">
        <v>150</v>
      </c>
      <c r="B4" s="36" t="s">
        <v>152</v>
      </c>
      <c r="E4" s="51" t="s">
        <v>130</v>
      </c>
      <c r="F4" s="52" t="s">
        <v>151</v>
      </c>
      <c r="G4" s="53" t="s">
        <v>149</v>
      </c>
    </row>
    <row r="5" spans="1:7" x14ac:dyDescent="0.25">
      <c r="A5" s="32"/>
      <c r="E5" s="48"/>
      <c r="F5" s="49"/>
      <c r="G5" s="50"/>
    </row>
    <row r="6" spans="1:7" x14ac:dyDescent="0.25">
      <c r="A6" s="33" t="s">
        <v>78</v>
      </c>
      <c r="B6" t="s">
        <v>153</v>
      </c>
    </row>
    <row r="7" spans="1:7" x14ac:dyDescent="0.25">
      <c r="A7" s="33" t="s">
        <v>80</v>
      </c>
      <c r="B7" t="s">
        <v>154</v>
      </c>
    </row>
    <row r="8" spans="1:7" x14ac:dyDescent="0.25">
      <c r="A8" s="33" t="s">
        <v>108</v>
      </c>
    </row>
    <row r="9" spans="1:7" x14ac:dyDescent="0.25">
      <c r="A9" s="33" t="s">
        <v>81</v>
      </c>
    </row>
    <row r="10" spans="1:7" x14ac:dyDescent="0.25">
      <c r="A10" s="33" t="s">
        <v>82</v>
      </c>
    </row>
    <row r="11" spans="1:7" x14ac:dyDescent="0.25">
      <c r="A11" s="33" t="s">
        <v>83</v>
      </c>
    </row>
    <row r="12" spans="1:7" x14ac:dyDescent="0.25">
      <c r="A12" s="33" t="s">
        <v>84</v>
      </c>
    </row>
    <row r="13" spans="1:7" x14ac:dyDescent="0.25">
      <c r="A13" s="33" t="s">
        <v>85</v>
      </c>
    </row>
    <row r="14" spans="1:7" x14ac:dyDescent="0.25">
      <c r="A14" s="34"/>
    </row>
    <row r="15" spans="1:7" x14ac:dyDescent="0.25">
      <c r="A15" s="34"/>
    </row>
    <row r="16" spans="1:7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79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2" t="s">
        <v>78</v>
      </c>
      <c r="B4" s="87"/>
      <c r="C4" s="88"/>
      <c r="D4" s="89"/>
      <c r="E4" s="87">
        <v>1502</v>
      </c>
      <c r="F4" s="88"/>
      <c r="G4" s="88"/>
      <c r="H4" s="89"/>
    </row>
    <row r="5" spans="1:8" ht="15" customHeight="1" x14ac:dyDescent="0.25">
      <c r="A5" s="12" t="s">
        <v>80</v>
      </c>
      <c r="B5" s="87"/>
      <c r="C5" s="88"/>
      <c r="D5" s="89"/>
      <c r="E5" s="87">
        <v>2241</v>
      </c>
      <c r="F5" s="88"/>
      <c r="G5" s="88"/>
      <c r="H5" s="89"/>
    </row>
    <row r="6" spans="1:8" ht="15" customHeight="1" x14ac:dyDescent="0.25">
      <c r="A6" s="12" t="s">
        <v>108</v>
      </c>
      <c r="B6" s="87"/>
      <c r="C6" s="88"/>
      <c r="D6" s="89"/>
      <c r="E6" s="87">
        <v>500</v>
      </c>
      <c r="F6" s="88"/>
      <c r="G6" s="88"/>
      <c r="H6" s="89"/>
    </row>
    <row r="7" spans="1:8" ht="15" customHeight="1" x14ac:dyDescent="0.25">
      <c r="A7" s="12"/>
      <c r="B7" s="87"/>
      <c r="C7" s="88"/>
      <c r="D7" s="89"/>
      <c r="E7" s="87"/>
      <c r="F7" s="88"/>
      <c r="G7" s="88"/>
      <c r="H7" s="89"/>
    </row>
    <row r="8" spans="1:8" ht="15" customHeight="1" x14ac:dyDescent="0.25">
      <c r="A8" s="12"/>
      <c r="B8" s="87"/>
      <c r="C8" s="88"/>
      <c r="D8" s="89"/>
      <c r="E8" s="87"/>
      <c r="F8" s="88"/>
      <c r="G8" s="88"/>
      <c r="H8" s="89"/>
    </row>
    <row r="9" spans="1:8" ht="15" customHeight="1" x14ac:dyDescent="0.25">
      <c r="A9" s="12"/>
      <c r="B9" s="87"/>
      <c r="C9" s="88"/>
      <c r="D9" s="89"/>
      <c r="E9" s="87"/>
      <c r="F9" s="88"/>
      <c r="G9" s="88"/>
      <c r="H9" s="89"/>
    </row>
    <row r="10" spans="1:8" ht="15" customHeight="1" x14ac:dyDescent="0.25">
      <c r="A10" s="12"/>
      <c r="B10" s="87"/>
      <c r="C10" s="88"/>
      <c r="D10" s="89"/>
      <c r="E10" s="87"/>
      <c r="F10" s="88"/>
      <c r="G10" s="88"/>
      <c r="H10" s="89"/>
    </row>
    <row r="11" spans="1:8" ht="15.75" x14ac:dyDescent="0.25">
      <c r="A11" s="11"/>
      <c r="B11" s="87"/>
      <c r="C11" s="88"/>
      <c r="D11" s="89"/>
      <c r="E11" s="87"/>
      <c r="F11" s="88"/>
      <c r="G11" s="88"/>
      <c r="H11" s="89"/>
    </row>
    <row r="12" spans="1:8" ht="15.75" x14ac:dyDescent="0.25">
      <c r="A12" s="11"/>
      <c r="B12" s="87"/>
      <c r="C12" s="88"/>
      <c r="D12" s="89"/>
      <c r="E12" s="87"/>
      <c r="F12" s="88"/>
      <c r="G12" s="88"/>
      <c r="H12" s="89"/>
    </row>
    <row r="13" spans="1:8" ht="15.75" x14ac:dyDescent="0.25">
      <c r="A13" s="11"/>
      <c r="B13" s="87"/>
      <c r="C13" s="88"/>
      <c r="D13" s="89"/>
      <c r="E13" s="87"/>
      <c r="F13" s="88"/>
      <c r="G13" s="88"/>
      <c r="H13" s="89"/>
    </row>
    <row r="14" spans="1:8" ht="15.75" x14ac:dyDescent="0.25">
      <c r="A14" s="11"/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/>
      <c r="B15" s="87"/>
      <c r="C15" s="88"/>
      <c r="D15" s="89"/>
      <c r="E15" s="85"/>
      <c r="F15" s="85"/>
      <c r="G15" s="85"/>
      <c r="H15" s="85"/>
    </row>
    <row r="16" spans="1:8" ht="15.75" x14ac:dyDescent="0.25">
      <c r="A16" s="11"/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/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/>
      <c r="B18" s="87"/>
      <c r="C18" s="88"/>
      <c r="D18" s="89"/>
      <c r="E18" s="85"/>
      <c r="F18" s="85"/>
      <c r="G18" s="85"/>
      <c r="H18" s="85"/>
    </row>
    <row r="19" spans="1:8" ht="15.75" x14ac:dyDescent="0.25">
      <c r="A19" s="3"/>
      <c r="B19" s="87"/>
      <c r="C19" s="88"/>
      <c r="D19" s="89"/>
      <c r="E19" s="85"/>
      <c r="F19" s="85"/>
      <c r="G19" s="85"/>
      <c r="H19" s="85"/>
    </row>
    <row r="20" spans="1:8" ht="15.75" x14ac:dyDescent="0.25">
      <c r="A20" s="3"/>
      <c r="B20" s="87"/>
      <c r="C20" s="88"/>
      <c r="D20" s="89"/>
      <c r="E20" s="85"/>
      <c r="F20" s="85"/>
      <c r="G20" s="85"/>
      <c r="H20" s="85"/>
    </row>
    <row r="21" spans="1:8" ht="15.75" x14ac:dyDescent="0.25">
      <c r="A21" s="3"/>
      <c r="B21" s="87"/>
      <c r="C21" s="88"/>
      <c r="D21" s="89"/>
      <c r="E21" s="85"/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4243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4243</v>
      </c>
      <c r="C26" s="85"/>
      <c r="D26" s="85"/>
      <c r="E26" s="85"/>
      <c r="F26" s="85"/>
      <c r="G26" s="85"/>
      <c r="H26" s="8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79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2" t="s">
        <v>81</v>
      </c>
      <c r="B4" s="87"/>
      <c r="C4" s="88"/>
      <c r="D4" s="89"/>
      <c r="E4" s="87">
        <v>1707.35</v>
      </c>
      <c r="F4" s="88"/>
      <c r="G4" s="88"/>
      <c r="H4" s="89"/>
    </row>
    <row r="5" spans="1:8" ht="15" customHeight="1" x14ac:dyDescent="0.25">
      <c r="A5" s="12" t="s">
        <v>82</v>
      </c>
      <c r="B5" s="87"/>
      <c r="C5" s="88"/>
      <c r="D5" s="89"/>
      <c r="E5" s="87">
        <v>1427.82</v>
      </c>
      <c r="F5" s="88"/>
      <c r="G5" s="88"/>
      <c r="H5" s="89"/>
    </row>
    <row r="6" spans="1:8" ht="15" customHeight="1" x14ac:dyDescent="0.25">
      <c r="A6" s="12" t="s">
        <v>83</v>
      </c>
      <c r="B6" s="87"/>
      <c r="C6" s="88"/>
      <c r="D6" s="89"/>
      <c r="E6" s="87">
        <v>989.83</v>
      </c>
      <c r="F6" s="88"/>
      <c r="G6" s="88"/>
      <c r="H6" s="89"/>
    </row>
    <row r="7" spans="1:8" ht="15" customHeight="1" x14ac:dyDescent="0.25">
      <c r="A7" s="12" t="s">
        <v>84</v>
      </c>
      <c r="B7" s="87"/>
      <c r="C7" s="88"/>
      <c r="D7" s="89"/>
      <c r="E7" s="87">
        <v>1639.32</v>
      </c>
      <c r="F7" s="88"/>
      <c r="G7" s="88"/>
      <c r="H7" s="89"/>
    </row>
    <row r="8" spans="1:8" ht="15" customHeight="1" x14ac:dyDescent="0.25">
      <c r="A8" s="12" t="s">
        <v>85</v>
      </c>
      <c r="B8" s="87"/>
      <c r="C8" s="88"/>
      <c r="D8" s="89"/>
      <c r="E8" s="87">
        <v>654.51</v>
      </c>
      <c r="F8" s="88"/>
      <c r="G8" s="88"/>
      <c r="H8" s="89"/>
    </row>
    <row r="9" spans="1:8" ht="15" customHeight="1" x14ac:dyDescent="0.25">
      <c r="A9" s="12" t="s">
        <v>108</v>
      </c>
      <c r="B9" s="87"/>
      <c r="C9" s="88"/>
      <c r="D9" s="89"/>
      <c r="E9" s="87">
        <v>3500</v>
      </c>
      <c r="F9" s="88"/>
      <c r="G9" s="88"/>
      <c r="H9" s="89"/>
    </row>
    <row r="10" spans="1:8" ht="15" customHeight="1" x14ac:dyDescent="0.25">
      <c r="A10" s="12"/>
      <c r="B10" s="87"/>
      <c r="C10" s="88"/>
      <c r="D10" s="89"/>
      <c r="E10" s="87"/>
      <c r="F10" s="88"/>
      <c r="G10" s="88"/>
      <c r="H10" s="89"/>
    </row>
    <row r="11" spans="1:8" ht="15.75" x14ac:dyDescent="0.25">
      <c r="A11" s="11"/>
      <c r="B11" s="87"/>
      <c r="C11" s="88"/>
      <c r="D11" s="89"/>
      <c r="E11" s="87"/>
      <c r="F11" s="88"/>
      <c r="G11" s="88"/>
      <c r="H11" s="89"/>
    </row>
    <row r="12" spans="1:8" ht="15.75" x14ac:dyDescent="0.25">
      <c r="A12" s="11"/>
      <c r="B12" s="87"/>
      <c r="C12" s="88"/>
      <c r="D12" s="89"/>
      <c r="E12" s="87"/>
      <c r="F12" s="88"/>
      <c r="G12" s="88"/>
      <c r="H12" s="89"/>
    </row>
    <row r="13" spans="1:8" ht="15.75" x14ac:dyDescent="0.25">
      <c r="A13" s="11"/>
      <c r="B13" s="87"/>
      <c r="C13" s="88"/>
      <c r="D13" s="89"/>
      <c r="E13" s="87"/>
      <c r="F13" s="88"/>
      <c r="G13" s="88"/>
      <c r="H13" s="89"/>
    </row>
    <row r="14" spans="1:8" ht="15.75" x14ac:dyDescent="0.25">
      <c r="A14" s="11"/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/>
      <c r="B15" s="87"/>
      <c r="C15" s="88"/>
      <c r="D15" s="89"/>
      <c r="E15" s="85"/>
      <c r="F15" s="85"/>
      <c r="G15" s="85"/>
      <c r="H15" s="85"/>
    </row>
    <row r="16" spans="1:8" ht="15.75" x14ac:dyDescent="0.25">
      <c r="A16" s="11"/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/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/>
      <c r="B18" s="87"/>
      <c r="C18" s="88"/>
      <c r="D18" s="89"/>
      <c r="E18" s="85"/>
      <c r="F18" s="85"/>
      <c r="G18" s="85"/>
      <c r="H18" s="85"/>
    </row>
    <row r="19" spans="1:8" ht="15.75" x14ac:dyDescent="0.25">
      <c r="A19" s="3"/>
      <c r="B19" s="87"/>
      <c r="C19" s="88"/>
      <c r="D19" s="89"/>
      <c r="E19" s="85"/>
      <c r="F19" s="85"/>
      <c r="G19" s="85"/>
      <c r="H19" s="85"/>
    </row>
    <row r="20" spans="1:8" ht="15.75" x14ac:dyDescent="0.25">
      <c r="A20" s="3"/>
      <c r="B20" s="87"/>
      <c r="C20" s="88"/>
      <c r="D20" s="89"/>
      <c r="E20" s="85"/>
      <c r="F20" s="85"/>
      <c r="G20" s="85"/>
      <c r="H20" s="85"/>
    </row>
    <row r="21" spans="1:8" ht="15.75" x14ac:dyDescent="0.25">
      <c r="A21" s="3"/>
      <c r="B21" s="87"/>
      <c r="C21" s="88"/>
      <c r="D21" s="89"/>
      <c r="E21" s="85"/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9918.83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9918.83</v>
      </c>
      <c r="C26" s="85"/>
      <c r="D26" s="85"/>
      <c r="E26" s="85"/>
      <c r="F26" s="85"/>
      <c r="G26" s="85"/>
      <c r="H26" s="8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F11"/>
  <sheetViews>
    <sheetView workbookViewId="0">
      <selection activeCell="D4" sqref="D4:F5"/>
    </sheetView>
  </sheetViews>
  <sheetFormatPr baseColWidth="10" defaultRowHeight="15" x14ac:dyDescent="0.25"/>
  <cols>
    <col min="1" max="1" width="23.5703125" bestFit="1" customWidth="1"/>
  </cols>
  <sheetData>
    <row r="4" spans="1:6" x14ac:dyDescent="0.25">
      <c r="A4" s="40" t="s">
        <v>155</v>
      </c>
      <c r="D4" s="51" t="s">
        <v>130</v>
      </c>
      <c r="E4" s="52" t="s">
        <v>156</v>
      </c>
      <c r="F4" s="53" t="s">
        <v>157</v>
      </c>
    </row>
    <row r="5" spans="1:6" x14ac:dyDescent="0.25">
      <c r="D5" s="48"/>
      <c r="E5" s="49"/>
      <c r="F5" s="50"/>
    </row>
    <row r="6" spans="1:6" x14ac:dyDescent="0.25">
      <c r="A6" s="33" t="s">
        <v>87</v>
      </c>
    </row>
    <row r="7" spans="1:6" x14ac:dyDescent="0.25">
      <c r="A7" s="33" t="s">
        <v>88</v>
      </c>
    </row>
    <row r="8" spans="1:6" x14ac:dyDescent="0.25">
      <c r="A8" s="33" t="s">
        <v>89</v>
      </c>
    </row>
    <row r="9" spans="1:6" x14ac:dyDescent="0.25">
      <c r="A9" s="39" t="s">
        <v>90</v>
      </c>
    </row>
    <row r="10" spans="1:6" x14ac:dyDescent="0.25">
      <c r="A10" s="33" t="s">
        <v>91</v>
      </c>
    </row>
    <row r="11" spans="1:6" x14ac:dyDescent="0.25">
      <c r="A11" s="3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86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2" t="s">
        <v>87</v>
      </c>
      <c r="B4" s="87"/>
      <c r="C4" s="88"/>
      <c r="D4" s="89"/>
      <c r="E4" s="87">
        <v>942.04</v>
      </c>
      <c r="F4" s="88"/>
      <c r="G4" s="88"/>
      <c r="H4" s="89"/>
    </row>
    <row r="5" spans="1:8" ht="15" customHeight="1" x14ac:dyDescent="0.25">
      <c r="A5" s="12" t="s">
        <v>88</v>
      </c>
      <c r="B5" s="87"/>
      <c r="C5" s="88"/>
      <c r="D5" s="89"/>
      <c r="E5" s="87">
        <v>4419</v>
      </c>
      <c r="F5" s="88"/>
      <c r="G5" s="88"/>
      <c r="H5" s="89"/>
    </row>
    <row r="6" spans="1:8" ht="15.75" x14ac:dyDescent="0.25">
      <c r="A6" s="12" t="s">
        <v>89</v>
      </c>
      <c r="B6" s="87"/>
      <c r="C6" s="88"/>
      <c r="D6" s="89"/>
      <c r="E6" s="87">
        <v>1441.48</v>
      </c>
      <c r="F6" s="88"/>
      <c r="G6" s="88"/>
      <c r="H6" s="89"/>
    </row>
    <row r="7" spans="1:8" ht="15.75" x14ac:dyDescent="0.25">
      <c r="A7" s="26" t="s">
        <v>90</v>
      </c>
      <c r="B7" s="87"/>
      <c r="C7" s="88"/>
      <c r="D7" s="89"/>
      <c r="E7" s="87">
        <v>1639.32</v>
      </c>
      <c r="F7" s="88"/>
      <c r="G7" s="88"/>
      <c r="H7" s="89"/>
    </row>
    <row r="8" spans="1:8" ht="15" customHeight="1" x14ac:dyDescent="0.25">
      <c r="A8" s="12" t="s">
        <v>91</v>
      </c>
      <c r="B8" s="87"/>
      <c r="C8" s="88"/>
      <c r="D8" s="89"/>
      <c r="E8" s="87">
        <v>654.51</v>
      </c>
      <c r="F8" s="88"/>
      <c r="G8" s="88"/>
      <c r="H8" s="89"/>
    </row>
    <row r="9" spans="1:8" ht="15" customHeight="1" x14ac:dyDescent="0.25">
      <c r="A9" s="12" t="s">
        <v>92</v>
      </c>
      <c r="B9" s="87"/>
      <c r="C9" s="88"/>
      <c r="D9" s="89"/>
      <c r="E9" s="87">
        <v>996.96</v>
      </c>
      <c r="F9" s="88"/>
      <c r="G9" s="88"/>
      <c r="H9" s="89"/>
    </row>
    <row r="10" spans="1:8" ht="15" customHeight="1" x14ac:dyDescent="0.25">
      <c r="A10" s="12"/>
      <c r="B10" s="87"/>
      <c r="C10" s="88"/>
      <c r="D10" s="89"/>
      <c r="E10" s="87"/>
      <c r="F10" s="88"/>
      <c r="G10" s="88"/>
      <c r="H10" s="89"/>
    </row>
    <row r="11" spans="1:8" ht="15.75" x14ac:dyDescent="0.25">
      <c r="A11" s="11"/>
      <c r="B11" s="87"/>
      <c r="C11" s="88"/>
      <c r="D11" s="89"/>
      <c r="E11" s="87"/>
      <c r="F11" s="88"/>
      <c r="G11" s="88"/>
      <c r="H11" s="89"/>
    </row>
    <row r="12" spans="1:8" ht="15.75" x14ac:dyDescent="0.25">
      <c r="A12" s="11"/>
      <c r="B12" s="87"/>
      <c r="C12" s="88"/>
      <c r="D12" s="89"/>
      <c r="E12" s="87"/>
      <c r="F12" s="88"/>
      <c r="G12" s="88"/>
      <c r="H12" s="89"/>
    </row>
    <row r="13" spans="1:8" ht="15.75" x14ac:dyDescent="0.25">
      <c r="A13" s="11"/>
      <c r="B13" s="87"/>
      <c r="C13" s="88"/>
      <c r="D13" s="89"/>
      <c r="E13" s="87"/>
      <c r="F13" s="88"/>
      <c r="G13" s="88"/>
      <c r="H13" s="89"/>
    </row>
    <row r="14" spans="1:8" ht="15.75" x14ac:dyDescent="0.25">
      <c r="A14" s="11"/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/>
      <c r="B15" s="87"/>
      <c r="C15" s="88"/>
      <c r="D15" s="89"/>
      <c r="E15" s="85"/>
      <c r="F15" s="85"/>
      <c r="G15" s="85"/>
      <c r="H15" s="85"/>
    </row>
    <row r="16" spans="1:8" ht="15.75" x14ac:dyDescent="0.25">
      <c r="A16" s="11"/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/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/>
      <c r="B18" s="87"/>
      <c r="C18" s="88"/>
      <c r="D18" s="89"/>
      <c r="E18" s="85"/>
      <c r="F18" s="85"/>
      <c r="G18" s="85"/>
      <c r="H18" s="85"/>
    </row>
    <row r="19" spans="1:8" ht="15.75" x14ac:dyDescent="0.25">
      <c r="A19" s="3"/>
      <c r="B19" s="87"/>
      <c r="C19" s="88"/>
      <c r="D19" s="89"/>
      <c r="E19" s="85"/>
      <c r="F19" s="85"/>
      <c r="G19" s="85"/>
      <c r="H19" s="85"/>
    </row>
    <row r="20" spans="1:8" ht="15.75" x14ac:dyDescent="0.25">
      <c r="A20" s="3"/>
      <c r="B20" s="87"/>
      <c r="C20" s="88"/>
      <c r="D20" s="89"/>
      <c r="E20" s="85"/>
      <c r="F20" s="85"/>
      <c r="G20" s="85"/>
      <c r="H20" s="85"/>
    </row>
    <row r="21" spans="1:8" ht="15.75" x14ac:dyDescent="0.25">
      <c r="A21" s="3"/>
      <c r="B21" s="87"/>
      <c r="C21" s="88"/>
      <c r="D21" s="89"/>
      <c r="E21" s="85"/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10093.310000000001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10093.310000000001</v>
      </c>
      <c r="C26" s="85"/>
      <c r="D26" s="85"/>
      <c r="E26" s="85"/>
      <c r="F26" s="85"/>
      <c r="G26" s="85"/>
      <c r="H26" s="8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97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7" t="s">
        <v>98</v>
      </c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2" t="s">
        <v>13</v>
      </c>
      <c r="B4" s="87">
        <f>SUM(Encaissement!B10)</f>
        <v>0</v>
      </c>
      <c r="C4" s="88"/>
      <c r="D4" s="89"/>
      <c r="E4" s="87">
        <f>SUM(Encaissement!G10)</f>
        <v>50000</v>
      </c>
      <c r="F4" s="88"/>
      <c r="G4" s="88"/>
      <c r="H4" s="89"/>
    </row>
    <row r="5" spans="1:8" ht="15" customHeight="1" x14ac:dyDescent="0.25">
      <c r="A5" s="12" t="s">
        <v>99</v>
      </c>
      <c r="B5" s="87">
        <f>SUM(Encaissement!B23)</f>
        <v>0</v>
      </c>
      <c r="C5" s="88"/>
      <c r="D5" s="89"/>
      <c r="E5" s="87">
        <f>SUM(Encaissement!G23)</f>
        <v>11254</v>
      </c>
      <c r="F5" s="88"/>
      <c r="G5" s="88"/>
      <c r="H5" s="89"/>
    </row>
    <row r="6" spans="1:8" ht="15.75" x14ac:dyDescent="0.25">
      <c r="A6" s="26" t="s">
        <v>12</v>
      </c>
      <c r="B6" s="87">
        <f>SUM('Charge magasin'!B25:D25)</f>
        <v>0</v>
      </c>
      <c r="C6" s="88"/>
      <c r="D6" s="89"/>
      <c r="E6" s="87">
        <f>SUM('Charge magasin'!E25:H25)</f>
        <v>4389.99</v>
      </c>
      <c r="F6" s="88"/>
      <c r="G6" s="88"/>
      <c r="H6" s="89"/>
    </row>
    <row r="7" spans="1:8" ht="15.75" x14ac:dyDescent="0.25">
      <c r="A7" s="12" t="s">
        <v>100</v>
      </c>
      <c r="B7" s="87">
        <f>SUM('Salaire magasin'!B25:D25)</f>
        <v>0</v>
      </c>
      <c r="C7" s="88"/>
      <c r="D7" s="89"/>
      <c r="E7" s="87">
        <f>SUM('Salaire magasin'!E25:H25)</f>
        <v>4243</v>
      </c>
      <c r="F7" s="88"/>
      <c r="G7" s="88"/>
      <c r="H7" s="89"/>
    </row>
    <row r="8" spans="1:8" ht="15" customHeight="1" x14ac:dyDescent="0.25">
      <c r="A8" s="12"/>
      <c r="B8" s="87"/>
      <c r="C8" s="88"/>
      <c r="D8" s="89"/>
      <c r="E8" s="87"/>
      <c r="F8" s="88"/>
      <c r="G8" s="88"/>
      <c r="H8" s="89"/>
    </row>
    <row r="9" spans="1:8" ht="15" customHeight="1" x14ac:dyDescent="0.25">
      <c r="A9" s="12"/>
      <c r="B9" s="87"/>
      <c r="C9" s="88"/>
      <c r="D9" s="89"/>
      <c r="E9" s="87"/>
      <c r="F9" s="88"/>
      <c r="G9" s="88"/>
      <c r="H9" s="89"/>
    </row>
    <row r="10" spans="1:8" ht="15" customHeight="1" x14ac:dyDescent="0.25">
      <c r="A10" s="11"/>
      <c r="B10" s="87"/>
      <c r="C10" s="88"/>
      <c r="D10" s="89"/>
      <c r="E10" s="87"/>
      <c r="F10" s="88"/>
      <c r="G10" s="88"/>
      <c r="H10" s="89"/>
    </row>
    <row r="11" spans="1:8" ht="20.100000000000001" customHeight="1" x14ac:dyDescent="0.25">
      <c r="A11" s="27" t="s">
        <v>104</v>
      </c>
      <c r="B11" s="109">
        <f>SUM(B4)-B5-B6-B7</f>
        <v>0</v>
      </c>
      <c r="C11" s="110"/>
      <c r="D11" s="111"/>
      <c r="E11" s="109">
        <f>SUM(E4)-E5-E6-E7</f>
        <v>30113.010000000002</v>
      </c>
      <c r="F11" s="110"/>
      <c r="G11" s="110"/>
      <c r="H11" s="111"/>
    </row>
    <row r="12" spans="1:8" ht="15.75" x14ac:dyDescent="0.25">
      <c r="A12" s="11" t="s">
        <v>101</v>
      </c>
      <c r="B12" s="87">
        <f>SUM(Encaissement!B7)</f>
        <v>0</v>
      </c>
      <c r="C12" s="88"/>
      <c r="D12" s="89"/>
      <c r="E12" s="87">
        <f>SUM(Encaissement!G7)</f>
        <v>0</v>
      </c>
      <c r="F12" s="88"/>
      <c r="G12" s="88"/>
      <c r="H12" s="89"/>
    </row>
    <row r="13" spans="1:8" ht="15.75" x14ac:dyDescent="0.25">
      <c r="A13" s="11" t="s">
        <v>102</v>
      </c>
      <c r="B13" s="87">
        <f>SUM(Encaissement!B32)</f>
        <v>0</v>
      </c>
      <c r="C13" s="88"/>
      <c r="D13" s="89"/>
      <c r="E13" s="85">
        <f>SUM(E12)</f>
        <v>0</v>
      </c>
      <c r="F13" s="85"/>
      <c r="G13" s="85"/>
      <c r="H13" s="85"/>
    </row>
    <row r="14" spans="1:8" ht="15.75" x14ac:dyDescent="0.25">
      <c r="A14" s="3" t="s">
        <v>33</v>
      </c>
      <c r="B14" s="87">
        <f>SUM('Charge enterprise'!B25:D25)</f>
        <v>0</v>
      </c>
      <c r="C14" s="88"/>
      <c r="D14" s="89"/>
      <c r="E14" s="85">
        <f>SUM('Charge enterprise'!E25:H25)</f>
        <v>2648.4599999999996</v>
      </c>
      <c r="F14" s="85"/>
      <c r="G14" s="85"/>
      <c r="H14" s="85"/>
    </row>
    <row r="15" spans="1:8" ht="15.75" x14ac:dyDescent="0.25">
      <c r="A15" s="11" t="s">
        <v>103</v>
      </c>
      <c r="B15" s="87">
        <f>SUM('Salaire entreprise'!B25:D25)</f>
        <v>0</v>
      </c>
      <c r="C15" s="88"/>
      <c r="D15" s="89"/>
      <c r="E15" s="85">
        <f>SUM('Salaire entreprise'!E25:H25)</f>
        <v>9918.83</v>
      </c>
      <c r="F15" s="85"/>
      <c r="G15" s="85"/>
      <c r="H15" s="85"/>
    </row>
    <row r="16" spans="1:8" ht="15.75" x14ac:dyDescent="0.25">
      <c r="A16" s="3"/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/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/>
      <c r="B18" s="87"/>
      <c r="C18" s="88"/>
      <c r="D18" s="89"/>
      <c r="E18" s="85"/>
      <c r="F18" s="85"/>
      <c r="G18" s="85"/>
      <c r="H18" s="85"/>
    </row>
    <row r="19" spans="1:8" ht="20.100000000000001" customHeight="1" x14ac:dyDescent="0.25">
      <c r="A19" s="28" t="s">
        <v>105</v>
      </c>
      <c r="B19" s="112"/>
      <c r="C19" s="113"/>
      <c r="D19" s="114"/>
      <c r="E19" s="115">
        <f>SUM(E12)-E13-E14-E15</f>
        <v>-12567.289999999999</v>
      </c>
      <c r="F19" s="115"/>
      <c r="G19" s="115"/>
      <c r="H19" s="115"/>
    </row>
    <row r="20" spans="1:8" ht="15.75" x14ac:dyDescent="0.25">
      <c r="A20" s="3" t="s">
        <v>106</v>
      </c>
      <c r="B20" s="87">
        <f>SUM('Charge commune'!B4:D4)</f>
        <v>0</v>
      </c>
      <c r="C20" s="88"/>
      <c r="D20" s="89"/>
      <c r="E20" s="85">
        <f>SUM('Charge commune'!E25:H25)</f>
        <v>680</v>
      </c>
      <c r="F20" s="85"/>
      <c r="G20" s="85"/>
      <c r="H20" s="85"/>
    </row>
    <row r="21" spans="1:8" ht="15.75" x14ac:dyDescent="0.25">
      <c r="A21" s="3" t="s">
        <v>67</v>
      </c>
      <c r="B21" s="87">
        <f>SUM(Emprunt!B11+Emprunt!B19)</f>
        <v>0</v>
      </c>
      <c r="C21" s="88"/>
      <c r="D21" s="89"/>
      <c r="E21" s="85">
        <f>SUM(Emprunt!B25)</f>
        <v>1911.56</v>
      </c>
      <c r="F21" s="85"/>
      <c r="G21" s="85"/>
      <c r="H21" s="85"/>
    </row>
    <row r="22" spans="1:8" ht="15.75" x14ac:dyDescent="0.25">
      <c r="A22" s="3" t="s">
        <v>107</v>
      </c>
      <c r="B22" s="87">
        <f>SUM('charges sociales'!B25:D25)</f>
        <v>0</v>
      </c>
      <c r="C22" s="88"/>
      <c r="D22" s="89"/>
      <c r="E22" s="85">
        <f>SUM('charges sociales'!E25:H25)</f>
        <v>10093.310000000001</v>
      </c>
      <c r="F22" s="85"/>
      <c r="G22" s="85"/>
      <c r="H22" s="85"/>
    </row>
    <row r="23" spans="1:8" ht="15.75" x14ac:dyDescent="0.25">
      <c r="A23" s="3"/>
      <c r="B23" s="87"/>
      <c r="C23" s="88"/>
      <c r="D23" s="89"/>
      <c r="E23" s="100"/>
      <c r="F23" s="116"/>
      <c r="G23" s="116"/>
      <c r="H23" s="117"/>
    </row>
    <row r="24" spans="1:8" ht="15.75" x14ac:dyDescent="0.25">
      <c r="A24" s="3"/>
      <c r="B24" s="87"/>
      <c r="C24" s="88"/>
      <c r="D24" s="89"/>
      <c r="E24" s="100"/>
      <c r="F24" s="116"/>
      <c r="G24" s="116"/>
      <c r="H24" s="117"/>
    </row>
    <row r="25" spans="1:8" ht="15.75" x14ac:dyDescent="0.25">
      <c r="A25" s="3"/>
      <c r="B25" s="87"/>
      <c r="C25" s="88"/>
      <c r="D25" s="89"/>
      <c r="E25" s="100"/>
      <c r="F25" s="116"/>
      <c r="G25" s="116"/>
      <c r="H25" s="117"/>
    </row>
    <row r="26" spans="1:8" ht="15.75" x14ac:dyDescent="0.25">
      <c r="A26" s="3" t="s">
        <v>109</v>
      </c>
      <c r="B26" s="87"/>
      <c r="C26" s="88"/>
      <c r="D26" s="89"/>
      <c r="E26" s="100"/>
      <c r="F26" s="116"/>
      <c r="G26" s="116"/>
      <c r="H26" s="117"/>
    </row>
    <row r="27" spans="1:8" ht="15.75" x14ac:dyDescent="0.25">
      <c r="A27" s="3"/>
      <c r="B27" s="87"/>
      <c r="C27" s="88"/>
      <c r="D27" s="89"/>
      <c r="E27" s="100"/>
      <c r="F27" s="116"/>
      <c r="G27" s="116"/>
      <c r="H27" s="117"/>
    </row>
    <row r="28" spans="1:8" ht="15.75" x14ac:dyDescent="0.25">
      <c r="A28" s="3"/>
      <c r="B28" s="87"/>
      <c r="C28" s="88"/>
      <c r="D28" s="89"/>
      <c r="E28" s="100"/>
      <c r="F28" s="116"/>
      <c r="G28" s="116"/>
      <c r="H28" s="117"/>
    </row>
    <row r="29" spans="1:8" ht="15.75" x14ac:dyDescent="0.25">
      <c r="A29" s="3"/>
      <c r="B29" s="87"/>
      <c r="C29" s="88"/>
      <c r="D29" s="89"/>
      <c r="E29" s="100"/>
      <c r="F29" s="116"/>
      <c r="G29" s="116"/>
      <c r="H29" s="117"/>
    </row>
    <row r="30" spans="1:8" ht="15.75" x14ac:dyDescent="0.25">
      <c r="A30" s="3" t="s">
        <v>110</v>
      </c>
      <c r="B30" s="14"/>
      <c r="C30" s="15"/>
      <c r="D30" s="16"/>
      <c r="E30" s="100"/>
      <c r="F30" s="116"/>
      <c r="G30" s="116"/>
      <c r="H30" s="117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87"/>
      <c r="C37" s="88"/>
      <c r="D37" s="89"/>
      <c r="E37" s="85"/>
      <c r="F37" s="85"/>
      <c r="G37" s="85"/>
      <c r="H37" s="85"/>
    </row>
    <row r="38" spans="1:8" ht="15.75" x14ac:dyDescent="0.25">
      <c r="A38" s="23" t="s">
        <v>3</v>
      </c>
      <c r="B38" s="87">
        <f>SUM(B4:D37)</f>
        <v>0</v>
      </c>
      <c r="C38" s="88"/>
      <c r="D38" s="89"/>
      <c r="E38" s="85">
        <f>SUM(E4+E12)-E5-E6-E7-E13-E14-E15-E20-E21-E22</f>
        <v>4860.8500000000004</v>
      </c>
      <c r="F38" s="85"/>
      <c r="G38" s="85"/>
      <c r="H38" s="85"/>
    </row>
    <row r="39" spans="1:8" x14ac:dyDescent="0.25">
      <c r="A39" s="21" t="s">
        <v>27</v>
      </c>
      <c r="B39" s="85">
        <f>SUM(E38-B38)</f>
        <v>4860.8500000000004</v>
      </c>
      <c r="C39" s="85"/>
      <c r="D39" s="85"/>
      <c r="E39" s="85"/>
      <c r="F39" s="85"/>
      <c r="G39" s="85"/>
      <c r="H39" s="85"/>
    </row>
  </sheetData>
  <mergeCells count="62">
    <mergeCell ref="B28:D28"/>
    <mergeCell ref="B29:D29"/>
    <mergeCell ref="B39:H39"/>
    <mergeCell ref="B26:D26"/>
    <mergeCell ref="E26:H26"/>
    <mergeCell ref="E27:H27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19:D19"/>
    <mergeCell ref="E19:H19"/>
    <mergeCell ref="B20:D20"/>
    <mergeCell ref="E20:H20"/>
    <mergeCell ref="B21:D21"/>
    <mergeCell ref="E21:H21"/>
    <mergeCell ref="B16:D16"/>
    <mergeCell ref="E16:H16"/>
    <mergeCell ref="B17:D17"/>
    <mergeCell ref="E17:H17"/>
    <mergeCell ref="B18:D18"/>
    <mergeCell ref="E18:H18"/>
    <mergeCell ref="B13:D13"/>
    <mergeCell ref="E13:H13"/>
    <mergeCell ref="B14:D14"/>
    <mergeCell ref="E14:H14"/>
    <mergeCell ref="B15:D15"/>
    <mergeCell ref="E15:H15"/>
    <mergeCell ref="B10:D10"/>
    <mergeCell ref="E10:H10"/>
    <mergeCell ref="B11:D11"/>
    <mergeCell ref="E11:H11"/>
    <mergeCell ref="B12:D12"/>
    <mergeCell ref="E12:H12"/>
    <mergeCell ref="B7:D7"/>
    <mergeCell ref="E7:H7"/>
    <mergeCell ref="B8:D8"/>
    <mergeCell ref="E8:H8"/>
    <mergeCell ref="B9:D9"/>
    <mergeCell ref="E9:H9"/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17" sqref="A17:A19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18" t="s">
        <v>24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ht="15.75" x14ac:dyDescent="0.25">
      <c r="A2" s="125" t="s">
        <v>28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</row>
    <row r="3" spans="1:12" ht="14.1" customHeight="1" x14ac:dyDescent="0.25">
      <c r="A3" s="6"/>
      <c r="B3" s="119" t="s">
        <v>25</v>
      </c>
      <c r="C3" s="120"/>
      <c r="D3" s="120"/>
      <c r="E3" s="120"/>
      <c r="F3" s="121"/>
      <c r="G3" s="119" t="s">
        <v>26</v>
      </c>
      <c r="H3" s="120"/>
      <c r="I3" s="120"/>
      <c r="J3" s="120"/>
      <c r="K3" s="120"/>
      <c r="L3" s="121"/>
    </row>
    <row r="4" spans="1:12" ht="14.1" customHeight="1" x14ac:dyDescent="0.25">
      <c r="A4" s="4" t="s">
        <v>0</v>
      </c>
      <c r="B4" s="126"/>
      <c r="C4" s="127"/>
      <c r="D4" s="127"/>
      <c r="E4" s="127"/>
      <c r="F4" s="128"/>
      <c r="G4" s="129"/>
      <c r="H4" s="130"/>
      <c r="I4" s="130"/>
      <c r="J4" s="130"/>
      <c r="K4" s="130"/>
      <c r="L4" s="130"/>
    </row>
    <row r="5" spans="1:12" ht="14.1" customHeight="1" x14ac:dyDescent="0.25">
      <c r="A5" s="4" t="s">
        <v>1</v>
      </c>
      <c r="B5" s="126"/>
      <c r="C5" s="127"/>
      <c r="D5" s="127"/>
      <c r="E5" s="127"/>
      <c r="F5" s="128"/>
      <c r="G5" s="129"/>
      <c r="H5" s="130"/>
      <c r="I5" s="130"/>
      <c r="J5" s="130"/>
      <c r="K5" s="130"/>
      <c r="L5" s="130"/>
    </row>
    <row r="6" spans="1:12" ht="14.1" customHeight="1" x14ac:dyDescent="0.25">
      <c r="A6" s="4" t="s">
        <v>2</v>
      </c>
      <c r="B6" s="122"/>
      <c r="C6" s="123"/>
      <c r="D6" s="123"/>
      <c r="E6" s="123"/>
      <c r="F6" s="124"/>
      <c r="G6" s="131"/>
      <c r="H6" s="132"/>
      <c r="I6" s="132"/>
      <c r="J6" s="132"/>
      <c r="K6" s="132"/>
      <c r="L6" s="132"/>
    </row>
    <row r="7" spans="1:12" ht="14.1" customHeight="1" x14ac:dyDescent="0.25">
      <c r="A7" s="7" t="s">
        <v>3</v>
      </c>
      <c r="B7" s="133">
        <f>SUM(B4:F6)</f>
        <v>0</v>
      </c>
      <c r="C7" s="133"/>
      <c r="D7" s="133"/>
      <c r="E7" s="133"/>
      <c r="F7" s="133"/>
      <c r="G7" s="129">
        <f>SUM(G4:L6)</f>
        <v>0</v>
      </c>
      <c r="H7" s="130"/>
      <c r="I7" s="130"/>
      <c r="J7" s="130"/>
      <c r="K7" s="130"/>
      <c r="L7" s="134"/>
    </row>
    <row r="8" spans="1:12" ht="14.1" customHeight="1" x14ac:dyDescent="0.25">
      <c r="A8" s="8" t="s">
        <v>27</v>
      </c>
      <c r="B8" s="135">
        <f>SUM(G7-B7)</f>
        <v>0</v>
      </c>
      <c r="C8" s="136"/>
      <c r="D8" s="136"/>
      <c r="E8" s="136"/>
      <c r="F8" s="136"/>
      <c r="G8" s="136"/>
      <c r="H8" s="136"/>
      <c r="I8" s="136"/>
      <c r="J8" s="136"/>
      <c r="K8" s="136"/>
      <c r="L8" s="137"/>
    </row>
    <row r="9" spans="1:12" ht="14.1" customHeight="1" x14ac:dyDescent="0.25">
      <c r="A9" s="138" t="s">
        <v>13</v>
      </c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40"/>
    </row>
    <row r="10" spans="1:12" ht="14.1" customHeight="1" x14ac:dyDescent="0.25">
      <c r="A10" s="4" t="s">
        <v>29</v>
      </c>
      <c r="B10" s="126">
        <v>0</v>
      </c>
      <c r="C10" s="127"/>
      <c r="D10" s="127"/>
      <c r="E10" s="127"/>
      <c r="F10" s="128"/>
      <c r="G10" s="129">
        <v>50000</v>
      </c>
      <c r="H10" s="130"/>
      <c r="I10" s="130"/>
      <c r="J10" s="130"/>
      <c r="K10" s="130"/>
      <c r="L10" s="130"/>
    </row>
    <row r="11" spans="1:12" ht="14.1" customHeight="1" x14ac:dyDescent="0.25">
      <c r="A11" s="4"/>
      <c r="B11" s="126"/>
      <c r="C11" s="127"/>
      <c r="D11" s="127"/>
      <c r="E11" s="127"/>
      <c r="F11" s="128"/>
      <c r="G11" s="129"/>
      <c r="H11" s="130"/>
      <c r="I11" s="130"/>
      <c r="J11" s="130"/>
      <c r="K11" s="130"/>
      <c r="L11" s="130"/>
    </row>
    <row r="12" spans="1:12" ht="14.1" customHeight="1" x14ac:dyDescent="0.25">
      <c r="A12" s="4"/>
      <c r="B12" s="122"/>
      <c r="C12" s="123"/>
      <c r="D12" s="123"/>
      <c r="E12" s="123"/>
      <c r="F12" s="124"/>
      <c r="G12" s="131"/>
      <c r="H12" s="132"/>
      <c r="I12" s="132"/>
      <c r="J12" s="132"/>
      <c r="K12" s="132"/>
      <c r="L12" s="132"/>
    </row>
    <row r="13" spans="1:12" ht="14.1" customHeight="1" x14ac:dyDescent="0.25">
      <c r="A13" s="7" t="s">
        <v>3</v>
      </c>
      <c r="B13" s="133">
        <f>SUM(B10:F12)</f>
        <v>0</v>
      </c>
      <c r="C13" s="133"/>
      <c r="D13" s="133"/>
      <c r="E13" s="133"/>
      <c r="F13" s="133"/>
      <c r="G13" s="129">
        <f>SUM(G10:L12)</f>
        <v>50000</v>
      </c>
      <c r="H13" s="130"/>
      <c r="I13" s="130"/>
      <c r="J13" s="130"/>
      <c r="K13" s="130"/>
      <c r="L13" s="134"/>
    </row>
    <row r="14" spans="1:12" ht="14.1" customHeight="1" x14ac:dyDescent="0.25">
      <c r="A14" s="8" t="s">
        <v>27</v>
      </c>
      <c r="B14" s="135">
        <f>SUM(G13-B13)</f>
        <v>50000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7"/>
    </row>
    <row r="15" spans="1:12" ht="14.1" customHeight="1" x14ac:dyDescent="0.25">
      <c r="A15" s="144" t="s">
        <v>10</v>
      </c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6"/>
    </row>
    <row r="16" spans="1:12" ht="14.1" customHeight="1" x14ac:dyDescent="0.25">
      <c r="A16" s="9"/>
      <c r="B16" s="141" t="s">
        <v>25</v>
      </c>
      <c r="C16" s="142"/>
      <c r="D16" s="142"/>
      <c r="E16" s="142"/>
      <c r="F16" s="143"/>
      <c r="G16" s="141" t="s">
        <v>26</v>
      </c>
      <c r="H16" s="142"/>
      <c r="I16" s="142"/>
      <c r="J16" s="142"/>
      <c r="K16" s="142"/>
      <c r="L16" s="143"/>
    </row>
    <row r="17" spans="1:12" ht="14.1" customHeight="1" x14ac:dyDescent="0.25">
      <c r="A17" s="4" t="s">
        <v>4</v>
      </c>
      <c r="B17" s="126"/>
      <c r="C17" s="127"/>
      <c r="D17" s="127"/>
      <c r="E17" s="127"/>
      <c r="F17" s="128"/>
      <c r="G17" s="129">
        <v>11254</v>
      </c>
      <c r="H17" s="130"/>
      <c r="I17" s="130"/>
      <c r="J17" s="130"/>
      <c r="K17" s="130"/>
      <c r="L17" s="130"/>
    </row>
    <row r="18" spans="1:12" ht="14.1" customHeight="1" x14ac:dyDescent="0.25">
      <c r="A18" s="4" t="s">
        <v>5</v>
      </c>
      <c r="B18" s="126"/>
      <c r="C18" s="127"/>
      <c r="D18" s="127"/>
      <c r="E18" s="127"/>
      <c r="F18" s="128"/>
      <c r="G18" s="129">
        <v>0</v>
      </c>
      <c r="H18" s="130"/>
      <c r="I18" s="130"/>
      <c r="J18" s="130"/>
      <c r="K18" s="130"/>
      <c r="L18" s="130"/>
    </row>
    <row r="19" spans="1:12" ht="14.1" customHeight="1" x14ac:dyDescent="0.25">
      <c r="A19" s="4" t="s">
        <v>6</v>
      </c>
      <c r="B19" s="126"/>
      <c r="C19" s="127"/>
      <c r="D19" s="127"/>
      <c r="E19" s="127"/>
      <c r="F19" s="128"/>
      <c r="G19" s="129"/>
      <c r="H19" s="130"/>
      <c r="I19" s="130"/>
      <c r="J19" s="130"/>
      <c r="K19" s="130"/>
      <c r="L19" s="130"/>
    </row>
    <row r="20" spans="1:12" ht="14.1" customHeight="1" x14ac:dyDescent="0.25">
      <c r="A20" s="4"/>
      <c r="B20" s="126"/>
      <c r="C20" s="127"/>
      <c r="D20" s="127"/>
      <c r="E20" s="127"/>
      <c r="F20" s="128"/>
      <c r="G20" s="129"/>
      <c r="H20" s="130"/>
      <c r="I20" s="130"/>
      <c r="J20" s="130"/>
      <c r="K20" s="130"/>
      <c r="L20" s="130"/>
    </row>
    <row r="21" spans="1:12" ht="14.1" customHeight="1" x14ac:dyDescent="0.25">
      <c r="A21" s="4"/>
      <c r="B21" s="126"/>
      <c r="C21" s="127"/>
      <c r="D21" s="127"/>
      <c r="E21" s="127"/>
      <c r="F21" s="128"/>
      <c r="G21" s="129"/>
      <c r="H21" s="130"/>
      <c r="I21" s="130"/>
      <c r="J21" s="130"/>
      <c r="K21" s="130"/>
      <c r="L21" s="130"/>
    </row>
    <row r="22" spans="1:12" ht="14.1" customHeight="1" x14ac:dyDescent="0.25">
      <c r="A22" s="4"/>
      <c r="B22" s="122"/>
      <c r="C22" s="123"/>
      <c r="D22" s="123"/>
      <c r="E22" s="123"/>
      <c r="F22" s="124"/>
      <c r="G22" s="131"/>
      <c r="H22" s="132"/>
      <c r="I22" s="132"/>
      <c r="J22" s="132"/>
      <c r="K22" s="132"/>
      <c r="L22" s="132"/>
    </row>
    <row r="23" spans="1:12" ht="14.1" customHeight="1" x14ac:dyDescent="0.25">
      <c r="A23" s="7" t="s">
        <v>3</v>
      </c>
      <c r="B23" s="133">
        <f>SUM(B17:F22)</f>
        <v>0</v>
      </c>
      <c r="C23" s="133"/>
      <c r="D23" s="133"/>
      <c r="E23" s="133"/>
      <c r="F23" s="133"/>
      <c r="G23" s="129">
        <f>SUM(G17:L22)</f>
        <v>11254</v>
      </c>
      <c r="H23" s="130"/>
      <c r="I23" s="130"/>
      <c r="J23" s="130"/>
      <c r="K23" s="130"/>
      <c r="L23" s="134"/>
    </row>
    <row r="24" spans="1:12" ht="14.1" customHeight="1" x14ac:dyDescent="0.25">
      <c r="A24" s="7" t="s">
        <v>27</v>
      </c>
      <c r="B24" s="150">
        <f>SUM(G23-B23)</f>
        <v>11254</v>
      </c>
      <c r="C24" s="150"/>
      <c r="D24" s="150"/>
      <c r="E24" s="150"/>
      <c r="F24" s="150"/>
      <c r="G24" s="150"/>
      <c r="H24" s="150"/>
      <c r="I24" s="150"/>
      <c r="J24" s="150"/>
      <c r="K24" s="150"/>
      <c r="L24" s="150"/>
    </row>
    <row r="25" spans="1:12" ht="14.1" customHeight="1" x14ac:dyDescent="0.25">
      <c r="A25" s="147" t="s">
        <v>9</v>
      </c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9"/>
    </row>
    <row r="26" spans="1:12" ht="14.1" customHeight="1" x14ac:dyDescent="0.25">
      <c r="A26" s="4" t="s">
        <v>7</v>
      </c>
      <c r="B26" s="126"/>
      <c r="C26" s="127"/>
      <c r="D26" s="127"/>
      <c r="E26" s="127"/>
      <c r="F26" s="128"/>
      <c r="G26" s="129"/>
      <c r="H26" s="130"/>
      <c r="I26" s="130"/>
      <c r="J26" s="130"/>
      <c r="K26" s="130"/>
      <c r="L26" s="130"/>
    </row>
    <row r="27" spans="1:12" ht="14.1" customHeight="1" x14ac:dyDescent="0.25">
      <c r="A27" s="4" t="s">
        <v>8</v>
      </c>
      <c r="B27" s="126"/>
      <c r="C27" s="127"/>
      <c r="D27" s="127"/>
      <c r="E27" s="127"/>
      <c r="F27" s="128"/>
      <c r="G27" s="129"/>
      <c r="H27" s="130"/>
      <c r="I27" s="130"/>
      <c r="J27" s="130"/>
      <c r="K27" s="130"/>
      <c r="L27" s="130"/>
    </row>
    <row r="28" spans="1:12" ht="14.1" customHeight="1" x14ac:dyDescent="0.25">
      <c r="A28" s="4"/>
      <c r="B28" s="126"/>
      <c r="C28" s="127"/>
      <c r="D28" s="127"/>
      <c r="E28" s="127"/>
      <c r="F28" s="128"/>
      <c r="G28" s="129"/>
      <c r="H28" s="130"/>
      <c r="I28" s="130"/>
      <c r="J28" s="130"/>
      <c r="K28" s="130"/>
      <c r="L28" s="130"/>
    </row>
    <row r="29" spans="1:12" ht="14.1" customHeight="1" x14ac:dyDescent="0.25">
      <c r="A29" s="4"/>
      <c r="B29" s="126"/>
      <c r="C29" s="127"/>
      <c r="D29" s="127"/>
      <c r="E29" s="127"/>
      <c r="F29" s="128"/>
      <c r="G29" s="129"/>
      <c r="H29" s="130"/>
      <c r="I29" s="130"/>
      <c r="J29" s="130"/>
      <c r="K29" s="130"/>
      <c r="L29" s="130"/>
    </row>
    <row r="30" spans="1:12" ht="14.1" customHeight="1" x14ac:dyDescent="0.25">
      <c r="A30" s="4"/>
      <c r="B30" s="126"/>
      <c r="C30" s="127"/>
      <c r="D30" s="127"/>
      <c r="E30" s="127"/>
      <c r="F30" s="128"/>
      <c r="G30" s="129"/>
      <c r="H30" s="130"/>
      <c r="I30" s="130"/>
      <c r="J30" s="130"/>
      <c r="K30" s="130"/>
      <c r="L30" s="130"/>
    </row>
    <row r="31" spans="1:12" ht="14.1" customHeight="1" x14ac:dyDescent="0.25">
      <c r="A31" s="4"/>
      <c r="B31" s="122"/>
      <c r="C31" s="123"/>
      <c r="D31" s="123"/>
      <c r="E31" s="123"/>
      <c r="F31" s="124"/>
      <c r="G31" s="131"/>
      <c r="H31" s="132"/>
      <c r="I31" s="132"/>
      <c r="J31" s="132"/>
      <c r="K31" s="132"/>
      <c r="L31" s="132"/>
    </row>
    <row r="32" spans="1:12" ht="14.1" customHeight="1" x14ac:dyDescent="0.25">
      <c r="A32" s="7" t="s">
        <v>3</v>
      </c>
      <c r="B32" s="133">
        <f>SUM(B26:F31)</f>
        <v>0</v>
      </c>
      <c r="C32" s="133"/>
      <c r="D32" s="133"/>
      <c r="E32" s="133"/>
      <c r="F32" s="133"/>
      <c r="G32" s="129">
        <f>SUM(G26:L31)</f>
        <v>0</v>
      </c>
      <c r="H32" s="130"/>
      <c r="I32" s="130"/>
      <c r="J32" s="130"/>
      <c r="K32" s="130"/>
      <c r="L32" s="134"/>
    </row>
    <row r="33" spans="1:12" ht="14.1" customHeight="1" x14ac:dyDescent="0.25">
      <c r="A33" s="7" t="s">
        <v>27</v>
      </c>
      <c r="B33" s="150">
        <f>SUM(G32-B32)</f>
        <v>0</v>
      </c>
      <c r="C33" s="150"/>
      <c r="D33" s="150"/>
      <c r="E33" s="150"/>
      <c r="F33" s="150"/>
      <c r="G33" s="150"/>
      <c r="H33" s="150"/>
      <c r="I33" s="150"/>
      <c r="J33" s="150"/>
      <c r="K33" s="150"/>
      <c r="L33" s="150"/>
    </row>
  </sheetData>
  <mergeCells count="57"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  <mergeCell ref="G21:L21"/>
    <mergeCell ref="B24:L24"/>
    <mergeCell ref="B27:F27"/>
    <mergeCell ref="G27:L27"/>
    <mergeCell ref="B28:F28"/>
    <mergeCell ref="G28:L28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12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" t="s">
        <v>14</v>
      </c>
      <c r="B4" s="87"/>
      <c r="C4" s="88"/>
      <c r="D4" s="89"/>
      <c r="E4" s="87">
        <v>0</v>
      </c>
      <c r="F4" s="88"/>
      <c r="G4" s="88"/>
      <c r="H4" s="89"/>
    </row>
    <row r="5" spans="1:8" ht="15" customHeight="1" x14ac:dyDescent="0.25">
      <c r="A5" s="1" t="s">
        <v>15</v>
      </c>
      <c r="B5" s="87"/>
      <c r="C5" s="88"/>
      <c r="D5" s="89"/>
      <c r="E5" s="87"/>
      <c r="F5" s="88"/>
      <c r="G5" s="88"/>
      <c r="H5" s="89"/>
    </row>
    <row r="6" spans="1:8" ht="15" customHeight="1" x14ac:dyDescent="0.25">
      <c r="A6" s="1" t="s">
        <v>11</v>
      </c>
      <c r="B6" s="87"/>
      <c r="C6" s="88"/>
      <c r="D6" s="89"/>
      <c r="E6" s="87">
        <v>800</v>
      </c>
      <c r="F6" s="88"/>
      <c r="G6" s="88"/>
      <c r="H6" s="89"/>
    </row>
    <row r="7" spans="1:8" ht="15" customHeight="1" x14ac:dyDescent="0.25">
      <c r="A7" s="1" t="s">
        <v>16</v>
      </c>
      <c r="B7" s="87"/>
      <c r="C7" s="88"/>
      <c r="D7" s="89"/>
      <c r="E7" s="87"/>
      <c r="F7" s="88"/>
      <c r="G7" s="88"/>
      <c r="H7" s="89"/>
    </row>
    <row r="8" spans="1:8" ht="15" customHeight="1" x14ac:dyDescent="0.25">
      <c r="A8" s="1" t="s">
        <v>17</v>
      </c>
      <c r="B8" s="87"/>
      <c r="C8" s="88"/>
      <c r="D8" s="89"/>
      <c r="E8" s="87">
        <v>9.99</v>
      </c>
      <c r="F8" s="88"/>
      <c r="G8" s="88"/>
      <c r="H8" s="89"/>
    </row>
    <row r="9" spans="1:8" ht="15" customHeight="1" x14ac:dyDescent="0.25">
      <c r="A9" s="1" t="s">
        <v>31</v>
      </c>
      <c r="B9" s="87"/>
      <c r="C9" s="88"/>
      <c r="D9" s="89"/>
      <c r="E9" s="87">
        <v>1200</v>
      </c>
      <c r="F9" s="88"/>
      <c r="G9" s="88"/>
      <c r="H9" s="89"/>
    </row>
    <row r="10" spans="1:8" ht="15" customHeight="1" x14ac:dyDescent="0.25">
      <c r="A10" s="1" t="s">
        <v>18</v>
      </c>
      <c r="B10" s="87"/>
      <c r="C10" s="88"/>
      <c r="D10" s="89"/>
      <c r="E10" s="87">
        <v>800</v>
      </c>
      <c r="F10" s="88"/>
      <c r="G10" s="88"/>
      <c r="H10" s="89"/>
    </row>
    <row r="11" spans="1:8" ht="15.75" x14ac:dyDescent="0.25">
      <c r="A11" s="3" t="s">
        <v>19</v>
      </c>
      <c r="B11" s="87"/>
      <c r="C11" s="88"/>
      <c r="D11" s="89"/>
      <c r="E11" s="87">
        <v>1000</v>
      </c>
      <c r="F11" s="88"/>
      <c r="G11" s="88"/>
      <c r="H11" s="89"/>
    </row>
    <row r="12" spans="1:8" ht="15.75" x14ac:dyDescent="0.25">
      <c r="A12" s="3" t="s">
        <v>32</v>
      </c>
      <c r="B12" s="87"/>
      <c r="C12" s="88"/>
      <c r="D12" s="89"/>
      <c r="E12" s="87">
        <v>580</v>
      </c>
      <c r="F12" s="88"/>
      <c r="G12" s="88"/>
      <c r="H12" s="89"/>
    </row>
    <row r="13" spans="1:8" ht="15.75" x14ac:dyDescent="0.25">
      <c r="A13" s="3" t="s">
        <v>20</v>
      </c>
      <c r="B13" s="87"/>
      <c r="C13" s="88"/>
      <c r="D13" s="89"/>
      <c r="E13" s="87"/>
      <c r="F13" s="88"/>
      <c r="G13" s="88"/>
      <c r="H13" s="89"/>
    </row>
    <row r="14" spans="1:8" ht="15.75" x14ac:dyDescent="0.25">
      <c r="A14" s="3" t="s">
        <v>21</v>
      </c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 t="s">
        <v>39</v>
      </c>
      <c r="B15" s="87"/>
      <c r="C15" s="88"/>
      <c r="D15" s="89"/>
      <c r="E15" s="85"/>
      <c r="F15" s="85"/>
      <c r="G15" s="85"/>
      <c r="H15" s="85"/>
    </row>
    <row r="16" spans="1:8" ht="15.75" x14ac:dyDescent="0.25">
      <c r="A16" s="3" t="s">
        <v>40</v>
      </c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 t="s">
        <v>41</v>
      </c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 t="s">
        <v>42</v>
      </c>
      <c r="B18" s="87"/>
      <c r="C18" s="88"/>
      <c r="D18" s="89"/>
      <c r="E18" s="85"/>
      <c r="F18" s="85"/>
      <c r="G18" s="85"/>
      <c r="H18" s="85"/>
    </row>
    <row r="19" spans="1:8" ht="15.75" x14ac:dyDescent="0.25">
      <c r="A19" s="3"/>
      <c r="B19" s="87"/>
      <c r="C19" s="88"/>
      <c r="D19" s="89"/>
      <c r="E19" s="85"/>
      <c r="F19" s="85"/>
      <c r="G19" s="85"/>
      <c r="H19" s="85"/>
    </row>
    <row r="20" spans="1:8" ht="15.75" x14ac:dyDescent="0.25">
      <c r="A20" s="3"/>
      <c r="B20" s="87"/>
      <c r="C20" s="88"/>
      <c r="D20" s="89"/>
      <c r="E20" s="85"/>
      <c r="F20" s="85"/>
      <c r="G20" s="85"/>
      <c r="H20" s="85"/>
    </row>
    <row r="21" spans="1:8" ht="15.75" x14ac:dyDescent="0.25">
      <c r="A21" s="3"/>
      <c r="B21" s="87"/>
      <c r="C21" s="88"/>
      <c r="D21" s="89"/>
      <c r="E21" s="85"/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4389.99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4389.99</v>
      </c>
      <c r="C26" s="85"/>
      <c r="D26" s="85"/>
      <c r="E26" s="85"/>
      <c r="F26" s="85"/>
      <c r="G26" s="85"/>
      <c r="H26" s="85"/>
    </row>
  </sheetData>
  <mergeCells count="49">
    <mergeCell ref="E24:H24"/>
    <mergeCell ref="E25:H25"/>
    <mergeCell ref="B24:D24"/>
    <mergeCell ref="B25:D25"/>
    <mergeCell ref="B23:D23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11:H11"/>
    <mergeCell ref="E12:H12"/>
    <mergeCell ref="E13:H13"/>
    <mergeCell ref="E14:H14"/>
    <mergeCell ref="E7:H7"/>
    <mergeCell ref="E8:H8"/>
    <mergeCell ref="E9:H9"/>
    <mergeCell ref="E10:H10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A2:H2"/>
    <mergeCell ref="B9:D9"/>
    <mergeCell ref="B10:D10"/>
    <mergeCell ref="E5:H5"/>
    <mergeCell ref="E6:H6"/>
  </mergeCells>
  <pageMargins left="0.7" right="0.7" top="0.75" bottom="0.75" header="0.3" footer="0.3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33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2" t="s">
        <v>34</v>
      </c>
      <c r="B4" s="87"/>
      <c r="C4" s="88"/>
      <c r="D4" s="89"/>
      <c r="E4" s="87"/>
      <c r="F4" s="88"/>
      <c r="G4" s="88"/>
      <c r="H4" s="89"/>
    </row>
    <row r="5" spans="1:8" ht="15" customHeight="1" x14ac:dyDescent="0.25">
      <c r="A5" s="12" t="s">
        <v>11</v>
      </c>
      <c r="B5" s="87"/>
      <c r="C5" s="88"/>
      <c r="D5" s="89"/>
      <c r="E5" s="87"/>
      <c r="F5" s="88"/>
      <c r="G5" s="88"/>
      <c r="H5" s="89"/>
    </row>
    <row r="6" spans="1:8" ht="15" customHeight="1" x14ac:dyDescent="0.25">
      <c r="A6" s="12" t="s">
        <v>35</v>
      </c>
      <c r="B6" s="87"/>
      <c r="C6" s="88"/>
      <c r="D6" s="89"/>
      <c r="E6" s="87">
        <v>39.99</v>
      </c>
      <c r="F6" s="88"/>
      <c r="G6" s="88"/>
      <c r="H6" s="89"/>
    </row>
    <row r="7" spans="1:8" ht="15" customHeight="1" x14ac:dyDescent="0.25">
      <c r="A7" s="12" t="s">
        <v>16</v>
      </c>
      <c r="B7" s="87"/>
      <c r="C7" s="88"/>
      <c r="D7" s="89"/>
      <c r="E7" s="87">
        <v>250</v>
      </c>
      <c r="F7" s="88"/>
      <c r="G7" s="88"/>
      <c r="H7" s="89"/>
    </row>
    <row r="8" spans="1:8" ht="15" customHeight="1" x14ac:dyDescent="0.25">
      <c r="A8" s="12" t="s">
        <v>44</v>
      </c>
      <c r="B8" s="87"/>
      <c r="C8" s="88"/>
      <c r="D8" s="89"/>
      <c r="E8" s="87">
        <v>400</v>
      </c>
      <c r="F8" s="88"/>
      <c r="G8" s="88"/>
      <c r="H8" s="89"/>
    </row>
    <row r="9" spans="1:8" ht="15" customHeight="1" x14ac:dyDescent="0.25">
      <c r="A9" s="12" t="s">
        <v>36</v>
      </c>
      <c r="B9" s="87"/>
      <c r="C9" s="88"/>
      <c r="D9" s="89"/>
      <c r="E9" s="87">
        <v>600</v>
      </c>
      <c r="F9" s="88"/>
      <c r="G9" s="88"/>
      <c r="H9" s="89"/>
    </row>
    <row r="10" spans="1:8" ht="15" customHeight="1" x14ac:dyDescent="0.25">
      <c r="A10" s="12" t="s">
        <v>22</v>
      </c>
      <c r="B10" s="87"/>
      <c r="C10" s="88"/>
      <c r="D10" s="89"/>
      <c r="E10" s="87">
        <v>800</v>
      </c>
      <c r="F10" s="88"/>
      <c r="G10" s="88"/>
      <c r="H10" s="89"/>
    </row>
    <row r="11" spans="1:8" ht="15.75" x14ac:dyDescent="0.25">
      <c r="A11" s="11" t="s">
        <v>32</v>
      </c>
      <c r="B11" s="87"/>
      <c r="C11" s="88"/>
      <c r="D11" s="89"/>
      <c r="E11" s="87">
        <v>200</v>
      </c>
      <c r="F11" s="88"/>
      <c r="G11" s="88"/>
      <c r="H11" s="89"/>
    </row>
    <row r="12" spans="1:8" ht="15.75" x14ac:dyDescent="0.25">
      <c r="A12" s="11" t="s">
        <v>20</v>
      </c>
      <c r="B12" s="87"/>
      <c r="C12" s="88"/>
      <c r="D12" s="89"/>
      <c r="E12" s="87"/>
      <c r="F12" s="88"/>
      <c r="G12" s="88"/>
      <c r="H12" s="89"/>
    </row>
    <row r="13" spans="1:8" ht="15.75" x14ac:dyDescent="0.25">
      <c r="A13" s="11" t="s">
        <v>37</v>
      </c>
      <c r="B13" s="87"/>
      <c r="C13" s="88"/>
      <c r="D13" s="89"/>
      <c r="E13" s="87"/>
      <c r="F13" s="88"/>
      <c r="G13" s="88"/>
      <c r="H13" s="89"/>
    </row>
    <row r="14" spans="1:8" ht="15.75" x14ac:dyDescent="0.25">
      <c r="A14" s="11" t="s">
        <v>38</v>
      </c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 t="s">
        <v>43</v>
      </c>
      <c r="B15" s="87"/>
      <c r="C15" s="88"/>
      <c r="D15" s="89"/>
      <c r="E15" s="85"/>
      <c r="F15" s="85"/>
      <c r="G15" s="85"/>
      <c r="H15" s="85"/>
    </row>
    <row r="16" spans="1:8" ht="15.75" x14ac:dyDescent="0.25">
      <c r="A16" s="11" t="s">
        <v>45</v>
      </c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 t="s">
        <v>46</v>
      </c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 t="s">
        <v>93</v>
      </c>
      <c r="B18" s="87"/>
      <c r="C18" s="88"/>
      <c r="D18" s="89"/>
      <c r="E18" s="85">
        <v>135.08000000000001</v>
      </c>
      <c r="F18" s="85"/>
      <c r="G18" s="85"/>
      <c r="H18" s="85"/>
    </row>
    <row r="19" spans="1:8" ht="15.75" x14ac:dyDescent="0.25">
      <c r="A19" s="3" t="s">
        <v>94</v>
      </c>
      <c r="B19" s="87"/>
      <c r="C19" s="88"/>
      <c r="D19" s="89"/>
      <c r="E19" s="85">
        <v>67.540000000000006</v>
      </c>
      <c r="F19" s="85"/>
      <c r="G19" s="85"/>
      <c r="H19" s="85"/>
    </row>
    <row r="20" spans="1:8" ht="15.75" x14ac:dyDescent="0.25">
      <c r="A20" s="3" t="s">
        <v>95</v>
      </c>
      <c r="B20" s="87"/>
      <c r="C20" s="88"/>
      <c r="D20" s="89"/>
      <c r="E20" s="85">
        <v>104.86</v>
      </c>
      <c r="F20" s="85"/>
      <c r="G20" s="85"/>
      <c r="H20" s="85"/>
    </row>
    <row r="21" spans="1:8" ht="15.75" x14ac:dyDescent="0.25">
      <c r="A21" s="3" t="s">
        <v>96</v>
      </c>
      <c r="B21" s="87"/>
      <c r="C21" s="88"/>
      <c r="D21" s="89"/>
      <c r="E21" s="85">
        <v>50.99</v>
      </c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2648.4599999999996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2648.4599999999996</v>
      </c>
      <c r="C26" s="85"/>
      <c r="D26" s="85"/>
      <c r="E26" s="85"/>
      <c r="F26" s="85"/>
      <c r="G26" s="85"/>
      <c r="H26" s="8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8" t="s">
        <v>30</v>
      </c>
      <c r="B1" s="108"/>
      <c r="C1" s="108"/>
      <c r="D1" s="108"/>
      <c r="E1" s="108"/>
      <c r="F1" s="108"/>
      <c r="G1" s="108"/>
      <c r="H1" s="108"/>
    </row>
    <row r="2" spans="1:8" ht="15" customHeight="1" x14ac:dyDescent="0.25">
      <c r="A2" s="90" t="s">
        <v>47</v>
      </c>
      <c r="B2" s="90"/>
      <c r="C2" s="90"/>
      <c r="D2" s="90"/>
      <c r="E2" s="90"/>
      <c r="F2" s="90"/>
      <c r="G2" s="90"/>
      <c r="H2" s="90"/>
    </row>
    <row r="3" spans="1:8" ht="15" customHeight="1" x14ac:dyDescent="0.25">
      <c r="A3" s="10"/>
      <c r="B3" s="92" t="s">
        <v>25</v>
      </c>
      <c r="C3" s="93"/>
      <c r="D3" s="94"/>
      <c r="E3" s="92" t="s">
        <v>26</v>
      </c>
      <c r="F3" s="93"/>
      <c r="G3" s="93"/>
      <c r="H3" s="94"/>
    </row>
    <row r="4" spans="1:8" ht="15" customHeight="1" x14ac:dyDescent="0.25">
      <c r="A4" s="1" t="s">
        <v>23</v>
      </c>
      <c r="B4" s="87"/>
      <c r="C4" s="88"/>
      <c r="D4" s="89"/>
      <c r="E4" s="87">
        <v>680</v>
      </c>
      <c r="F4" s="88"/>
      <c r="G4" s="88"/>
      <c r="H4" s="89"/>
    </row>
    <row r="5" spans="1:8" ht="15" customHeight="1" x14ac:dyDescent="0.25">
      <c r="A5" s="1"/>
      <c r="B5" s="87"/>
      <c r="C5" s="88"/>
      <c r="D5" s="89"/>
      <c r="E5" s="87"/>
      <c r="F5" s="88"/>
      <c r="G5" s="88"/>
      <c r="H5" s="89"/>
    </row>
    <row r="6" spans="1:8" ht="15" customHeight="1" x14ac:dyDescent="0.25">
      <c r="A6" s="1"/>
      <c r="B6" s="87"/>
      <c r="C6" s="88"/>
      <c r="D6" s="89"/>
      <c r="E6" s="87"/>
      <c r="F6" s="88"/>
      <c r="G6" s="88"/>
      <c r="H6" s="89"/>
    </row>
    <row r="7" spans="1:8" ht="15" customHeight="1" x14ac:dyDescent="0.25">
      <c r="A7" s="1"/>
      <c r="B7" s="87"/>
      <c r="C7" s="88"/>
      <c r="D7" s="89"/>
      <c r="E7" s="87"/>
      <c r="F7" s="88"/>
      <c r="G7" s="88"/>
      <c r="H7" s="89"/>
    </row>
    <row r="8" spans="1:8" ht="15" customHeight="1" x14ac:dyDescent="0.25">
      <c r="A8" s="1"/>
      <c r="B8" s="87"/>
      <c r="C8" s="88"/>
      <c r="D8" s="89"/>
      <c r="E8" s="87"/>
      <c r="F8" s="88"/>
      <c r="G8" s="88"/>
      <c r="H8" s="89"/>
    </row>
    <row r="9" spans="1:8" ht="15" customHeight="1" x14ac:dyDescent="0.25">
      <c r="A9" s="1"/>
      <c r="B9" s="87"/>
      <c r="C9" s="88"/>
      <c r="D9" s="89"/>
      <c r="E9" s="87"/>
      <c r="F9" s="88"/>
      <c r="G9" s="88"/>
      <c r="H9" s="89"/>
    </row>
    <row r="10" spans="1:8" ht="15" customHeight="1" x14ac:dyDescent="0.25">
      <c r="A10" s="1"/>
      <c r="B10" s="87"/>
      <c r="C10" s="88"/>
      <c r="D10" s="89"/>
      <c r="E10" s="87"/>
      <c r="F10" s="88"/>
      <c r="G10" s="88"/>
      <c r="H10" s="89"/>
    </row>
    <row r="11" spans="1:8" ht="15.75" x14ac:dyDescent="0.25">
      <c r="A11" s="3"/>
      <c r="B11" s="87"/>
      <c r="C11" s="88"/>
      <c r="D11" s="89"/>
      <c r="E11" s="87"/>
      <c r="F11" s="88"/>
      <c r="G11" s="88"/>
      <c r="H11" s="89"/>
    </row>
    <row r="12" spans="1:8" ht="15.75" x14ac:dyDescent="0.25">
      <c r="A12" s="3"/>
      <c r="B12" s="87"/>
      <c r="C12" s="88"/>
      <c r="D12" s="89"/>
      <c r="E12" s="87"/>
      <c r="F12" s="88"/>
      <c r="G12" s="88"/>
      <c r="H12" s="89"/>
    </row>
    <row r="13" spans="1:8" ht="15.75" x14ac:dyDescent="0.25">
      <c r="A13" s="3"/>
      <c r="B13" s="87"/>
      <c r="C13" s="88"/>
      <c r="D13" s="89"/>
      <c r="E13" s="87"/>
      <c r="F13" s="88"/>
      <c r="G13" s="88"/>
      <c r="H13" s="89"/>
    </row>
    <row r="14" spans="1:8" ht="15.75" x14ac:dyDescent="0.25">
      <c r="A14" s="3"/>
      <c r="B14" s="87"/>
      <c r="C14" s="88"/>
      <c r="D14" s="89"/>
      <c r="E14" s="85"/>
      <c r="F14" s="85"/>
      <c r="G14" s="85"/>
      <c r="H14" s="85"/>
    </row>
    <row r="15" spans="1:8" ht="15.75" x14ac:dyDescent="0.25">
      <c r="A15" s="3"/>
      <c r="B15" s="87"/>
      <c r="C15" s="88"/>
      <c r="D15" s="89"/>
      <c r="E15" s="85"/>
      <c r="F15" s="85"/>
      <c r="G15" s="85"/>
      <c r="H15" s="85"/>
    </row>
    <row r="16" spans="1:8" ht="15.75" x14ac:dyDescent="0.25">
      <c r="A16" s="3"/>
      <c r="B16" s="87"/>
      <c r="C16" s="88"/>
      <c r="D16" s="89"/>
      <c r="E16" s="85"/>
      <c r="F16" s="85"/>
      <c r="G16" s="85"/>
      <c r="H16" s="85"/>
    </row>
    <row r="17" spans="1:8" ht="15.75" x14ac:dyDescent="0.25">
      <c r="A17" s="3"/>
      <c r="B17" s="87"/>
      <c r="C17" s="88"/>
      <c r="D17" s="89"/>
      <c r="E17" s="85"/>
      <c r="F17" s="85"/>
      <c r="G17" s="85"/>
      <c r="H17" s="85"/>
    </row>
    <row r="18" spans="1:8" ht="15.75" x14ac:dyDescent="0.25">
      <c r="A18" s="3"/>
      <c r="B18" s="87"/>
      <c r="C18" s="88"/>
      <c r="D18" s="89"/>
      <c r="E18" s="85"/>
      <c r="F18" s="85"/>
      <c r="G18" s="85"/>
      <c r="H18" s="85"/>
    </row>
    <row r="19" spans="1:8" ht="15.75" x14ac:dyDescent="0.25">
      <c r="A19" s="3"/>
      <c r="B19" s="87"/>
      <c r="C19" s="88"/>
      <c r="D19" s="89"/>
      <c r="E19" s="85"/>
      <c r="F19" s="85"/>
      <c r="G19" s="85"/>
      <c r="H19" s="85"/>
    </row>
    <row r="20" spans="1:8" ht="15.75" x14ac:dyDescent="0.25">
      <c r="A20" s="3"/>
      <c r="B20" s="87"/>
      <c r="C20" s="88"/>
      <c r="D20" s="89"/>
      <c r="E20" s="85"/>
      <c r="F20" s="85"/>
      <c r="G20" s="85"/>
      <c r="H20" s="85"/>
    </row>
    <row r="21" spans="1:8" ht="15.75" x14ac:dyDescent="0.25">
      <c r="A21" s="3"/>
      <c r="B21" s="87"/>
      <c r="C21" s="88"/>
      <c r="D21" s="89"/>
      <c r="E21" s="85"/>
      <c r="F21" s="85"/>
      <c r="G21" s="85"/>
      <c r="H21" s="85"/>
    </row>
    <row r="22" spans="1:8" ht="15.75" x14ac:dyDescent="0.25">
      <c r="A22" s="3"/>
      <c r="B22" s="87"/>
      <c r="C22" s="88"/>
      <c r="D22" s="89"/>
      <c r="E22" s="85"/>
      <c r="F22" s="85"/>
      <c r="G22" s="85"/>
      <c r="H22" s="85"/>
    </row>
    <row r="23" spans="1:8" ht="15.75" x14ac:dyDescent="0.25">
      <c r="A23" s="3"/>
      <c r="B23" s="87"/>
      <c r="C23" s="88"/>
      <c r="D23" s="89"/>
      <c r="E23" s="85"/>
      <c r="F23" s="85"/>
      <c r="G23" s="85"/>
      <c r="H23" s="85"/>
    </row>
    <row r="24" spans="1:8" ht="15.75" x14ac:dyDescent="0.25">
      <c r="A24" s="3"/>
      <c r="B24" s="87"/>
      <c r="C24" s="88"/>
      <c r="D24" s="89"/>
      <c r="E24" s="85"/>
      <c r="F24" s="85"/>
      <c r="G24" s="85"/>
      <c r="H24" s="85"/>
    </row>
    <row r="25" spans="1:8" ht="15.75" x14ac:dyDescent="0.25">
      <c r="A25" s="5" t="s">
        <v>3</v>
      </c>
      <c r="B25" s="87">
        <f>SUM(B4:D24)</f>
        <v>0</v>
      </c>
      <c r="C25" s="88"/>
      <c r="D25" s="89"/>
      <c r="E25" s="85">
        <f>SUM(E4:H24)</f>
        <v>680</v>
      </c>
      <c r="F25" s="85"/>
      <c r="G25" s="85"/>
      <c r="H25" s="85"/>
    </row>
    <row r="26" spans="1:8" x14ac:dyDescent="0.25">
      <c r="A26" s="2" t="s">
        <v>27</v>
      </c>
      <c r="B26" s="85">
        <f>SUM(E25-B25)</f>
        <v>680</v>
      </c>
      <c r="C26" s="85"/>
      <c r="D26" s="85"/>
      <c r="E26" s="85"/>
      <c r="F26" s="85"/>
      <c r="G26" s="85"/>
      <c r="H26" s="8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18</vt:i4>
      </vt:variant>
    </vt:vector>
  </HeadingPairs>
  <TitlesOfParts>
    <vt:vector size="37" baseType="lpstr">
      <vt:lpstr>Saisie</vt:lpstr>
      <vt:lpstr>D_Encaissements</vt:lpstr>
      <vt:lpstr>D_Charges_Magasin</vt:lpstr>
      <vt:lpstr>D_Charges_Entreprise</vt:lpstr>
      <vt:lpstr>D_Charges_Communes</vt:lpstr>
      <vt:lpstr>D_Emprunts</vt:lpstr>
      <vt:lpstr>TA</vt:lpstr>
      <vt:lpstr>Emprunt</vt:lpstr>
      <vt:lpstr>Pret covid19</vt:lpstr>
      <vt:lpstr>D_Salaires</vt:lpstr>
      <vt:lpstr>Salaire magasin</vt:lpstr>
      <vt:lpstr>Salaire entreprise</vt:lpstr>
      <vt:lpstr>D_Charges_Sociales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Charges_Entreprise</vt:lpstr>
      <vt:lpstr>Charges_Magasin</vt:lpstr>
      <vt:lpstr>Charges_Sociales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T_Amort</vt:lpstr>
      <vt:lpstr>T_Charges_Communes</vt:lpstr>
      <vt:lpstr>T_Charges_Entreprise</vt:lpstr>
      <vt:lpstr>T_Charges_Magasin</vt:lpstr>
      <vt:lpstr>T_Emprunts</vt:lpstr>
      <vt:lpstr>T_Encaissements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2020-05-05T12:49:54Z</dcterms:modified>
</cp:coreProperties>
</file>