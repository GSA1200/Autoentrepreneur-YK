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638" documentId="8_{80E696AD-36FE-4426-AADD-051C6EF40409}" xr6:coauthVersionLast="45" xr6:coauthVersionMax="45" xr10:uidLastSave="{03EC99AC-906A-4771-961C-2B5B4AC29546}"/>
  <bookViews>
    <workbookView xWindow="-120" yWindow="-120" windowWidth="29040" windowHeight="15840" tabRatio="783" activeTab="2" xr2:uid="{00000000-000D-0000-FFFF-FFFF00000000}"/>
  </bookViews>
  <sheets>
    <sheet name="Saisie" sheetId="23" r:id="rId1"/>
    <sheet name="Feuil4" sheetId="31" r:id="rId2"/>
    <sheet name="D_Encaissements" sheetId="15" r:id="rId3"/>
    <sheet name="D_Charges_Magasin" sheetId="17" r:id="rId4"/>
    <sheet name="D_Charges_Entreprise" sheetId="18" r:id="rId5"/>
    <sheet name="D_Charges_Communes" sheetId="19" r:id="rId6"/>
    <sheet name="Feuil3" sheetId="30" r:id="rId7"/>
    <sheet name="D_Emprunts" sheetId="20" r:id="rId8"/>
    <sheet name="TA" sheetId="27" r:id="rId9"/>
    <sheet name="Emprunt" sheetId="9" r:id="rId10"/>
    <sheet name="Pret covid19" sheetId="10" r:id="rId11"/>
    <sheet name="D_Salaires" sheetId="21" r:id="rId12"/>
    <sheet name="Salaire magasin" sheetId="11" r:id="rId13"/>
    <sheet name="Salaire entreprise" sheetId="12" r:id="rId14"/>
    <sheet name="D_Charges_Sociales" sheetId="22" r:id="rId15"/>
    <sheet name="charges sociales" sheetId="13" r:id="rId16"/>
    <sheet name="Bilan mensuel" sheetId="14" r:id="rId17"/>
    <sheet name="Encaissement" sheetId="1" r:id="rId18"/>
    <sheet name="Charge magasin" sheetId="2" r:id="rId19"/>
    <sheet name="Charge enterprise" sheetId="6" r:id="rId20"/>
    <sheet name="Charge commune" sheetId="7" r:id="rId21"/>
  </sheets>
  <definedNames>
    <definedName name="categories">D_Encaissements!$I$6:$I$15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Description_Encaiss">D_Encaissements!$K$6:$K$10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egment_Date">#N/A</definedName>
    <definedName name="Sous_categorie">D_Encaissements!$J$6:$J$10</definedName>
    <definedName name="T_Amort">Tableau7[]</definedName>
    <definedName name="T_Charges_Communes">Tableau6[]</definedName>
    <definedName name="T_Charges_Entreprise">Tableau4[]</definedName>
    <definedName name="T_Charges_Magasin">Tableau3[]</definedName>
    <definedName name="T_Emprunts">Tableau1[]</definedName>
    <definedName name="T_Encaissements">Tableau2[]</definedName>
    <definedName name="Type_Pret">D_Emprunts!$M$7:$M$10</definedName>
  </definedNames>
  <calcPr calcId="191029"/>
  <pivotCaches>
    <pivotCache cacheId="31" r:id="rId22"/>
    <pivotCache cacheId="59" r:id="rId23"/>
  </pivotCaches>
  <extLst>
    <ext xmlns:x14="http://schemas.microsoft.com/office/spreadsheetml/2009/9/main" uri="{BBE1A952-AA13-448e-AADC-164F8A28A991}">
      <x14:slicerCaches>
        <x14:slicerCache r:id="rId24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0" l="1"/>
  <c r="V10" i="20"/>
  <c r="V9" i="20"/>
  <c r="V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AA8" i="20"/>
  <c r="Z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34" i="20"/>
  <c r="U235" i="20"/>
  <c r="U236" i="20"/>
  <c r="U237" i="20"/>
  <c r="U238" i="20"/>
  <c r="U239" i="20"/>
  <c r="U240" i="20"/>
  <c r="U241" i="20"/>
  <c r="U242" i="20"/>
  <c r="U243" i="20"/>
  <c r="U244" i="20"/>
  <c r="U245" i="20"/>
  <c r="U246" i="20"/>
  <c r="U247" i="20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U264" i="20"/>
  <c r="U265" i="20"/>
  <c r="U266" i="20"/>
  <c r="U267" i="20"/>
  <c r="U268" i="20"/>
  <c r="U269" i="20"/>
  <c r="U270" i="20"/>
  <c r="U271" i="20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U312" i="20"/>
  <c r="U313" i="20"/>
  <c r="U314" i="20"/>
  <c r="U315" i="20"/>
  <c r="U316" i="20"/>
  <c r="U317" i="20"/>
  <c r="U318" i="20"/>
  <c r="U319" i="20"/>
  <c r="U320" i="20"/>
  <c r="U321" i="20"/>
  <c r="U322" i="20"/>
  <c r="U323" i="20"/>
  <c r="U324" i="20"/>
  <c r="U325" i="20"/>
  <c r="U326" i="20"/>
  <c r="U327" i="20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05" i="20"/>
  <c r="U506" i="20"/>
  <c r="U507" i="20"/>
  <c r="U508" i="20"/>
  <c r="U509" i="20"/>
  <c r="U510" i="20"/>
  <c r="U511" i="20"/>
  <c r="U512" i="20"/>
  <c r="U513" i="20"/>
  <c r="U514" i="20"/>
  <c r="U515" i="20"/>
  <c r="U516" i="20"/>
  <c r="U517" i="20"/>
  <c r="U518" i="20"/>
  <c r="U519" i="20"/>
  <c r="U520" i="20"/>
  <c r="U521" i="20"/>
  <c r="U522" i="20"/>
  <c r="U523" i="20"/>
  <c r="U524" i="20"/>
  <c r="U525" i="20"/>
  <c r="U526" i="20"/>
  <c r="U527" i="20"/>
  <c r="U528" i="20"/>
  <c r="U529" i="20"/>
  <c r="U530" i="20"/>
  <c r="U531" i="20"/>
  <c r="U532" i="20"/>
  <c r="U533" i="20"/>
  <c r="U534" i="20"/>
  <c r="U535" i="20"/>
  <c r="U536" i="20"/>
  <c r="U537" i="20"/>
  <c r="U538" i="20"/>
  <c r="U539" i="20"/>
  <c r="U540" i="20"/>
  <c r="U541" i="20"/>
  <c r="U542" i="20"/>
  <c r="U543" i="20"/>
  <c r="U544" i="20"/>
  <c r="U545" i="20"/>
  <c r="U546" i="20"/>
  <c r="U547" i="20"/>
  <c r="U548" i="20"/>
  <c r="U549" i="20"/>
  <c r="U550" i="20"/>
  <c r="U551" i="20"/>
  <c r="U552" i="20"/>
  <c r="U553" i="20"/>
  <c r="U554" i="20"/>
  <c r="U555" i="20"/>
  <c r="U556" i="20"/>
  <c r="U557" i="20"/>
  <c r="U558" i="20"/>
  <c r="U559" i="20"/>
  <c r="U560" i="20"/>
  <c r="U561" i="20"/>
  <c r="U562" i="20"/>
  <c r="U563" i="20"/>
  <c r="U564" i="20"/>
  <c r="U565" i="20"/>
  <c r="U566" i="20"/>
  <c r="U567" i="20"/>
  <c r="U568" i="20"/>
  <c r="U569" i="20"/>
  <c r="U570" i="20"/>
  <c r="U571" i="20"/>
  <c r="U572" i="20"/>
  <c r="U573" i="20"/>
  <c r="U574" i="20"/>
  <c r="U575" i="20"/>
  <c r="U576" i="20"/>
  <c r="U577" i="20"/>
  <c r="U578" i="20"/>
  <c r="U579" i="20"/>
  <c r="U580" i="20"/>
  <c r="U581" i="20"/>
  <c r="U582" i="20"/>
  <c r="U583" i="20"/>
  <c r="U584" i="20"/>
  <c r="U585" i="20"/>
  <c r="U586" i="20"/>
  <c r="U587" i="20"/>
  <c r="U588" i="20"/>
  <c r="U589" i="20"/>
  <c r="U590" i="20"/>
  <c r="U591" i="20"/>
  <c r="U592" i="20"/>
  <c r="U593" i="20"/>
  <c r="U594" i="20"/>
  <c r="U595" i="20"/>
  <c r="U596" i="20"/>
  <c r="U597" i="20"/>
  <c r="U598" i="20"/>
  <c r="U599" i="20"/>
  <c r="U600" i="20"/>
  <c r="U601" i="20"/>
  <c r="U602" i="20"/>
  <c r="U603" i="20"/>
  <c r="U604" i="20"/>
  <c r="U605" i="20"/>
  <c r="U606" i="20"/>
  <c r="U607" i="20"/>
  <c r="U608" i="20"/>
  <c r="U609" i="20"/>
  <c r="U610" i="20"/>
  <c r="U611" i="20"/>
  <c r="U612" i="20"/>
  <c r="U613" i="20"/>
  <c r="U614" i="20"/>
  <c r="U615" i="20"/>
  <c r="U616" i="20"/>
  <c r="U617" i="20"/>
  <c r="U618" i="20"/>
  <c r="U619" i="20"/>
  <c r="U620" i="20"/>
  <c r="U621" i="20"/>
  <c r="U622" i="20"/>
  <c r="U623" i="20"/>
  <c r="U624" i="20"/>
  <c r="U625" i="20"/>
  <c r="U626" i="20"/>
  <c r="U627" i="20"/>
  <c r="U628" i="20"/>
  <c r="U629" i="20"/>
  <c r="U630" i="20"/>
  <c r="U631" i="20"/>
  <c r="U632" i="20"/>
  <c r="U633" i="20"/>
  <c r="U634" i="20"/>
  <c r="U635" i="20"/>
  <c r="U636" i="20"/>
  <c r="U637" i="20"/>
  <c r="U638" i="20"/>
  <c r="U639" i="20"/>
  <c r="U640" i="20"/>
  <c r="U641" i="20"/>
  <c r="U642" i="20"/>
  <c r="U643" i="20"/>
  <c r="U644" i="20"/>
  <c r="U645" i="20"/>
  <c r="U646" i="20"/>
  <c r="U647" i="20"/>
  <c r="U648" i="20"/>
  <c r="U649" i="20"/>
  <c r="U650" i="20"/>
  <c r="U651" i="20"/>
  <c r="U652" i="20"/>
  <c r="U653" i="20"/>
  <c r="U654" i="20"/>
  <c r="U655" i="20"/>
  <c r="U656" i="20"/>
  <c r="U657" i="20"/>
  <c r="U658" i="20"/>
  <c r="U659" i="20"/>
  <c r="U660" i="20"/>
  <c r="U661" i="20"/>
  <c r="U662" i="20"/>
  <c r="U663" i="20"/>
  <c r="U664" i="20"/>
  <c r="U665" i="20"/>
  <c r="U666" i="20"/>
  <c r="U667" i="20"/>
  <c r="U668" i="20"/>
  <c r="U669" i="20"/>
  <c r="U670" i="20"/>
  <c r="U671" i="20"/>
  <c r="U672" i="20"/>
  <c r="U673" i="20"/>
  <c r="U674" i="20"/>
  <c r="U675" i="20"/>
  <c r="U676" i="20"/>
  <c r="U677" i="20"/>
  <c r="U678" i="20"/>
  <c r="U679" i="20"/>
  <c r="U680" i="20"/>
  <c r="U681" i="20"/>
  <c r="U682" i="20"/>
  <c r="U683" i="20"/>
  <c r="U684" i="20"/>
  <c r="U685" i="20"/>
  <c r="U686" i="20"/>
  <c r="U687" i="20"/>
  <c r="U688" i="20"/>
  <c r="U689" i="20"/>
  <c r="U690" i="20"/>
  <c r="U691" i="20"/>
  <c r="U692" i="20"/>
  <c r="U693" i="20"/>
  <c r="U694" i="20"/>
  <c r="U695" i="20"/>
  <c r="U696" i="20"/>
  <c r="U697" i="20"/>
  <c r="U698" i="20"/>
  <c r="U699" i="20"/>
  <c r="U700" i="20"/>
  <c r="U701" i="20"/>
  <c r="U702" i="20"/>
  <c r="U703" i="20"/>
  <c r="U704" i="20"/>
  <c r="U705" i="20"/>
  <c r="U706" i="20"/>
  <c r="U707" i="20"/>
  <c r="U708" i="20"/>
  <c r="U709" i="20"/>
  <c r="U710" i="20"/>
  <c r="U711" i="20"/>
  <c r="U712" i="20"/>
  <c r="U713" i="20"/>
  <c r="U714" i="20"/>
  <c r="U715" i="20"/>
  <c r="U716" i="20"/>
  <c r="U717" i="20"/>
  <c r="U718" i="20"/>
  <c r="U719" i="20"/>
  <c r="U720" i="20"/>
  <c r="U721" i="20"/>
  <c r="U722" i="20"/>
  <c r="U723" i="20"/>
  <c r="U724" i="20"/>
  <c r="U725" i="20"/>
  <c r="U726" i="20"/>
  <c r="U727" i="20"/>
  <c r="U728" i="20"/>
  <c r="U729" i="20"/>
  <c r="U730" i="20"/>
  <c r="U731" i="20"/>
  <c r="U732" i="20"/>
  <c r="U733" i="20"/>
  <c r="U734" i="20"/>
  <c r="U735" i="20"/>
  <c r="U736" i="20"/>
  <c r="U737" i="20"/>
  <c r="U738" i="20"/>
  <c r="U739" i="20"/>
  <c r="U740" i="20"/>
  <c r="U741" i="20"/>
  <c r="U742" i="20"/>
  <c r="U743" i="20"/>
  <c r="U744" i="20"/>
  <c r="U745" i="20"/>
  <c r="U746" i="20"/>
  <c r="U747" i="20"/>
  <c r="U748" i="20"/>
  <c r="U749" i="20"/>
  <c r="U750" i="20"/>
  <c r="U751" i="20"/>
  <c r="U752" i="20"/>
  <c r="U753" i="20"/>
  <c r="U754" i="20"/>
  <c r="U755" i="20"/>
  <c r="U756" i="20"/>
  <c r="U757" i="20"/>
  <c r="U758" i="20"/>
  <c r="U759" i="20"/>
  <c r="U760" i="20"/>
  <c r="U761" i="20"/>
  <c r="U762" i="20"/>
  <c r="U763" i="20"/>
  <c r="U764" i="20"/>
  <c r="U765" i="20"/>
  <c r="U766" i="20"/>
  <c r="U767" i="20"/>
  <c r="U768" i="20"/>
  <c r="U769" i="20"/>
  <c r="U770" i="20"/>
  <c r="U771" i="20"/>
  <c r="U772" i="20"/>
  <c r="U773" i="20"/>
  <c r="U774" i="20"/>
  <c r="U775" i="20"/>
  <c r="U776" i="20"/>
  <c r="U777" i="20"/>
  <c r="U778" i="20"/>
  <c r="U779" i="20"/>
  <c r="U780" i="20"/>
  <c r="U781" i="20"/>
  <c r="U782" i="20"/>
  <c r="U783" i="20"/>
  <c r="U784" i="20"/>
  <c r="U785" i="20"/>
  <c r="U786" i="20"/>
  <c r="U787" i="20"/>
  <c r="U788" i="20"/>
  <c r="U789" i="20"/>
  <c r="U790" i="20"/>
  <c r="U791" i="20"/>
  <c r="U792" i="20"/>
  <c r="U793" i="20"/>
  <c r="U794" i="20"/>
  <c r="U795" i="20"/>
  <c r="U796" i="20"/>
  <c r="U797" i="20"/>
  <c r="U798" i="20"/>
  <c r="U799" i="20"/>
  <c r="U800" i="20"/>
  <c r="U801" i="20"/>
  <c r="U802" i="20"/>
  <c r="U803" i="20"/>
  <c r="U804" i="20"/>
  <c r="U805" i="20"/>
  <c r="U806" i="20"/>
  <c r="U807" i="20"/>
  <c r="U808" i="20"/>
  <c r="U809" i="20"/>
  <c r="U810" i="20"/>
  <c r="U811" i="20"/>
  <c r="U812" i="20"/>
  <c r="U813" i="20"/>
  <c r="U814" i="20"/>
  <c r="U815" i="20"/>
  <c r="U816" i="20"/>
  <c r="U817" i="20"/>
  <c r="U818" i="20"/>
  <c r="U819" i="20"/>
  <c r="U820" i="20"/>
  <c r="U821" i="20"/>
  <c r="U822" i="20"/>
  <c r="U823" i="20"/>
  <c r="U824" i="20"/>
  <c r="U825" i="20"/>
  <c r="U826" i="20"/>
  <c r="U827" i="20"/>
  <c r="U828" i="20"/>
  <c r="U829" i="20"/>
  <c r="U830" i="20"/>
  <c r="U831" i="20"/>
  <c r="U832" i="20"/>
  <c r="U833" i="20"/>
  <c r="U834" i="20"/>
  <c r="U835" i="20"/>
  <c r="U836" i="20"/>
  <c r="U837" i="20"/>
  <c r="U838" i="20"/>
  <c r="U839" i="20"/>
  <c r="U840" i="20"/>
  <c r="U841" i="20"/>
  <c r="U842" i="20"/>
  <c r="U843" i="20"/>
  <c r="U844" i="20"/>
  <c r="U845" i="20"/>
  <c r="U846" i="20"/>
  <c r="U847" i="20"/>
  <c r="U848" i="20"/>
  <c r="U849" i="20"/>
  <c r="U850" i="20"/>
  <c r="U851" i="20"/>
  <c r="U852" i="20"/>
  <c r="U853" i="20"/>
  <c r="U854" i="20"/>
  <c r="U855" i="20"/>
  <c r="U856" i="20"/>
  <c r="U857" i="20"/>
  <c r="U858" i="20"/>
  <c r="U859" i="20"/>
  <c r="U860" i="20"/>
  <c r="U861" i="20"/>
  <c r="U862" i="20"/>
  <c r="U863" i="20"/>
  <c r="U864" i="20"/>
  <c r="U865" i="20"/>
  <c r="U866" i="20"/>
  <c r="U867" i="20"/>
  <c r="U868" i="20"/>
  <c r="U869" i="20"/>
  <c r="U870" i="20"/>
  <c r="U871" i="20"/>
  <c r="U872" i="20"/>
  <c r="U873" i="20"/>
  <c r="U874" i="20"/>
  <c r="U875" i="20"/>
  <c r="U876" i="20"/>
  <c r="U877" i="20"/>
  <c r="U878" i="20"/>
  <c r="U879" i="20"/>
  <c r="U880" i="20"/>
  <c r="U881" i="20"/>
  <c r="U882" i="20"/>
  <c r="U883" i="20"/>
  <c r="U884" i="20"/>
  <c r="U885" i="20"/>
  <c r="U886" i="20"/>
  <c r="U887" i="20"/>
  <c r="U888" i="20"/>
  <c r="U889" i="20"/>
  <c r="U890" i="20"/>
  <c r="U891" i="20"/>
  <c r="U892" i="20"/>
  <c r="U893" i="20"/>
  <c r="U894" i="20"/>
  <c r="U895" i="20"/>
  <c r="U896" i="20"/>
  <c r="U897" i="20"/>
  <c r="U898" i="20"/>
  <c r="U899" i="20"/>
  <c r="U900" i="20"/>
  <c r="U901" i="20"/>
  <c r="U902" i="20"/>
  <c r="U903" i="20"/>
  <c r="U904" i="20"/>
  <c r="U905" i="20"/>
  <c r="U906" i="20"/>
  <c r="U907" i="20"/>
  <c r="U908" i="20"/>
  <c r="U909" i="20"/>
  <c r="U910" i="20"/>
  <c r="U911" i="20"/>
  <c r="U912" i="20"/>
  <c r="U913" i="20"/>
  <c r="U914" i="20"/>
  <c r="U915" i="20"/>
  <c r="U916" i="20"/>
  <c r="U917" i="20"/>
  <c r="U918" i="20"/>
  <c r="U919" i="20"/>
  <c r="U920" i="20"/>
  <c r="U921" i="20"/>
  <c r="U922" i="20"/>
  <c r="U923" i="20"/>
  <c r="U924" i="20"/>
  <c r="U925" i="20"/>
  <c r="U926" i="20"/>
  <c r="U927" i="20"/>
  <c r="U928" i="20"/>
  <c r="U929" i="20"/>
  <c r="U930" i="20"/>
  <c r="U931" i="20"/>
  <c r="U932" i="20"/>
  <c r="U933" i="20"/>
  <c r="U934" i="20"/>
  <c r="U935" i="20"/>
  <c r="U936" i="20"/>
  <c r="U937" i="20"/>
  <c r="U938" i="20"/>
  <c r="U939" i="20"/>
  <c r="U940" i="20"/>
  <c r="U941" i="20"/>
  <c r="U942" i="20"/>
  <c r="U943" i="20"/>
  <c r="U944" i="20"/>
  <c r="U945" i="20"/>
  <c r="U946" i="20"/>
  <c r="U947" i="20"/>
  <c r="U948" i="20"/>
  <c r="U949" i="20"/>
  <c r="U950" i="20"/>
  <c r="U951" i="20"/>
  <c r="U952" i="20"/>
  <c r="U953" i="20"/>
  <c r="U954" i="20"/>
  <c r="U955" i="20"/>
  <c r="U956" i="20"/>
  <c r="U957" i="20"/>
  <c r="U958" i="20"/>
  <c r="U959" i="20"/>
  <c r="U960" i="20"/>
  <c r="U961" i="20"/>
  <c r="U962" i="20"/>
  <c r="U963" i="20"/>
  <c r="U964" i="20"/>
  <c r="U965" i="20"/>
  <c r="U966" i="20"/>
  <c r="U967" i="20"/>
  <c r="U968" i="20"/>
  <c r="U969" i="20"/>
  <c r="U970" i="20"/>
  <c r="U971" i="20"/>
  <c r="U972" i="20"/>
  <c r="U973" i="20"/>
  <c r="U974" i="20"/>
  <c r="U975" i="20"/>
  <c r="U976" i="20"/>
  <c r="U977" i="20"/>
  <c r="U978" i="20"/>
  <c r="U979" i="20"/>
  <c r="U980" i="20"/>
  <c r="U981" i="20"/>
  <c r="U982" i="20"/>
  <c r="U983" i="20"/>
  <c r="U984" i="20"/>
  <c r="U985" i="20"/>
  <c r="U986" i="20"/>
  <c r="U987" i="20"/>
  <c r="U988" i="20"/>
  <c r="U989" i="20"/>
  <c r="U990" i="20"/>
  <c r="U991" i="20"/>
  <c r="U992" i="20"/>
  <c r="U993" i="20"/>
  <c r="U994" i="20"/>
  <c r="U995" i="20"/>
  <c r="U996" i="20"/>
  <c r="U997" i="20"/>
  <c r="U998" i="20"/>
  <c r="U999" i="20"/>
  <c r="U1000" i="20"/>
  <c r="U1001" i="20"/>
  <c r="U1002" i="20"/>
  <c r="U1003" i="20"/>
  <c r="U1004" i="20"/>
  <c r="U1005" i="20"/>
  <c r="U1006" i="20"/>
  <c r="U1007" i="20"/>
  <c r="U1008" i="20"/>
  <c r="U1009" i="20"/>
  <c r="U1010" i="20"/>
  <c r="U1011" i="20"/>
  <c r="U1012" i="20"/>
  <c r="U1013" i="20"/>
  <c r="U1014" i="20"/>
  <c r="U1015" i="20"/>
  <c r="U1016" i="20"/>
  <c r="U1017" i="20"/>
  <c r="U1018" i="20"/>
  <c r="U1019" i="20"/>
  <c r="U1020" i="20"/>
  <c r="U1021" i="20"/>
  <c r="U1022" i="20"/>
  <c r="U1023" i="20"/>
  <c r="U1024" i="20"/>
  <c r="U1025" i="20"/>
  <c r="U1026" i="20"/>
  <c r="U1027" i="20"/>
  <c r="U1028" i="20"/>
  <c r="U1029" i="20"/>
  <c r="U1030" i="20"/>
  <c r="U1031" i="20"/>
  <c r="U1032" i="20"/>
  <c r="U1033" i="20"/>
  <c r="U1034" i="20"/>
  <c r="U1035" i="20"/>
  <c r="U1036" i="20"/>
  <c r="U1037" i="20"/>
  <c r="U1038" i="20"/>
  <c r="U1039" i="20"/>
  <c r="U1040" i="20"/>
  <c r="U1041" i="20"/>
  <c r="U1042" i="20"/>
  <c r="U1043" i="20"/>
  <c r="U1044" i="20"/>
  <c r="U1045" i="20"/>
  <c r="U1046" i="20"/>
  <c r="U1047" i="20"/>
  <c r="U1048" i="20"/>
  <c r="U1049" i="20"/>
  <c r="U1050" i="20"/>
  <c r="U1051" i="20"/>
  <c r="U1052" i="20"/>
  <c r="U1053" i="20"/>
  <c r="U1054" i="20"/>
  <c r="U1055" i="20"/>
  <c r="U1056" i="20"/>
  <c r="U1057" i="20"/>
  <c r="U1058" i="20"/>
  <c r="U1059" i="20"/>
  <c r="U1060" i="20"/>
  <c r="U1061" i="20"/>
  <c r="U1062" i="20"/>
  <c r="U1063" i="20"/>
  <c r="U1064" i="20"/>
  <c r="U1065" i="20"/>
  <c r="U1066" i="20"/>
  <c r="U1067" i="20"/>
  <c r="U1068" i="20"/>
  <c r="U1069" i="20"/>
  <c r="U1070" i="20"/>
  <c r="U1071" i="20"/>
  <c r="U1072" i="20"/>
  <c r="U1073" i="20"/>
  <c r="U1074" i="20"/>
  <c r="U1075" i="20"/>
  <c r="U1076" i="20"/>
  <c r="U1077" i="20"/>
  <c r="U1078" i="20"/>
  <c r="U1079" i="20"/>
  <c r="U1080" i="20"/>
  <c r="U1081" i="20"/>
  <c r="U1082" i="20"/>
  <c r="U1083" i="20"/>
  <c r="U1084" i="20"/>
  <c r="U1085" i="20"/>
  <c r="U1086" i="20"/>
  <c r="U1087" i="20"/>
  <c r="U1088" i="20"/>
  <c r="U1089" i="20"/>
  <c r="U1090" i="20"/>
  <c r="U1091" i="20"/>
  <c r="U1092" i="20"/>
  <c r="U1093" i="20"/>
  <c r="U1094" i="20"/>
  <c r="U1095" i="20"/>
  <c r="U1096" i="20"/>
  <c r="U8" i="20"/>
  <c r="T8" i="20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Z4" i="20"/>
  <c r="X4" i="20" s="1"/>
  <c r="K6" i="27"/>
  <c r="J4" i="27"/>
  <c r="I4" i="27"/>
  <c r="T4" i="20" l="1"/>
  <c r="Y4" i="20"/>
  <c r="U4" i="20"/>
  <c r="W4" i="20"/>
  <c r="G4" i="27"/>
  <c r="H4" i="27"/>
  <c r="E4" i="27"/>
  <c r="V4" i="20" l="1"/>
  <c r="W8" i="20"/>
  <c r="X8" i="20" s="1"/>
  <c r="W9" i="20" s="1"/>
  <c r="C50" i="27"/>
  <c r="C43" i="27"/>
  <c r="C44" i="27"/>
  <c r="C52" i="27"/>
  <c r="C53" i="27"/>
  <c r="C61" i="27"/>
  <c r="C69" i="27"/>
  <c r="C77" i="27"/>
  <c r="C85" i="27"/>
  <c r="C93" i="27"/>
  <c r="C101" i="27"/>
  <c r="C109" i="27"/>
  <c r="C117" i="27"/>
  <c r="C125" i="27"/>
  <c r="C133" i="27"/>
  <c r="C141" i="27"/>
  <c r="C149" i="27"/>
  <c r="C157" i="27"/>
  <c r="C165" i="27"/>
  <c r="C173" i="27"/>
  <c r="C181" i="27"/>
  <c r="C189" i="27"/>
  <c r="C197" i="27"/>
  <c r="C205" i="27"/>
  <c r="C213" i="27"/>
  <c r="C221" i="27"/>
  <c r="C229" i="27"/>
  <c r="C237" i="27"/>
  <c r="C245" i="27"/>
  <c r="C253" i="27"/>
  <c r="C261" i="27"/>
  <c r="C269" i="27"/>
  <c r="C277" i="27"/>
  <c r="C285" i="27"/>
  <c r="C293" i="27"/>
  <c r="C301" i="27"/>
  <c r="C309" i="27"/>
  <c r="C317" i="27"/>
  <c r="C325" i="27"/>
  <c r="C333" i="27"/>
  <c r="C341" i="27"/>
  <c r="C349" i="27"/>
  <c r="C357" i="27"/>
  <c r="C365" i="27"/>
  <c r="C373" i="27"/>
  <c r="C381" i="27"/>
  <c r="C389" i="27"/>
  <c r="C397" i="27"/>
  <c r="C405" i="27"/>
  <c r="C413" i="27"/>
  <c r="C421" i="27"/>
  <c r="C429" i="27"/>
  <c r="C437" i="27"/>
  <c r="C445" i="27"/>
  <c r="C453" i="27"/>
  <c r="C461" i="27"/>
  <c r="C469" i="27"/>
  <c r="C477" i="27"/>
  <c r="C485" i="27"/>
  <c r="C54" i="27"/>
  <c r="C62" i="27"/>
  <c r="C70" i="27"/>
  <c r="C78" i="27"/>
  <c r="C86" i="27"/>
  <c r="C94" i="27"/>
  <c r="C102" i="27"/>
  <c r="C110" i="27"/>
  <c r="C118" i="27"/>
  <c r="C126" i="27"/>
  <c r="C134" i="27"/>
  <c r="C142" i="27"/>
  <c r="C150" i="27"/>
  <c r="C158" i="27"/>
  <c r="C166" i="27"/>
  <c r="C174" i="27"/>
  <c r="C182" i="27"/>
  <c r="C190" i="27"/>
  <c r="C198" i="27"/>
  <c r="C206" i="27"/>
  <c r="C214" i="27"/>
  <c r="C222" i="27"/>
  <c r="C230" i="27"/>
  <c r="C238" i="27"/>
  <c r="C246" i="27"/>
  <c r="C254" i="27"/>
  <c r="C262" i="27"/>
  <c r="C270" i="27"/>
  <c r="C278" i="27"/>
  <c r="C286" i="27"/>
  <c r="C294" i="27"/>
  <c r="C302" i="27"/>
  <c r="C310" i="27"/>
  <c r="C318" i="27"/>
  <c r="C326" i="27"/>
  <c r="C334" i="27"/>
  <c r="C342" i="27"/>
  <c r="C350" i="27"/>
  <c r="C358" i="27"/>
  <c r="C366" i="27"/>
  <c r="C374" i="27"/>
  <c r="C382" i="27"/>
  <c r="C390" i="27"/>
  <c r="C398" i="27"/>
  <c r="C406" i="27"/>
  <c r="C414" i="27"/>
  <c r="C422" i="27"/>
  <c r="C430" i="27"/>
  <c r="C438" i="27"/>
  <c r="C446" i="27"/>
  <c r="C454" i="27"/>
  <c r="C462" i="27"/>
  <c r="C470" i="27"/>
  <c r="C478" i="27"/>
  <c r="C486" i="27"/>
  <c r="C45" i="27"/>
  <c r="C55" i="27"/>
  <c r="C63" i="27"/>
  <c r="C71" i="27"/>
  <c r="C79" i="27"/>
  <c r="C87" i="27"/>
  <c r="C95" i="27"/>
  <c r="C103" i="27"/>
  <c r="C111" i="27"/>
  <c r="C119" i="27"/>
  <c r="C127" i="27"/>
  <c r="C135" i="27"/>
  <c r="C143" i="27"/>
  <c r="C151" i="27"/>
  <c r="C159" i="27"/>
  <c r="C167" i="27"/>
  <c r="C175" i="27"/>
  <c r="C183" i="27"/>
  <c r="C191" i="27"/>
  <c r="C199" i="27"/>
  <c r="C207" i="27"/>
  <c r="C215" i="27"/>
  <c r="C223" i="27"/>
  <c r="C231" i="27"/>
  <c r="C239" i="27"/>
  <c r="C247" i="27"/>
  <c r="C255" i="27"/>
  <c r="C263" i="27"/>
  <c r="C271" i="27"/>
  <c r="C279" i="27"/>
  <c r="C287" i="27"/>
  <c r="C295" i="27"/>
  <c r="C303" i="27"/>
  <c r="C311" i="27"/>
  <c r="C319" i="27"/>
  <c r="C327" i="27"/>
  <c r="C335" i="27"/>
  <c r="C343" i="27"/>
  <c r="C351" i="27"/>
  <c r="C359" i="27"/>
  <c r="C367" i="27"/>
  <c r="C375" i="27"/>
  <c r="C383" i="27"/>
  <c r="C391" i="27"/>
  <c r="C399" i="27"/>
  <c r="C407" i="27"/>
  <c r="C415" i="27"/>
  <c r="C423" i="27"/>
  <c r="C431" i="27"/>
  <c r="C439" i="27"/>
  <c r="C447" i="27"/>
  <c r="C455" i="27"/>
  <c r="C463" i="27"/>
  <c r="C471" i="27"/>
  <c r="C479" i="27"/>
  <c r="C487" i="27"/>
  <c r="C495" i="27"/>
  <c r="C46" i="27"/>
  <c r="C56" i="27"/>
  <c r="C64" i="27"/>
  <c r="C47" i="27"/>
  <c r="C57" i="27"/>
  <c r="C65" i="27"/>
  <c r="C73" i="27"/>
  <c r="C81" i="27"/>
  <c r="C89" i="27"/>
  <c r="C97" i="27"/>
  <c r="C105" i="27"/>
  <c r="C113" i="27"/>
  <c r="C121" i="27"/>
  <c r="C129" i="27"/>
  <c r="C137" i="27"/>
  <c r="C145" i="27"/>
  <c r="C153" i="27"/>
  <c r="C161" i="27"/>
  <c r="C169" i="27"/>
  <c r="C177" i="27"/>
  <c r="C185" i="27"/>
  <c r="C193" i="27"/>
  <c r="C201" i="27"/>
  <c r="C209" i="27"/>
  <c r="C217" i="27"/>
  <c r="C225" i="27"/>
  <c r="C233" i="27"/>
  <c r="C241" i="27"/>
  <c r="C249" i="27"/>
  <c r="C257" i="27"/>
  <c r="C265" i="27"/>
  <c r="C273" i="27"/>
  <c r="C281" i="27"/>
  <c r="C289" i="27"/>
  <c r="C297" i="27"/>
  <c r="C305" i="27"/>
  <c r="C48" i="27"/>
  <c r="C58" i="27"/>
  <c r="C66" i="27"/>
  <c r="C74" i="27"/>
  <c r="C82" i="27"/>
  <c r="C90" i="27"/>
  <c r="C98" i="27"/>
  <c r="C106" i="27"/>
  <c r="C114" i="27"/>
  <c r="C122" i="27"/>
  <c r="C130" i="27"/>
  <c r="C138" i="27"/>
  <c r="C146" i="27"/>
  <c r="C154" i="27"/>
  <c r="C162" i="27"/>
  <c r="C170" i="27"/>
  <c r="C178" i="27"/>
  <c r="C186" i="27"/>
  <c r="C194" i="27"/>
  <c r="C202" i="27"/>
  <c r="C210" i="27"/>
  <c r="C218" i="27"/>
  <c r="C226" i="27"/>
  <c r="C234" i="27"/>
  <c r="C242" i="27"/>
  <c r="C250" i="27"/>
  <c r="C258" i="27"/>
  <c r="C266" i="27"/>
  <c r="C274" i="27"/>
  <c r="C282" i="27"/>
  <c r="C290" i="27"/>
  <c r="C298" i="27"/>
  <c r="C306" i="27"/>
  <c r="C314" i="27"/>
  <c r="C322" i="27"/>
  <c r="C330" i="27"/>
  <c r="C338" i="27"/>
  <c r="C346" i="27"/>
  <c r="C354" i="27"/>
  <c r="C362" i="27"/>
  <c r="C370" i="27"/>
  <c r="C378" i="27"/>
  <c r="C386" i="27"/>
  <c r="C394" i="27"/>
  <c r="C60" i="27"/>
  <c r="C84" i="27"/>
  <c r="C107" i="27"/>
  <c r="C128" i="27"/>
  <c r="C148" i="27"/>
  <c r="C171" i="27"/>
  <c r="C192" i="27"/>
  <c r="C212" i="27"/>
  <c r="C235" i="27"/>
  <c r="C256" i="27"/>
  <c r="C276" i="27"/>
  <c r="C299" i="27"/>
  <c r="C316" i="27"/>
  <c r="C332" i="27"/>
  <c r="C348" i="27"/>
  <c r="C364" i="27"/>
  <c r="C380" i="27"/>
  <c r="C396" i="27"/>
  <c r="C410" i="27"/>
  <c r="C424" i="27"/>
  <c r="C435" i="27"/>
  <c r="C449" i="27"/>
  <c r="C460" i="27"/>
  <c r="C474" i="27"/>
  <c r="C488" i="27"/>
  <c r="C497" i="27"/>
  <c r="C505" i="27"/>
  <c r="C513" i="27"/>
  <c r="C521" i="27"/>
  <c r="C529" i="27"/>
  <c r="C537" i="27"/>
  <c r="C545" i="27"/>
  <c r="C553" i="27"/>
  <c r="C561" i="27"/>
  <c r="C569" i="27"/>
  <c r="C577" i="27"/>
  <c r="C585" i="27"/>
  <c r="C593" i="27"/>
  <c r="C601" i="27"/>
  <c r="C609" i="27"/>
  <c r="C617" i="27"/>
  <c r="C625" i="27"/>
  <c r="C633" i="27"/>
  <c r="C641" i="27"/>
  <c r="C649" i="27"/>
  <c r="C657" i="27"/>
  <c r="C665" i="27"/>
  <c r="C673" i="27"/>
  <c r="C681" i="27"/>
  <c r="C689" i="27"/>
  <c r="C697" i="27"/>
  <c r="C705" i="27"/>
  <c r="C713" i="27"/>
  <c r="C721" i="27"/>
  <c r="C729" i="27"/>
  <c r="C737" i="27"/>
  <c r="C745" i="27"/>
  <c r="C753" i="27"/>
  <c r="C761" i="27"/>
  <c r="C769" i="27"/>
  <c r="C777" i="27"/>
  <c r="C785" i="27"/>
  <c r="C793" i="27"/>
  <c r="C801" i="27"/>
  <c r="C809" i="27"/>
  <c r="C817" i="27"/>
  <c r="C825" i="27"/>
  <c r="C833" i="27"/>
  <c r="C841" i="27"/>
  <c r="C849" i="27"/>
  <c r="C857" i="27"/>
  <c r="C865" i="27"/>
  <c r="C873" i="27"/>
  <c r="C881" i="27"/>
  <c r="C889" i="27"/>
  <c r="C897" i="27"/>
  <c r="C905" i="27"/>
  <c r="C913" i="27"/>
  <c r="C921" i="27"/>
  <c r="C929" i="27"/>
  <c r="C937" i="27"/>
  <c r="C945" i="27"/>
  <c r="C953" i="27"/>
  <c r="C961" i="27"/>
  <c r="C969" i="27"/>
  <c r="C977" i="27"/>
  <c r="C985" i="27"/>
  <c r="C993" i="27"/>
  <c r="C67" i="27"/>
  <c r="C88" i="27"/>
  <c r="C108" i="27"/>
  <c r="C131" i="27"/>
  <c r="C152" i="27"/>
  <c r="C172" i="27"/>
  <c r="C195" i="27"/>
  <c r="C216" i="27"/>
  <c r="C236" i="27"/>
  <c r="C259" i="27"/>
  <c r="C280" i="27"/>
  <c r="C300" i="27"/>
  <c r="C320" i="27"/>
  <c r="C336" i="27"/>
  <c r="C352" i="27"/>
  <c r="C368" i="27"/>
  <c r="C384" i="27"/>
  <c r="C400" i="27"/>
  <c r="C411" i="27"/>
  <c r="C425" i="27"/>
  <c r="C436" i="27"/>
  <c r="C450" i="27"/>
  <c r="C464" i="27"/>
  <c r="C475" i="27"/>
  <c r="C489" i="27"/>
  <c r="C498" i="27"/>
  <c r="C506" i="27"/>
  <c r="C514" i="27"/>
  <c r="C522" i="27"/>
  <c r="C530" i="27"/>
  <c r="C538" i="27"/>
  <c r="C546" i="27"/>
  <c r="C554" i="27"/>
  <c r="C562" i="27"/>
  <c r="C570" i="27"/>
  <c r="C578" i="27"/>
  <c r="C586" i="27"/>
  <c r="C594" i="27"/>
  <c r="C602" i="27"/>
  <c r="C610" i="27"/>
  <c r="C618" i="27"/>
  <c r="C626" i="27"/>
  <c r="C634" i="27"/>
  <c r="C642" i="27"/>
  <c r="C650" i="27"/>
  <c r="C658" i="27"/>
  <c r="C666" i="27"/>
  <c r="C674" i="27"/>
  <c r="C682" i="27"/>
  <c r="C690" i="27"/>
  <c r="C698" i="27"/>
  <c r="C706" i="27"/>
  <c r="C714" i="27"/>
  <c r="C722" i="27"/>
  <c r="C730" i="27"/>
  <c r="C738" i="27"/>
  <c r="C746" i="27"/>
  <c r="C754" i="27"/>
  <c r="C762" i="27"/>
  <c r="C770" i="27"/>
  <c r="C778" i="27"/>
  <c r="C786" i="27"/>
  <c r="C794" i="27"/>
  <c r="C802" i="27"/>
  <c r="C810" i="27"/>
  <c r="C818" i="27"/>
  <c r="C826" i="27"/>
  <c r="C834" i="27"/>
  <c r="C842" i="27"/>
  <c r="C850" i="27"/>
  <c r="C858" i="27"/>
  <c r="C866" i="27"/>
  <c r="C874" i="27"/>
  <c r="C882" i="27"/>
  <c r="C890" i="27"/>
  <c r="C898" i="27"/>
  <c r="C906" i="27"/>
  <c r="C914" i="27"/>
  <c r="C922" i="27"/>
  <c r="C930" i="27"/>
  <c r="C938" i="27"/>
  <c r="C946" i="27"/>
  <c r="C954" i="27"/>
  <c r="C962" i="27"/>
  <c r="C970" i="27"/>
  <c r="C978" i="27"/>
  <c r="C986" i="27"/>
  <c r="C994" i="27"/>
  <c r="C68" i="27"/>
  <c r="C91" i="27"/>
  <c r="C112" i="27"/>
  <c r="C132" i="27"/>
  <c r="C155" i="27"/>
  <c r="C176" i="27"/>
  <c r="C196" i="27"/>
  <c r="C219" i="27"/>
  <c r="C240" i="27"/>
  <c r="C260" i="27"/>
  <c r="C283" i="27"/>
  <c r="C304" i="27"/>
  <c r="C321" i="27"/>
  <c r="C337" i="27"/>
  <c r="C353" i="27"/>
  <c r="C369" i="27"/>
  <c r="C385" i="27"/>
  <c r="C401" i="27"/>
  <c r="C412" i="27"/>
  <c r="C426" i="27"/>
  <c r="C440" i="27"/>
  <c r="C451" i="27"/>
  <c r="C465" i="27"/>
  <c r="C476" i="27"/>
  <c r="C490" i="27"/>
  <c r="C499" i="27"/>
  <c r="C507" i="27"/>
  <c r="C515" i="27"/>
  <c r="C523" i="27"/>
  <c r="C531" i="27"/>
  <c r="C539" i="27"/>
  <c r="C547" i="27"/>
  <c r="C555" i="27"/>
  <c r="C563" i="27"/>
  <c r="C571" i="27"/>
  <c r="C579" i="27"/>
  <c r="C587" i="27"/>
  <c r="C595" i="27"/>
  <c r="C603" i="27"/>
  <c r="C611" i="27"/>
  <c r="C619" i="27"/>
  <c r="C627" i="27"/>
  <c r="C635" i="27"/>
  <c r="C643" i="27"/>
  <c r="C651" i="27"/>
  <c r="C659" i="27"/>
  <c r="C667" i="27"/>
  <c r="C675" i="27"/>
  <c r="C683" i="27"/>
  <c r="C691" i="27"/>
  <c r="C699" i="27"/>
  <c r="C707" i="27"/>
  <c r="C715" i="27"/>
  <c r="C723" i="27"/>
  <c r="C731" i="27"/>
  <c r="C739" i="27"/>
  <c r="C747" i="27"/>
  <c r="C755" i="27"/>
  <c r="C763" i="27"/>
  <c r="C771" i="27"/>
  <c r="C779" i="27"/>
  <c r="C787" i="27"/>
  <c r="C795" i="27"/>
  <c r="C803" i="27"/>
  <c r="C811" i="27"/>
  <c r="C819" i="27"/>
  <c r="C827" i="27"/>
  <c r="C835" i="27"/>
  <c r="C843" i="27"/>
  <c r="C851" i="27"/>
  <c r="C859" i="27"/>
  <c r="C867" i="27"/>
  <c r="C875" i="27"/>
  <c r="C883" i="27"/>
  <c r="C891" i="27"/>
  <c r="C899" i="27"/>
  <c r="C907" i="27"/>
  <c r="C915" i="27"/>
  <c r="C923" i="27"/>
  <c r="C931" i="27"/>
  <c r="C939" i="27"/>
  <c r="C947" i="27"/>
  <c r="C955" i="27"/>
  <c r="C963" i="27"/>
  <c r="C971" i="27"/>
  <c r="C979" i="27"/>
  <c r="C987" i="27"/>
  <c r="C995" i="27"/>
  <c r="C72" i="27"/>
  <c r="C92" i="27"/>
  <c r="C115" i="27"/>
  <c r="C136" i="27"/>
  <c r="C156" i="27"/>
  <c r="C179" i="27"/>
  <c r="C200" i="27"/>
  <c r="C220" i="27"/>
  <c r="C243" i="27"/>
  <c r="C264" i="27"/>
  <c r="C284" i="27"/>
  <c r="C307" i="27"/>
  <c r="C323" i="27"/>
  <c r="C339" i="27"/>
  <c r="C355" i="27"/>
  <c r="C371" i="27"/>
  <c r="C387" i="27"/>
  <c r="C402" i="27"/>
  <c r="C416" i="27"/>
  <c r="C427" i="27"/>
  <c r="C441" i="27"/>
  <c r="C452" i="27"/>
  <c r="C466" i="27"/>
  <c r="C480" i="27"/>
  <c r="C491" i="27"/>
  <c r="C500" i="27"/>
  <c r="C508" i="27"/>
  <c r="C516" i="27"/>
  <c r="C524" i="27"/>
  <c r="C532" i="27"/>
  <c r="C540" i="27"/>
  <c r="C548" i="27"/>
  <c r="C556" i="27"/>
  <c r="C564" i="27"/>
  <c r="C75" i="27"/>
  <c r="C96" i="27"/>
  <c r="C116" i="27"/>
  <c r="C139" i="27"/>
  <c r="C160" i="27"/>
  <c r="C180" i="27"/>
  <c r="C203" i="27"/>
  <c r="C224" i="27"/>
  <c r="C244" i="27"/>
  <c r="C267" i="27"/>
  <c r="C288" i="27"/>
  <c r="C308" i="27"/>
  <c r="C324" i="27"/>
  <c r="C340" i="27"/>
  <c r="C356" i="27"/>
  <c r="C372" i="27"/>
  <c r="C388" i="27"/>
  <c r="C403" i="27"/>
  <c r="C417" i="27"/>
  <c r="C428" i="27"/>
  <c r="C442" i="27"/>
  <c r="C456" i="27"/>
  <c r="C467" i="27"/>
  <c r="C481" i="27"/>
  <c r="C492" i="27"/>
  <c r="C501" i="27"/>
  <c r="C509" i="27"/>
  <c r="C517" i="27"/>
  <c r="C525" i="27"/>
  <c r="C533" i="27"/>
  <c r="C541" i="27"/>
  <c r="C549" i="27"/>
  <c r="C557" i="27"/>
  <c r="C565" i="27"/>
  <c r="C573" i="27"/>
  <c r="C581" i="27"/>
  <c r="C589" i="27"/>
  <c r="C597" i="27"/>
  <c r="C605" i="27"/>
  <c r="C613" i="27"/>
  <c r="C621" i="27"/>
  <c r="C629" i="27"/>
  <c r="C637" i="27"/>
  <c r="C645" i="27"/>
  <c r="C653" i="27"/>
  <c r="C661" i="27"/>
  <c r="C669" i="27"/>
  <c r="C677" i="27"/>
  <c r="C685" i="27"/>
  <c r="C693" i="27"/>
  <c r="C701" i="27"/>
  <c r="C709" i="27"/>
  <c r="C717" i="27"/>
  <c r="C725" i="27"/>
  <c r="C733" i="27"/>
  <c r="C741" i="27"/>
  <c r="C749" i="27"/>
  <c r="C757" i="27"/>
  <c r="C765" i="27"/>
  <c r="C773" i="27"/>
  <c r="C781" i="27"/>
  <c r="C789" i="27"/>
  <c r="C797" i="27"/>
  <c r="C805" i="27"/>
  <c r="C813" i="27"/>
  <c r="C821" i="27"/>
  <c r="C829" i="27"/>
  <c r="C837" i="27"/>
  <c r="C845" i="27"/>
  <c r="C853" i="27"/>
  <c r="C861" i="27"/>
  <c r="C869" i="27"/>
  <c r="C877" i="27"/>
  <c r="C49" i="27"/>
  <c r="C76" i="27"/>
  <c r="C99" i="27"/>
  <c r="C120" i="27"/>
  <c r="C140" i="27"/>
  <c r="C163" i="27"/>
  <c r="C184" i="27"/>
  <c r="C204" i="27"/>
  <c r="C227" i="27"/>
  <c r="C248" i="27"/>
  <c r="C268" i="27"/>
  <c r="C291" i="27"/>
  <c r="C312" i="27"/>
  <c r="C328" i="27"/>
  <c r="C344" i="27"/>
  <c r="C360" i="27"/>
  <c r="C376" i="27"/>
  <c r="C392" i="27"/>
  <c r="C404" i="27"/>
  <c r="C418" i="27"/>
  <c r="C432" i="27"/>
  <c r="C443" i="27"/>
  <c r="C457" i="27"/>
  <c r="C468" i="27"/>
  <c r="C482" i="27"/>
  <c r="C493" i="27"/>
  <c r="C502" i="27"/>
  <c r="C510" i="27"/>
  <c r="C518" i="27"/>
  <c r="C526" i="27"/>
  <c r="C534" i="27"/>
  <c r="C542" i="27"/>
  <c r="C550" i="27"/>
  <c r="C558" i="27"/>
  <c r="C566" i="27"/>
  <c r="C574" i="27"/>
  <c r="C582" i="27"/>
  <c r="C590" i="27"/>
  <c r="C598" i="27"/>
  <c r="C606" i="27"/>
  <c r="C614" i="27"/>
  <c r="C622" i="27"/>
  <c r="C630" i="27"/>
  <c r="C638" i="27"/>
  <c r="C646" i="27"/>
  <c r="C654" i="27"/>
  <c r="C662" i="27"/>
  <c r="C670" i="27"/>
  <c r="C678" i="27"/>
  <c r="C686" i="27"/>
  <c r="C694" i="27"/>
  <c r="C702" i="27"/>
  <c r="C710" i="27"/>
  <c r="C718" i="27"/>
  <c r="C726" i="27"/>
  <c r="C734" i="27"/>
  <c r="C742" i="27"/>
  <c r="C750" i="27"/>
  <c r="C758" i="27"/>
  <c r="C766" i="27"/>
  <c r="C774" i="27"/>
  <c r="C782" i="27"/>
  <c r="C790" i="27"/>
  <c r="C798" i="27"/>
  <c r="C806" i="27"/>
  <c r="C814" i="27"/>
  <c r="C822" i="27"/>
  <c r="C830" i="27"/>
  <c r="C838" i="27"/>
  <c r="C846" i="27"/>
  <c r="C854" i="27"/>
  <c r="C862" i="27"/>
  <c r="C870" i="27"/>
  <c r="C878" i="27"/>
  <c r="C886" i="27"/>
  <c r="C894" i="27"/>
  <c r="C902" i="27"/>
  <c r="C910" i="27"/>
  <c r="C59" i="27"/>
  <c r="C147" i="27"/>
  <c r="C232" i="27"/>
  <c r="C315" i="27"/>
  <c r="C379" i="27"/>
  <c r="C434" i="27"/>
  <c r="C484" i="27"/>
  <c r="C520" i="27"/>
  <c r="C552" i="27"/>
  <c r="C580" i="27"/>
  <c r="C600" i="27"/>
  <c r="C623" i="27"/>
  <c r="C644" i="27"/>
  <c r="C664" i="27"/>
  <c r="C687" i="27"/>
  <c r="C708" i="27"/>
  <c r="C728" i="27"/>
  <c r="C751" i="27"/>
  <c r="C772" i="27"/>
  <c r="C792" i="27"/>
  <c r="C815" i="27"/>
  <c r="C836" i="27"/>
  <c r="C856" i="27"/>
  <c r="C879" i="27"/>
  <c r="C895" i="27"/>
  <c r="C911" i="27"/>
  <c r="C925" i="27"/>
  <c r="C936" i="27"/>
  <c r="C950" i="27"/>
  <c r="C964" i="27"/>
  <c r="C975" i="27"/>
  <c r="C989" i="27"/>
  <c r="C1000" i="27"/>
  <c r="C1008" i="27"/>
  <c r="C1016" i="27"/>
  <c r="C1024" i="27"/>
  <c r="C1032" i="27"/>
  <c r="C1040" i="27"/>
  <c r="C1048" i="27"/>
  <c r="C1056" i="27"/>
  <c r="C1064" i="27"/>
  <c r="C1072" i="27"/>
  <c r="C1080" i="27"/>
  <c r="C1088" i="27"/>
  <c r="C1096" i="27"/>
  <c r="C966" i="27"/>
  <c r="C991" i="27"/>
  <c r="C1018" i="27"/>
  <c r="C1034" i="27"/>
  <c r="C1058" i="27"/>
  <c r="C1082" i="27"/>
  <c r="C1098" i="27"/>
  <c r="C544" i="27"/>
  <c r="C703" i="27"/>
  <c r="C788" i="27"/>
  <c r="C872" i="27"/>
  <c r="C934" i="27"/>
  <c r="C998" i="27"/>
  <c r="C1038" i="27"/>
  <c r="C1070" i="27"/>
  <c r="C228" i="27"/>
  <c r="C433" i="27"/>
  <c r="C576" i="27"/>
  <c r="C663" i="27"/>
  <c r="C727" i="27"/>
  <c r="C812" i="27"/>
  <c r="C855" i="27"/>
  <c r="C909" i="27"/>
  <c r="C949" i="27"/>
  <c r="C1007" i="27"/>
  <c r="C1031" i="27"/>
  <c r="C1055" i="27"/>
  <c r="C1087" i="27"/>
  <c r="C80" i="27"/>
  <c r="C164" i="27"/>
  <c r="C251" i="27"/>
  <c r="C329" i="27"/>
  <c r="C393" i="27"/>
  <c r="C444" i="27"/>
  <c r="C494" i="27"/>
  <c r="C527" i="27"/>
  <c r="C559" i="27"/>
  <c r="C583" i="27"/>
  <c r="C604" i="27"/>
  <c r="C624" i="27"/>
  <c r="C647" i="27"/>
  <c r="C668" i="27"/>
  <c r="C688" i="27"/>
  <c r="C711" i="27"/>
  <c r="C732" i="27"/>
  <c r="C752" i="27"/>
  <c r="C775" i="27"/>
  <c r="C796" i="27"/>
  <c r="C816" i="27"/>
  <c r="C839" i="27"/>
  <c r="C860" i="27"/>
  <c r="C880" i="27"/>
  <c r="C896" i="27"/>
  <c r="C912" i="27"/>
  <c r="C926" i="27"/>
  <c r="C940" i="27"/>
  <c r="C951" i="27"/>
  <c r="C965" i="27"/>
  <c r="C976" i="27"/>
  <c r="C990" i="27"/>
  <c r="C1001" i="27"/>
  <c r="C1009" i="27"/>
  <c r="C1017" i="27"/>
  <c r="C1025" i="27"/>
  <c r="C1033" i="27"/>
  <c r="C1041" i="27"/>
  <c r="C1049" i="27"/>
  <c r="C1057" i="27"/>
  <c r="C1065" i="27"/>
  <c r="C1073" i="27"/>
  <c r="C1081" i="27"/>
  <c r="C1089" i="27"/>
  <c r="C1097" i="27"/>
  <c r="C952" i="27"/>
  <c r="C1010" i="27"/>
  <c r="C1026" i="27"/>
  <c r="C1042" i="27"/>
  <c r="C1066" i="27"/>
  <c r="C1074" i="27"/>
  <c r="C1090" i="27"/>
  <c r="C211" i="27"/>
  <c r="C363" i="27"/>
  <c r="C420" i="27"/>
  <c r="C512" i="27"/>
  <c r="C616" i="27"/>
  <c r="C680" i="27"/>
  <c r="C744" i="27"/>
  <c r="C831" i="27"/>
  <c r="C920" i="27"/>
  <c r="C973" i="27"/>
  <c r="C1006" i="27"/>
  <c r="C1022" i="27"/>
  <c r="C1046" i="27"/>
  <c r="C1086" i="27"/>
  <c r="C313" i="27"/>
  <c r="C551" i="27"/>
  <c r="C640" i="27"/>
  <c r="C748" i="27"/>
  <c r="C876" i="27"/>
  <c r="C974" i="27"/>
  <c r="C1015" i="27"/>
  <c r="C1047" i="27"/>
  <c r="C1079" i="27"/>
  <c r="C83" i="27"/>
  <c r="C168" i="27"/>
  <c r="C252" i="27"/>
  <c r="C331" i="27"/>
  <c r="C395" i="27"/>
  <c r="C448" i="27"/>
  <c r="C496" i="27"/>
  <c r="C528" i="27"/>
  <c r="C560" i="27"/>
  <c r="C584" i="27"/>
  <c r="C607" i="27"/>
  <c r="C628" i="27"/>
  <c r="C648" i="27"/>
  <c r="C671" i="27"/>
  <c r="C692" i="27"/>
  <c r="C712" i="27"/>
  <c r="C735" i="27"/>
  <c r="C756" i="27"/>
  <c r="C776" i="27"/>
  <c r="C799" i="27"/>
  <c r="C820" i="27"/>
  <c r="C840" i="27"/>
  <c r="C863" i="27"/>
  <c r="C884" i="27"/>
  <c r="C900" i="27"/>
  <c r="C916" i="27"/>
  <c r="C927" i="27"/>
  <c r="C941" i="27"/>
  <c r="C980" i="27"/>
  <c r="C1002" i="27"/>
  <c r="C1050" i="27"/>
  <c r="C296" i="27"/>
  <c r="C473" i="27"/>
  <c r="C639" i="27"/>
  <c r="C908" i="27"/>
  <c r="C1062" i="27"/>
  <c r="C377" i="27"/>
  <c r="C684" i="27"/>
  <c r="C935" i="27"/>
  <c r="C1095" i="27"/>
  <c r="C100" i="27"/>
  <c r="C187" i="27"/>
  <c r="C272" i="27"/>
  <c r="C345" i="27"/>
  <c r="C408" i="27"/>
  <c r="C458" i="27"/>
  <c r="C503" i="27"/>
  <c r="C535" i="27"/>
  <c r="C567" i="27"/>
  <c r="C588" i="27"/>
  <c r="C608" i="27"/>
  <c r="C631" i="27"/>
  <c r="C652" i="27"/>
  <c r="C672" i="27"/>
  <c r="C695" i="27"/>
  <c r="C716" i="27"/>
  <c r="C736" i="27"/>
  <c r="C759" i="27"/>
  <c r="C780" i="27"/>
  <c r="C800" i="27"/>
  <c r="C823" i="27"/>
  <c r="C844" i="27"/>
  <c r="C864" i="27"/>
  <c r="C885" i="27"/>
  <c r="C901" i="27"/>
  <c r="C917" i="27"/>
  <c r="C928" i="27"/>
  <c r="C942" i="27"/>
  <c r="C956" i="27"/>
  <c r="C967" i="27"/>
  <c r="C981" i="27"/>
  <c r="C992" i="27"/>
  <c r="C1003" i="27"/>
  <c r="C1011" i="27"/>
  <c r="C1019" i="27"/>
  <c r="C1027" i="27"/>
  <c r="C1035" i="27"/>
  <c r="C1043" i="27"/>
  <c r="C1051" i="27"/>
  <c r="C1059" i="27"/>
  <c r="C1067" i="27"/>
  <c r="C1075" i="27"/>
  <c r="C1083" i="27"/>
  <c r="C1091" i="27"/>
  <c r="C1099" i="27"/>
  <c r="C124" i="27"/>
  <c r="C575" i="27"/>
  <c r="C660" i="27"/>
  <c r="C767" i="27"/>
  <c r="C852" i="27"/>
  <c r="C959" i="27"/>
  <c r="C1014" i="27"/>
  <c r="C1054" i="27"/>
  <c r="C1094" i="27"/>
  <c r="C51" i="27"/>
  <c r="C519" i="27"/>
  <c r="C620" i="27"/>
  <c r="C768" i="27"/>
  <c r="C893" i="27"/>
  <c r="C988" i="27"/>
  <c r="C1039" i="27"/>
  <c r="C1071" i="27"/>
  <c r="C104" i="27"/>
  <c r="C188" i="27"/>
  <c r="C275" i="27"/>
  <c r="C347" i="27"/>
  <c r="C409" i="27"/>
  <c r="C459" i="27"/>
  <c r="C504" i="27"/>
  <c r="C536" i="27"/>
  <c r="C568" i="27"/>
  <c r="C591" i="27"/>
  <c r="C612" i="27"/>
  <c r="C632" i="27"/>
  <c r="C655" i="27"/>
  <c r="C676" i="27"/>
  <c r="C696" i="27"/>
  <c r="C719" i="27"/>
  <c r="C740" i="27"/>
  <c r="C760" i="27"/>
  <c r="C783" i="27"/>
  <c r="C804" i="27"/>
  <c r="C824" i="27"/>
  <c r="C847" i="27"/>
  <c r="C868" i="27"/>
  <c r="C887" i="27"/>
  <c r="C903" i="27"/>
  <c r="C918" i="27"/>
  <c r="C932" i="27"/>
  <c r="C943" i="27"/>
  <c r="C957" i="27"/>
  <c r="C968" i="27"/>
  <c r="C982" i="27"/>
  <c r="C996" i="27"/>
  <c r="C1004" i="27"/>
  <c r="C1012" i="27"/>
  <c r="C1020" i="27"/>
  <c r="C1028" i="27"/>
  <c r="C1036" i="27"/>
  <c r="C1044" i="27"/>
  <c r="C1052" i="27"/>
  <c r="C1060" i="27"/>
  <c r="C1068" i="27"/>
  <c r="C1076" i="27"/>
  <c r="C1084" i="27"/>
  <c r="C1092" i="27"/>
  <c r="C596" i="27"/>
  <c r="C724" i="27"/>
  <c r="C808" i="27"/>
  <c r="C892" i="27"/>
  <c r="C948" i="27"/>
  <c r="C984" i="27"/>
  <c r="C1030" i="27"/>
  <c r="C1078" i="27"/>
  <c r="C144" i="27"/>
  <c r="C483" i="27"/>
  <c r="C599" i="27"/>
  <c r="C704" i="27"/>
  <c r="C791" i="27"/>
  <c r="C832" i="27"/>
  <c r="C924" i="27"/>
  <c r="C960" i="27"/>
  <c r="C999" i="27"/>
  <c r="C1023" i="27"/>
  <c r="C1063" i="27"/>
  <c r="C123" i="27"/>
  <c r="C208" i="27"/>
  <c r="C292" i="27"/>
  <c r="C361" i="27"/>
  <c r="C419" i="27"/>
  <c r="C472" i="27"/>
  <c r="C511" i="27"/>
  <c r="C543" i="27"/>
  <c r="C572" i="27"/>
  <c r="C592" i="27"/>
  <c r="C615" i="27"/>
  <c r="C636" i="27"/>
  <c r="C656" i="27"/>
  <c r="C679" i="27"/>
  <c r="C700" i="27"/>
  <c r="C720" i="27"/>
  <c r="C743" i="27"/>
  <c r="C764" i="27"/>
  <c r="C784" i="27"/>
  <c r="C807" i="27"/>
  <c r="C828" i="27"/>
  <c r="C848" i="27"/>
  <c r="C871" i="27"/>
  <c r="C888" i="27"/>
  <c r="C904" i="27"/>
  <c r="C919" i="27"/>
  <c r="C933" i="27"/>
  <c r="C944" i="27"/>
  <c r="C958" i="27"/>
  <c r="C972" i="27"/>
  <c r="C983" i="27"/>
  <c r="C997" i="27"/>
  <c r="C1005" i="27"/>
  <c r="C1013" i="27"/>
  <c r="C1021" i="27"/>
  <c r="C1029" i="27"/>
  <c r="C1037" i="27"/>
  <c r="C1045" i="27"/>
  <c r="C1053" i="27"/>
  <c r="C1061" i="27"/>
  <c r="C1069" i="27"/>
  <c r="C1077" i="27"/>
  <c r="C1085" i="27"/>
  <c r="C1093" i="27"/>
  <c r="C40" i="27"/>
  <c r="C41" i="27"/>
  <c r="C42" i="27"/>
  <c r="C37" i="27"/>
  <c r="C38" i="27"/>
  <c r="C39" i="27"/>
  <c r="C13" i="27"/>
  <c r="C17" i="27"/>
  <c r="C21" i="27"/>
  <c r="C25" i="27"/>
  <c r="C29" i="27"/>
  <c r="C33" i="27"/>
  <c r="C28" i="27"/>
  <c r="C32" i="27"/>
  <c r="C14" i="27"/>
  <c r="C18" i="27"/>
  <c r="C22" i="27"/>
  <c r="C26" i="27"/>
  <c r="C30" i="27"/>
  <c r="C34" i="27"/>
  <c r="C15" i="27"/>
  <c r="C19" i="27"/>
  <c r="C23" i="27"/>
  <c r="C27" i="27"/>
  <c r="C31" i="27"/>
  <c r="C35" i="27"/>
  <c r="C24" i="27"/>
  <c r="C20" i="27"/>
  <c r="C36" i="27"/>
  <c r="C16" i="27"/>
  <c r="C12" i="27"/>
  <c r="C11" i="27"/>
  <c r="F4" i="27"/>
  <c r="D11" i="27" s="1"/>
  <c r="D4" i="27"/>
  <c r="X9" i="20" l="1"/>
  <c r="W10" i="20" s="1"/>
  <c r="B50" i="27"/>
  <c r="B58" i="27"/>
  <c r="B66" i="27"/>
  <c r="B74" i="27"/>
  <c r="B82" i="27"/>
  <c r="B90" i="27"/>
  <c r="B98" i="27"/>
  <c r="B106" i="27"/>
  <c r="B114" i="27"/>
  <c r="B122" i="27"/>
  <c r="B130" i="27"/>
  <c r="B138" i="27"/>
  <c r="B146" i="27"/>
  <c r="B154" i="27"/>
  <c r="B162" i="27"/>
  <c r="B43" i="27"/>
  <c r="B51" i="27"/>
  <c r="B59" i="27"/>
  <c r="B67" i="27"/>
  <c r="B75" i="27"/>
  <c r="B83" i="27"/>
  <c r="B91" i="27"/>
  <c r="B99" i="27"/>
  <c r="B107" i="27"/>
  <c r="B115" i="27"/>
  <c r="B123" i="27"/>
  <c r="B131" i="27"/>
  <c r="B139" i="27"/>
  <c r="B147" i="27"/>
  <c r="B155" i="27"/>
  <c r="B163" i="27"/>
  <c r="B171" i="27"/>
  <c r="B179" i="27"/>
  <c r="B187" i="27"/>
  <c r="B195" i="27"/>
  <c r="B203" i="27"/>
  <c r="B211" i="27"/>
  <c r="B219" i="27"/>
  <c r="B227" i="27"/>
  <c r="B235" i="27"/>
  <c r="B243" i="27"/>
  <c r="B251" i="27"/>
  <c r="B259" i="27"/>
  <c r="B267" i="27"/>
  <c r="B275" i="27"/>
  <c r="B283" i="27"/>
  <c r="B291" i="27"/>
  <c r="B299" i="27"/>
  <c r="B307" i="27"/>
  <c r="B315" i="27"/>
  <c r="B323" i="27"/>
  <c r="B331" i="27"/>
  <c r="B339" i="27"/>
  <c r="B347" i="27"/>
  <c r="B355" i="27"/>
  <c r="B363" i="27"/>
  <c r="B371" i="27"/>
  <c r="B379" i="27"/>
  <c r="B387" i="27"/>
  <c r="B395" i="27"/>
  <c r="B403" i="27"/>
  <c r="B411" i="27"/>
  <c r="B419" i="27"/>
  <c r="B427" i="27"/>
  <c r="B435" i="27"/>
  <c r="B443" i="27"/>
  <c r="B451" i="27"/>
  <c r="B459" i="27"/>
  <c r="B467" i="27"/>
  <c r="B475" i="27"/>
  <c r="B483" i="27"/>
  <c r="B491" i="27"/>
  <c r="B499" i="27"/>
  <c r="B507" i="27"/>
  <c r="B515" i="27"/>
  <c r="B523" i="27"/>
  <c r="B531" i="27"/>
  <c r="B539" i="27"/>
  <c r="B547" i="27"/>
  <c r="B555" i="27"/>
  <c r="B563" i="27"/>
  <c r="B571" i="27"/>
  <c r="B579" i="27"/>
  <c r="B587" i="27"/>
  <c r="B595" i="27"/>
  <c r="B603" i="27"/>
  <c r="B611" i="27"/>
  <c r="B619" i="27"/>
  <c r="B627" i="27"/>
  <c r="B635" i="27"/>
  <c r="B643" i="27"/>
  <c r="B651" i="27"/>
  <c r="B659" i="27"/>
  <c r="B667" i="27"/>
  <c r="B675" i="27"/>
  <c r="B683" i="27"/>
  <c r="B691" i="27"/>
  <c r="B699" i="27"/>
  <c r="B707" i="27"/>
  <c r="B715" i="27"/>
  <c r="B44" i="27"/>
  <c r="B52" i="27"/>
  <c r="B60" i="27"/>
  <c r="B68" i="27"/>
  <c r="B76" i="27"/>
  <c r="B84" i="27"/>
  <c r="B92" i="27"/>
  <c r="B100" i="27"/>
  <c r="B108" i="27"/>
  <c r="B116" i="27"/>
  <c r="B124" i="27"/>
  <c r="B132" i="27"/>
  <c r="B140" i="27"/>
  <c r="B148" i="27"/>
  <c r="B156" i="27"/>
  <c r="B164" i="27"/>
  <c r="B172" i="27"/>
  <c r="B180" i="27"/>
  <c r="B188" i="27"/>
  <c r="B196" i="27"/>
  <c r="B204" i="27"/>
  <c r="B212" i="27"/>
  <c r="B220" i="27"/>
  <c r="B228" i="27"/>
  <c r="B236" i="27"/>
  <c r="B244" i="27"/>
  <c r="B252" i="27"/>
  <c r="B260" i="27"/>
  <c r="B268" i="27"/>
  <c r="B276" i="27"/>
  <c r="B284" i="27"/>
  <c r="B292" i="27"/>
  <c r="B300" i="27"/>
  <c r="B308" i="27"/>
  <c r="B316" i="27"/>
  <c r="B324" i="27"/>
  <c r="B332" i="27"/>
  <c r="B340" i="27"/>
  <c r="B348" i="27"/>
  <c r="B356" i="27"/>
  <c r="B364" i="27"/>
  <c r="B372" i="27"/>
  <c r="B380" i="27"/>
  <c r="B388" i="27"/>
  <c r="B396" i="27"/>
  <c r="B404" i="27"/>
  <c r="B45" i="27"/>
  <c r="B53" i="27"/>
  <c r="B61" i="27"/>
  <c r="B69" i="27"/>
  <c r="B77" i="27"/>
  <c r="B85" i="27"/>
  <c r="B93" i="27"/>
  <c r="B101" i="27"/>
  <c r="B109" i="27"/>
  <c r="B117" i="27"/>
  <c r="B125" i="27"/>
  <c r="B133" i="27"/>
  <c r="B141" i="27"/>
  <c r="B149" i="27"/>
  <c r="B157" i="27"/>
  <c r="B165" i="27"/>
  <c r="B173" i="27"/>
  <c r="B181" i="27"/>
  <c r="B189" i="27"/>
  <c r="B197" i="27"/>
  <c r="B205" i="27"/>
  <c r="B213" i="27"/>
  <c r="B221" i="27"/>
  <c r="B229" i="27"/>
  <c r="B237" i="27"/>
  <c r="B245" i="27"/>
  <c r="B253" i="27"/>
  <c r="B261" i="27"/>
  <c r="B269" i="27"/>
  <c r="B277" i="27"/>
  <c r="B285" i="27"/>
  <c r="B293" i="27"/>
  <c r="B301" i="27"/>
  <c r="B309" i="27"/>
  <c r="B317" i="27"/>
  <c r="B325" i="27"/>
  <c r="B333" i="27"/>
  <c r="B341" i="27"/>
  <c r="B349" i="27"/>
  <c r="B357" i="27"/>
  <c r="B365" i="27"/>
  <c r="B373" i="27"/>
  <c r="B381" i="27"/>
  <c r="B389" i="27"/>
  <c r="B397" i="27"/>
  <c r="B405" i="27"/>
  <c r="B413" i="27"/>
  <c r="B421" i="27"/>
  <c r="B429" i="27"/>
  <c r="B437" i="27"/>
  <c r="B445" i="27"/>
  <c r="B453" i="27"/>
  <c r="B461" i="27"/>
  <c r="B469" i="27"/>
  <c r="B477" i="27"/>
  <c r="B485" i="27"/>
  <c r="B493" i="27"/>
  <c r="B501" i="27"/>
  <c r="B509" i="27"/>
  <c r="B517" i="27"/>
  <c r="B525" i="27"/>
  <c r="B533" i="27"/>
  <c r="B541" i="27"/>
  <c r="B549" i="27"/>
  <c r="B557" i="27"/>
  <c r="B565" i="27"/>
  <c r="B573" i="27"/>
  <c r="B581" i="27"/>
  <c r="B589" i="27"/>
  <c r="B597" i="27"/>
  <c r="B605" i="27"/>
  <c r="B613" i="27"/>
  <c r="B621" i="27"/>
  <c r="B629" i="27"/>
  <c r="B637" i="27"/>
  <c r="B645" i="27"/>
  <c r="B653" i="27"/>
  <c r="B661" i="27"/>
  <c r="B669" i="27"/>
  <c r="B677" i="27"/>
  <c r="B685" i="27"/>
  <c r="B693" i="27"/>
  <c r="B701" i="27"/>
  <c r="B46" i="27"/>
  <c r="B54" i="27"/>
  <c r="B62" i="27"/>
  <c r="B70" i="27"/>
  <c r="B78" i="27"/>
  <c r="B86" i="27"/>
  <c r="B94" i="27"/>
  <c r="B102" i="27"/>
  <c r="B110" i="27"/>
  <c r="B118" i="27"/>
  <c r="B126" i="27"/>
  <c r="B134" i="27"/>
  <c r="B142" i="27"/>
  <c r="B150" i="27"/>
  <c r="B158" i="27"/>
  <c r="B166" i="27"/>
  <c r="B174" i="27"/>
  <c r="B182" i="27"/>
  <c r="B190" i="27"/>
  <c r="B198" i="27"/>
  <c r="B206" i="27"/>
  <c r="B214" i="27"/>
  <c r="B222" i="27"/>
  <c r="B230" i="27"/>
  <c r="B238" i="27"/>
  <c r="B246" i="27"/>
  <c r="B254" i="27"/>
  <c r="B262" i="27"/>
  <c r="B270" i="27"/>
  <c r="B278" i="27"/>
  <c r="B286" i="27"/>
  <c r="B294" i="27"/>
  <c r="B302" i="27"/>
  <c r="B310" i="27"/>
  <c r="B318" i="27"/>
  <c r="B326" i="27"/>
  <c r="B334" i="27"/>
  <c r="B342" i="27"/>
  <c r="B350" i="27"/>
  <c r="B358" i="27"/>
  <c r="B366" i="27"/>
  <c r="B374" i="27"/>
  <c r="B382" i="27"/>
  <c r="B390" i="27"/>
  <c r="B398" i="27"/>
  <c r="B406" i="27"/>
  <c r="B414" i="27"/>
  <c r="B422" i="27"/>
  <c r="B430" i="27"/>
  <c r="B438" i="27"/>
  <c r="B446" i="27"/>
  <c r="B454" i="27"/>
  <c r="B462" i="27"/>
  <c r="B470" i="27"/>
  <c r="B478" i="27"/>
  <c r="B486" i="27"/>
  <c r="B494" i="27"/>
  <c r="B502" i="27"/>
  <c r="B510" i="27"/>
  <c r="B518" i="27"/>
  <c r="B526" i="27"/>
  <c r="B534" i="27"/>
  <c r="B542" i="27"/>
  <c r="B550" i="27"/>
  <c r="B558" i="27"/>
  <c r="B566" i="27"/>
  <c r="B574" i="27"/>
  <c r="B582" i="27"/>
  <c r="B590" i="27"/>
  <c r="B598" i="27"/>
  <c r="B606" i="27"/>
  <c r="B614" i="27"/>
  <c r="B622" i="27"/>
  <c r="B630" i="27"/>
  <c r="B638" i="27"/>
  <c r="B646" i="27"/>
  <c r="B654" i="27"/>
  <c r="B662" i="27"/>
  <c r="B670" i="27"/>
  <c r="B47" i="27"/>
  <c r="B55" i="27"/>
  <c r="B63" i="27"/>
  <c r="B71" i="27"/>
  <c r="B79" i="27"/>
  <c r="B87" i="27"/>
  <c r="B95" i="27"/>
  <c r="B103" i="27"/>
  <c r="B111" i="27"/>
  <c r="B119" i="27"/>
  <c r="B127" i="27"/>
  <c r="B135" i="27"/>
  <c r="B143" i="27"/>
  <c r="B151" i="27"/>
  <c r="B159" i="27"/>
  <c r="B167" i="27"/>
  <c r="B175" i="27"/>
  <c r="B183" i="27"/>
  <c r="B191" i="27"/>
  <c r="B199" i="27"/>
  <c r="B207" i="27"/>
  <c r="B215" i="27"/>
  <c r="B223" i="27"/>
  <c r="B231" i="27"/>
  <c r="B239" i="27"/>
  <c r="B247" i="27"/>
  <c r="B255" i="27"/>
  <c r="B263" i="27"/>
  <c r="B271" i="27"/>
  <c r="B279" i="27"/>
  <c r="B287" i="27"/>
  <c r="B295" i="27"/>
  <c r="B303" i="27"/>
  <c r="B311" i="27"/>
  <c r="B319" i="27"/>
  <c r="B327" i="27"/>
  <c r="B335" i="27"/>
  <c r="B343" i="27"/>
  <c r="B351" i="27"/>
  <c r="B359" i="27"/>
  <c r="B367" i="27"/>
  <c r="B375" i="27"/>
  <c r="B383" i="27"/>
  <c r="B391" i="27"/>
  <c r="B399" i="27"/>
  <c r="B407" i="27"/>
  <c r="B415" i="27"/>
  <c r="B423" i="27"/>
  <c r="B431" i="27"/>
  <c r="B439" i="27"/>
  <c r="B447" i="27"/>
  <c r="B455" i="27"/>
  <c r="B463" i="27"/>
  <c r="B471" i="27"/>
  <c r="B479" i="27"/>
  <c r="B487" i="27"/>
  <c r="B495" i="27"/>
  <c r="B503" i="27"/>
  <c r="B511" i="27"/>
  <c r="B519" i="27"/>
  <c r="B527" i="27"/>
  <c r="B535" i="27"/>
  <c r="B543" i="27"/>
  <c r="B551" i="27"/>
  <c r="B559" i="27"/>
  <c r="B567" i="27"/>
  <c r="B575" i="27"/>
  <c r="B583" i="27"/>
  <c r="B591" i="27"/>
  <c r="B599" i="27"/>
  <c r="B607" i="27"/>
  <c r="B615" i="27"/>
  <c r="B623" i="27"/>
  <c r="B631" i="27"/>
  <c r="B639" i="27"/>
  <c r="B647" i="27"/>
  <c r="B655" i="27"/>
  <c r="B663" i="27"/>
  <c r="B671" i="27"/>
  <c r="B679" i="27"/>
  <c r="B687" i="27"/>
  <c r="B695" i="27"/>
  <c r="B703" i="27"/>
  <c r="B711" i="27"/>
  <c r="B719" i="27"/>
  <c r="B73" i="27"/>
  <c r="B105" i="27"/>
  <c r="B137" i="27"/>
  <c r="B169" i="27"/>
  <c r="B192" i="27"/>
  <c r="B210" i="27"/>
  <c r="B233" i="27"/>
  <c r="B256" i="27"/>
  <c r="B274" i="27"/>
  <c r="B297" i="27"/>
  <c r="B320" i="27"/>
  <c r="B338" i="27"/>
  <c r="B361" i="27"/>
  <c r="B384" i="27"/>
  <c r="B402" i="27"/>
  <c r="B420" i="27"/>
  <c r="B436" i="27"/>
  <c r="B452" i="27"/>
  <c r="B468" i="27"/>
  <c r="B484" i="27"/>
  <c r="B500" i="27"/>
  <c r="B516" i="27"/>
  <c r="B532" i="27"/>
  <c r="B548" i="27"/>
  <c r="B564" i="27"/>
  <c r="B580" i="27"/>
  <c r="B596" i="27"/>
  <c r="B612" i="27"/>
  <c r="B628" i="27"/>
  <c r="B644" i="27"/>
  <c r="B660" i="27"/>
  <c r="B676" i="27"/>
  <c r="B689" i="27"/>
  <c r="B702" i="27"/>
  <c r="B713" i="27"/>
  <c r="B723" i="27"/>
  <c r="B731" i="27"/>
  <c r="B739" i="27"/>
  <c r="B747" i="27"/>
  <c r="B755" i="27"/>
  <c r="B763" i="27"/>
  <c r="B771" i="27"/>
  <c r="B779" i="27"/>
  <c r="B787" i="27"/>
  <c r="B795" i="27"/>
  <c r="B803" i="27"/>
  <c r="B811" i="27"/>
  <c r="B819" i="27"/>
  <c r="B827" i="27"/>
  <c r="B835" i="27"/>
  <c r="B843" i="27"/>
  <c r="B851" i="27"/>
  <c r="B859" i="27"/>
  <c r="B867" i="27"/>
  <c r="B875" i="27"/>
  <c r="B883" i="27"/>
  <c r="B891" i="27"/>
  <c r="B899" i="27"/>
  <c r="B907" i="27"/>
  <c r="B915" i="27"/>
  <c r="B923" i="27"/>
  <c r="B931" i="27"/>
  <c r="B939" i="27"/>
  <c r="B947" i="27"/>
  <c r="B955" i="27"/>
  <c r="B963" i="27"/>
  <c r="B971" i="27"/>
  <c r="B979" i="27"/>
  <c r="B987" i="27"/>
  <c r="B995" i="27"/>
  <c r="B1003" i="27"/>
  <c r="B1011" i="27"/>
  <c r="B1019" i="27"/>
  <c r="B1027" i="27"/>
  <c r="B1035" i="27"/>
  <c r="B1043" i="27"/>
  <c r="B1051" i="27"/>
  <c r="B1059" i="27"/>
  <c r="B1067" i="27"/>
  <c r="B1075" i="27"/>
  <c r="B1083" i="27"/>
  <c r="B1091" i="27"/>
  <c r="B1099" i="27"/>
  <c r="B48" i="27"/>
  <c r="B80" i="27"/>
  <c r="B112" i="27"/>
  <c r="B144" i="27"/>
  <c r="B170" i="27"/>
  <c r="B193" i="27"/>
  <c r="B216" i="27"/>
  <c r="B234" i="27"/>
  <c r="B257" i="27"/>
  <c r="B280" i="27"/>
  <c r="B298" i="27"/>
  <c r="B321" i="27"/>
  <c r="B344" i="27"/>
  <c r="B362" i="27"/>
  <c r="B385" i="27"/>
  <c r="B408" i="27"/>
  <c r="B424" i="27"/>
  <c r="B440" i="27"/>
  <c r="B456" i="27"/>
  <c r="B472" i="27"/>
  <c r="B488" i="27"/>
  <c r="B504" i="27"/>
  <c r="B520" i="27"/>
  <c r="B536" i="27"/>
  <c r="B552" i="27"/>
  <c r="B568" i="27"/>
  <c r="B584" i="27"/>
  <c r="B600" i="27"/>
  <c r="B616" i="27"/>
  <c r="B632" i="27"/>
  <c r="B648" i="27"/>
  <c r="B664" i="27"/>
  <c r="B678" i="27"/>
  <c r="B690" i="27"/>
  <c r="B704" i="27"/>
  <c r="B714" i="27"/>
  <c r="B724" i="27"/>
  <c r="B732" i="27"/>
  <c r="B740" i="27"/>
  <c r="B748" i="27"/>
  <c r="B756" i="27"/>
  <c r="B764" i="27"/>
  <c r="B772" i="27"/>
  <c r="B780" i="27"/>
  <c r="B788" i="27"/>
  <c r="B796" i="27"/>
  <c r="B804" i="27"/>
  <c r="B812" i="27"/>
  <c r="B820" i="27"/>
  <c r="B828" i="27"/>
  <c r="B836" i="27"/>
  <c r="B844" i="27"/>
  <c r="B852" i="27"/>
  <c r="B860" i="27"/>
  <c r="B868" i="27"/>
  <c r="B876" i="27"/>
  <c r="B884" i="27"/>
  <c r="B892" i="27"/>
  <c r="B900" i="27"/>
  <c r="B908" i="27"/>
  <c r="B916" i="27"/>
  <c r="B924" i="27"/>
  <c r="B932" i="27"/>
  <c r="B940" i="27"/>
  <c r="B948" i="27"/>
  <c r="B956" i="27"/>
  <c r="B964" i="27"/>
  <c r="B972" i="27"/>
  <c r="B980" i="27"/>
  <c r="B988" i="27"/>
  <c r="B996" i="27"/>
  <c r="B1004" i="27"/>
  <c r="B1012" i="27"/>
  <c r="B1020" i="27"/>
  <c r="B1028" i="27"/>
  <c r="B1036" i="27"/>
  <c r="B1044" i="27"/>
  <c r="B1052" i="27"/>
  <c r="B1060" i="27"/>
  <c r="B1068" i="27"/>
  <c r="B1076" i="27"/>
  <c r="B1084" i="27"/>
  <c r="B1092" i="27"/>
  <c r="B49" i="27"/>
  <c r="B81" i="27"/>
  <c r="B113" i="27"/>
  <c r="B145" i="27"/>
  <c r="B176" i="27"/>
  <c r="B194" i="27"/>
  <c r="B217" i="27"/>
  <c r="B240" i="27"/>
  <c r="B258" i="27"/>
  <c r="B281" i="27"/>
  <c r="B304" i="27"/>
  <c r="B322" i="27"/>
  <c r="B345" i="27"/>
  <c r="B368" i="27"/>
  <c r="B386" i="27"/>
  <c r="B409" i="27"/>
  <c r="B425" i="27"/>
  <c r="B441" i="27"/>
  <c r="B457" i="27"/>
  <c r="B473" i="27"/>
  <c r="B489" i="27"/>
  <c r="B505" i="27"/>
  <c r="B521" i="27"/>
  <c r="B537" i="27"/>
  <c r="B553" i="27"/>
  <c r="B569" i="27"/>
  <c r="B585" i="27"/>
  <c r="B601" i="27"/>
  <c r="B617" i="27"/>
  <c r="B633" i="27"/>
  <c r="B649" i="27"/>
  <c r="B665" i="27"/>
  <c r="B680" i="27"/>
  <c r="B692" i="27"/>
  <c r="B705" i="27"/>
  <c r="B716" i="27"/>
  <c r="B725" i="27"/>
  <c r="B733" i="27"/>
  <c r="B741" i="27"/>
  <c r="B749" i="27"/>
  <c r="B757" i="27"/>
  <c r="B765" i="27"/>
  <c r="B773" i="27"/>
  <c r="B781" i="27"/>
  <c r="B789" i="27"/>
  <c r="B797" i="27"/>
  <c r="B805" i="27"/>
  <c r="B813" i="27"/>
  <c r="B821" i="27"/>
  <c r="B829" i="27"/>
  <c r="B837" i="27"/>
  <c r="B845" i="27"/>
  <c r="B853" i="27"/>
  <c r="B861" i="27"/>
  <c r="B869" i="27"/>
  <c r="B877" i="27"/>
  <c r="B885" i="27"/>
  <c r="B893" i="27"/>
  <c r="B901" i="27"/>
  <c r="B909" i="27"/>
  <c r="B917" i="27"/>
  <c r="B925" i="27"/>
  <c r="B933" i="27"/>
  <c r="B941" i="27"/>
  <c r="B949" i="27"/>
  <c r="B957" i="27"/>
  <c r="B965" i="27"/>
  <c r="B973" i="27"/>
  <c r="B981" i="27"/>
  <c r="B989" i="27"/>
  <c r="B997" i="27"/>
  <c r="B1005" i="27"/>
  <c r="B1013" i="27"/>
  <c r="B1021" i="27"/>
  <c r="B1029" i="27"/>
  <c r="B1037" i="27"/>
  <c r="B1045" i="27"/>
  <c r="B1053" i="27"/>
  <c r="B1061" i="27"/>
  <c r="B1069" i="27"/>
  <c r="B1077" i="27"/>
  <c r="B1085" i="27"/>
  <c r="B1093" i="27"/>
  <c r="B56" i="27"/>
  <c r="B88" i="27"/>
  <c r="B120" i="27"/>
  <c r="B152" i="27"/>
  <c r="B177" i="27"/>
  <c r="B200" i="27"/>
  <c r="B218" i="27"/>
  <c r="B241" i="27"/>
  <c r="B264" i="27"/>
  <c r="B282" i="27"/>
  <c r="B305" i="27"/>
  <c r="B328" i="27"/>
  <c r="B346" i="27"/>
  <c r="B369" i="27"/>
  <c r="B392" i="27"/>
  <c r="B410" i="27"/>
  <c r="B426" i="27"/>
  <c r="B442" i="27"/>
  <c r="B458" i="27"/>
  <c r="B474" i="27"/>
  <c r="B490" i="27"/>
  <c r="B506" i="27"/>
  <c r="B522" i="27"/>
  <c r="B538" i="27"/>
  <c r="B554" i="27"/>
  <c r="B570" i="27"/>
  <c r="B586" i="27"/>
  <c r="B602" i="27"/>
  <c r="B618" i="27"/>
  <c r="B634" i="27"/>
  <c r="B650" i="27"/>
  <c r="B666" i="27"/>
  <c r="B681" i="27"/>
  <c r="B694" i="27"/>
  <c r="B706" i="27"/>
  <c r="B717" i="27"/>
  <c r="B726" i="27"/>
  <c r="B734" i="27"/>
  <c r="B742" i="27"/>
  <c r="B750" i="27"/>
  <c r="B758" i="27"/>
  <c r="B57" i="27"/>
  <c r="B89" i="27"/>
  <c r="B121" i="27"/>
  <c r="B153" i="27"/>
  <c r="B178" i="27"/>
  <c r="B201" i="27"/>
  <c r="B224" i="27"/>
  <c r="B242" i="27"/>
  <c r="B265" i="27"/>
  <c r="B288" i="27"/>
  <c r="B306" i="27"/>
  <c r="B329" i="27"/>
  <c r="B352" i="27"/>
  <c r="B370" i="27"/>
  <c r="B393" i="27"/>
  <c r="B412" i="27"/>
  <c r="B428" i="27"/>
  <c r="B444" i="27"/>
  <c r="B460" i="27"/>
  <c r="B476" i="27"/>
  <c r="B492" i="27"/>
  <c r="B508" i="27"/>
  <c r="B524" i="27"/>
  <c r="B540" i="27"/>
  <c r="B556" i="27"/>
  <c r="B572" i="27"/>
  <c r="B588" i="27"/>
  <c r="B604" i="27"/>
  <c r="B620" i="27"/>
  <c r="B636" i="27"/>
  <c r="B652" i="27"/>
  <c r="B668" i="27"/>
  <c r="B682" i="27"/>
  <c r="B696" i="27"/>
  <c r="B708" i="27"/>
  <c r="B718" i="27"/>
  <c r="B727" i="27"/>
  <c r="B735" i="27"/>
  <c r="B743" i="27"/>
  <c r="B751" i="27"/>
  <c r="B759" i="27"/>
  <c r="B767" i="27"/>
  <c r="B775" i="27"/>
  <c r="B783" i="27"/>
  <c r="B791" i="27"/>
  <c r="B799" i="27"/>
  <c r="B807" i="27"/>
  <c r="B815" i="27"/>
  <c r="B823" i="27"/>
  <c r="B831" i="27"/>
  <c r="B839" i="27"/>
  <c r="B847" i="27"/>
  <c r="B855" i="27"/>
  <c r="B863" i="27"/>
  <c r="B871" i="27"/>
  <c r="B879" i="27"/>
  <c r="B887" i="27"/>
  <c r="B895" i="27"/>
  <c r="B903" i="27"/>
  <c r="B911" i="27"/>
  <c r="B919" i="27"/>
  <c r="B64" i="27"/>
  <c r="B96" i="27"/>
  <c r="B128" i="27"/>
  <c r="B160" i="27"/>
  <c r="B184" i="27"/>
  <c r="B202" i="27"/>
  <c r="B225" i="27"/>
  <c r="B248" i="27"/>
  <c r="B266" i="27"/>
  <c r="B289" i="27"/>
  <c r="B312" i="27"/>
  <c r="B330" i="27"/>
  <c r="B353" i="27"/>
  <c r="B376" i="27"/>
  <c r="B394" i="27"/>
  <c r="B416" i="27"/>
  <c r="B432" i="27"/>
  <c r="B448" i="27"/>
  <c r="B464" i="27"/>
  <c r="B480" i="27"/>
  <c r="B496" i="27"/>
  <c r="B512" i="27"/>
  <c r="B528" i="27"/>
  <c r="B544" i="27"/>
  <c r="B560" i="27"/>
  <c r="B576" i="27"/>
  <c r="B592" i="27"/>
  <c r="B608" i="27"/>
  <c r="B624" i="27"/>
  <c r="B640" i="27"/>
  <c r="B656" i="27"/>
  <c r="B672" i="27"/>
  <c r="B684" i="27"/>
  <c r="B697" i="27"/>
  <c r="B709" i="27"/>
  <c r="B720" i="27"/>
  <c r="B728" i="27"/>
  <c r="B736" i="27"/>
  <c r="B744" i="27"/>
  <c r="B752" i="27"/>
  <c r="B760" i="27"/>
  <c r="B768" i="27"/>
  <c r="B776" i="27"/>
  <c r="B784" i="27"/>
  <c r="B792" i="27"/>
  <c r="B800" i="27"/>
  <c r="B808" i="27"/>
  <c r="B816" i="27"/>
  <c r="B824" i="27"/>
  <c r="B832" i="27"/>
  <c r="B840" i="27"/>
  <c r="B848" i="27"/>
  <c r="B856" i="27"/>
  <c r="B864" i="27"/>
  <c r="B872" i="27"/>
  <c r="B880" i="27"/>
  <c r="B888" i="27"/>
  <c r="B896" i="27"/>
  <c r="B904" i="27"/>
  <c r="B912" i="27"/>
  <c r="B920" i="27"/>
  <c r="B928" i="27"/>
  <c r="B936" i="27"/>
  <c r="B944" i="27"/>
  <c r="B952" i="27"/>
  <c r="B960" i="27"/>
  <c r="B968" i="27"/>
  <c r="B976" i="27"/>
  <c r="B984" i="27"/>
  <c r="B992" i="27"/>
  <c r="B1000" i="27"/>
  <c r="B1008" i="27"/>
  <c r="B168" i="27"/>
  <c r="B250" i="27"/>
  <c r="B337" i="27"/>
  <c r="B418" i="27"/>
  <c r="B482" i="27"/>
  <c r="B546" i="27"/>
  <c r="B610" i="27"/>
  <c r="B674" i="27"/>
  <c r="B722" i="27"/>
  <c r="B754" i="27"/>
  <c r="B778" i="27"/>
  <c r="B801" i="27"/>
  <c r="B822" i="27"/>
  <c r="B842" i="27"/>
  <c r="B865" i="27"/>
  <c r="B886" i="27"/>
  <c r="B906" i="27"/>
  <c r="B927" i="27"/>
  <c r="B943" i="27"/>
  <c r="B959" i="27"/>
  <c r="B975" i="27"/>
  <c r="B991" i="27"/>
  <c r="B1007" i="27"/>
  <c r="B1022" i="27"/>
  <c r="B1033" i="27"/>
  <c r="B1047" i="27"/>
  <c r="B1058" i="27"/>
  <c r="B1072" i="27"/>
  <c r="B1086" i="27"/>
  <c r="B1097" i="27"/>
  <c r="B65" i="27"/>
  <c r="B185" i="27"/>
  <c r="B272" i="27"/>
  <c r="B354" i="27"/>
  <c r="B433" i="27"/>
  <c r="B497" i="27"/>
  <c r="B561" i="27"/>
  <c r="B625" i="27"/>
  <c r="B686" i="27"/>
  <c r="B729" i="27"/>
  <c r="B761" i="27"/>
  <c r="B782" i="27"/>
  <c r="B802" i="27"/>
  <c r="B825" i="27"/>
  <c r="B846" i="27"/>
  <c r="B866" i="27"/>
  <c r="B889" i="27"/>
  <c r="B910" i="27"/>
  <c r="B929" i="27"/>
  <c r="B945" i="27"/>
  <c r="B961" i="27"/>
  <c r="B977" i="27"/>
  <c r="B993" i="27"/>
  <c r="B1009" i="27"/>
  <c r="B1023" i="27"/>
  <c r="B1034" i="27"/>
  <c r="B1048" i="27"/>
  <c r="B1062" i="27"/>
  <c r="B1073" i="27"/>
  <c r="B1087" i="27"/>
  <c r="B1098" i="27"/>
  <c r="B72" i="27"/>
  <c r="B186" i="27"/>
  <c r="B273" i="27"/>
  <c r="B360" i="27"/>
  <c r="B434" i="27"/>
  <c r="B498" i="27"/>
  <c r="B562" i="27"/>
  <c r="B626" i="27"/>
  <c r="B688" i="27"/>
  <c r="B730" i="27"/>
  <c r="B762" i="27"/>
  <c r="B785" i="27"/>
  <c r="B806" i="27"/>
  <c r="B826" i="27"/>
  <c r="B849" i="27"/>
  <c r="B870" i="27"/>
  <c r="B890" i="27"/>
  <c r="B913" i="27"/>
  <c r="B930" i="27"/>
  <c r="B946" i="27"/>
  <c r="B962" i="27"/>
  <c r="B978" i="27"/>
  <c r="B994" i="27"/>
  <c r="B1010" i="27"/>
  <c r="B1024" i="27"/>
  <c r="B1038" i="27"/>
  <c r="B1049" i="27"/>
  <c r="B1063" i="27"/>
  <c r="B1074" i="27"/>
  <c r="B1088" i="27"/>
  <c r="B97" i="27"/>
  <c r="B208" i="27"/>
  <c r="B290" i="27"/>
  <c r="B377" i="27"/>
  <c r="B449" i="27"/>
  <c r="B513" i="27"/>
  <c r="B577" i="27"/>
  <c r="B641" i="27"/>
  <c r="B698" i="27"/>
  <c r="B737" i="27"/>
  <c r="B766" i="27"/>
  <c r="B786" i="27"/>
  <c r="B809" i="27"/>
  <c r="B830" i="27"/>
  <c r="B850" i="27"/>
  <c r="B873" i="27"/>
  <c r="B894" i="27"/>
  <c r="B914" i="27"/>
  <c r="B934" i="27"/>
  <c r="B950" i="27"/>
  <c r="B966" i="27"/>
  <c r="B982" i="27"/>
  <c r="B998" i="27"/>
  <c r="B1014" i="27"/>
  <c r="B1025" i="27"/>
  <c r="B1039" i="27"/>
  <c r="B1050" i="27"/>
  <c r="B1064" i="27"/>
  <c r="B1078" i="27"/>
  <c r="B1089" i="27"/>
  <c r="B104" i="27"/>
  <c r="B209" i="27"/>
  <c r="B296" i="27"/>
  <c r="B378" i="27"/>
  <c r="B450" i="27"/>
  <c r="B514" i="27"/>
  <c r="B578" i="27"/>
  <c r="B642" i="27"/>
  <c r="B700" i="27"/>
  <c r="B738" i="27"/>
  <c r="B769" i="27"/>
  <c r="B790" i="27"/>
  <c r="B810" i="27"/>
  <c r="B833" i="27"/>
  <c r="B854" i="27"/>
  <c r="B874" i="27"/>
  <c r="B897" i="27"/>
  <c r="B918" i="27"/>
  <c r="B935" i="27"/>
  <c r="B951" i="27"/>
  <c r="B967" i="27"/>
  <c r="B983" i="27"/>
  <c r="B999" i="27"/>
  <c r="B1015" i="27"/>
  <c r="B1026" i="27"/>
  <c r="B1040" i="27"/>
  <c r="B1054" i="27"/>
  <c r="B1065" i="27"/>
  <c r="B1079" i="27"/>
  <c r="B1090" i="27"/>
  <c r="B129" i="27"/>
  <c r="B226" i="27"/>
  <c r="B313" i="27"/>
  <c r="B400" i="27"/>
  <c r="B465" i="27"/>
  <c r="B529" i="27"/>
  <c r="B593" i="27"/>
  <c r="B657" i="27"/>
  <c r="B710" i="27"/>
  <c r="B745" i="27"/>
  <c r="B770" i="27"/>
  <c r="B793" i="27"/>
  <c r="B814" i="27"/>
  <c r="B834" i="27"/>
  <c r="B857" i="27"/>
  <c r="B878" i="27"/>
  <c r="B898" i="27"/>
  <c r="B921" i="27"/>
  <c r="B937" i="27"/>
  <c r="B953" i="27"/>
  <c r="B969" i="27"/>
  <c r="B985" i="27"/>
  <c r="B1001" i="27"/>
  <c r="B1016" i="27"/>
  <c r="B1030" i="27"/>
  <c r="B1041" i="27"/>
  <c r="B1055" i="27"/>
  <c r="B1066" i="27"/>
  <c r="B1080" i="27"/>
  <c r="B1094" i="27"/>
  <c r="B417" i="27"/>
  <c r="B673" i="27"/>
  <c r="B798" i="27"/>
  <c r="B882" i="27"/>
  <c r="B958" i="27"/>
  <c r="B1018" i="27"/>
  <c r="B1071" i="27"/>
  <c r="B136" i="27"/>
  <c r="B466" i="27"/>
  <c r="B712" i="27"/>
  <c r="B817" i="27"/>
  <c r="B902" i="27"/>
  <c r="B970" i="27"/>
  <c r="B1031" i="27"/>
  <c r="B1081" i="27"/>
  <c r="B161" i="27"/>
  <c r="B481" i="27"/>
  <c r="B721" i="27"/>
  <c r="B818" i="27"/>
  <c r="B905" i="27"/>
  <c r="B974" i="27"/>
  <c r="B1032" i="27"/>
  <c r="B1082" i="27"/>
  <c r="B232" i="27"/>
  <c r="B530" i="27"/>
  <c r="B746" i="27"/>
  <c r="B838" i="27"/>
  <c r="B922" i="27"/>
  <c r="B986" i="27"/>
  <c r="B1042" i="27"/>
  <c r="B1095" i="27"/>
  <c r="B249" i="27"/>
  <c r="B545" i="27"/>
  <c r="B753" i="27"/>
  <c r="B841" i="27"/>
  <c r="B926" i="27"/>
  <c r="B990" i="27"/>
  <c r="B1046" i="27"/>
  <c r="B1096" i="27"/>
  <c r="B314" i="27"/>
  <c r="B594" i="27"/>
  <c r="B774" i="27"/>
  <c r="B858" i="27"/>
  <c r="B938" i="27"/>
  <c r="B1002" i="27"/>
  <c r="B1056" i="27"/>
  <c r="B881" i="27"/>
  <c r="B794" i="27"/>
  <c r="B336" i="27"/>
  <c r="B942" i="27"/>
  <c r="B401" i="27"/>
  <c r="B954" i="27"/>
  <c r="B862" i="27"/>
  <c r="B609" i="27"/>
  <c r="B1006" i="27"/>
  <c r="B658" i="27"/>
  <c r="B1017" i="27"/>
  <c r="B1070" i="27"/>
  <c r="B777" i="27"/>
  <c r="B1057" i="27"/>
  <c r="B37" i="27"/>
  <c r="B38" i="27"/>
  <c r="B39" i="27"/>
  <c r="B40" i="27"/>
  <c r="B41" i="27"/>
  <c r="B42" i="27"/>
  <c r="B13" i="27"/>
  <c r="B26" i="27"/>
  <c r="B34" i="27"/>
  <c r="B25" i="27"/>
  <c r="B14" i="27"/>
  <c r="B18" i="27"/>
  <c r="B22" i="27"/>
  <c r="B30" i="27"/>
  <c r="B31" i="27"/>
  <c r="B33" i="27"/>
  <c r="B19" i="27"/>
  <c r="B27" i="27"/>
  <c r="B35" i="27"/>
  <c r="B17" i="27"/>
  <c r="B15" i="27"/>
  <c r="B23" i="27"/>
  <c r="B29" i="27"/>
  <c r="B28" i="27"/>
  <c r="B36" i="27"/>
  <c r="B21" i="27"/>
  <c r="B16" i="27"/>
  <c r="B20" i="27"/>
  <c r="B24" i="27"/>
  <c r="B32" i="27"/>
  <c r="E11" i="27"/>
  <c r="F11" i="27" s="1"/>
  <c r="D24" i="27" s="1"/>
  <c r="E24" i="27" s="1"/>
  <c r="F24" i="27" s="1"/>
  <c r="B12" i="27"/>
  <c r="B11" i="27"/>
  <c r="B20" i="14"/>
  <c r="E4" i="14"/>
  <c r="B4" i="14"/>
  <c r="X10" i="20" l="1"/>
  <c r="V11" i="20" s="1"/>
  <c r="D31" i="27"/>
  <c r="E31" i="27" s="1"/>
  <c r="F31" i="27" s="1"/>
  <c r="D38" i="27" s="1"/>
  <c r="D29" i="27"/>
  <c r="E29" i="27" s="1"/>
  <c r="F29" i="27" s="1"/>
  <c r="D33" i="27"/>
  <c r="E33" i="27" s="1"/>
  <c r="F33" i="27" s="1"/>
  <c r="D40" i="27" s="1"/>
  <c r="D16" i="27"/>
  <c r="E16" i="27" s="1"/>
  <c r="F16" i="27" s="1"/>
  <c r="D23" i="27"/>
  <c r="E23" i="27" s="1"/>
  <c r="F23" i="27" s="1"/>
  <c r="D13" i="27"/>
  <c r="E13" i="27" s="1"/>
  <c r="F13" i="27" s="1"/>
  <c r="D32" i="27"/>
  <c r="E32" i="27" s="1"/>
  <c r="F32" i="27" s="1"/>
  <c r="D39" i="27" s="1"/>
  <c r="D27" i="27"/>
  <c r="E27" i="27" s="1"/>
  <c r="F27" i="27" s="1"/>
  <c r="D26" i="27"/>
  <c r="E26" i="27" s="1"/>
  <c r="F26" i="27" s="1"/>
  <c r="D15" i="27"/>
  <c r="E15" i="27" s="1"/>
  <c r="F15" i="27" s="1"/>
  <c r="D17" i="27"/>
  <c r="E17" i="27" s="1"/>
  <c r="F17" i="27" s="1"/>
  <c r="D22" i="27"/>
  <c r="E22" i="27" s="1"/>
  <c r="F22" i="27" s="1"/>
  <c r="D36" i="27"/>
  <c r="E36" i="27" s="1"/>
  <c r="F36" i="27" s="1"/>
  <c r="D43" i="27" s="1"/>
  <c r="D34" i="27"/>
  <c r="E34" i="27" s="1"/>
  <c r="F34" i="27" s="1"/>
  <c r="D41" i="27" s="1"/>
  <c r="D35" i="27"/>
  <c r="E35" i="27" s="1"/>
  <c r="F35" i="27" s="1"/>
  <c r="D42" i="27" s="1"/>
  <c r="D25" i="27"/>
  <c r="E25" i="27" s="1"/>
  <c r="F25" i="27" s="1"/>
  <c r="D20" i="27"/>
  <c r="E20" i="27" s="1"/>
  <c r="F20" i="27" s="1"/>
  <c r="D30" i="27"/>
  <c r="E30" i="27" s="1"/>
  <c r="F30" i="27" s="1"/>
  <c r="D37" i="27" s="1"/>
  <c r="D28" i="27"/>
  <c r="E28" i="27" s="1"/>
  <c r="F28" i="27" s="1"/>
  <c r="D12" i="27"/>
  <c r="E12" i="27" s="1"/>
  <c r="F12" i="27" s="1"/>
  <c r="D19" i="27"/>
  <c r="E19" i="27" s="1"/>
  <c r="F19" i="27" s="1"/>
  <c r="D14" i="27"/>
  <c r="E14" i="27" s="1"/>
  <c r="F14" i="27" s="1"/>
  <c r="D18" i="27"/>
  <c r="E18" i="27" s="1"/>
  <c r="F18" i="27" s="1"/>
  <c r="D21" i="27"/>
  <c r="E21" i="27" s="1"/>
  <c r="F21" i="27" s="1"/>
  <c r="E25" i="13"/>
  <c r="B25" i="13"/>
  <c r="B22" i="14" s="1"/>
  <c r="E25" i="12"/>
  <c r="B25" i="12"/>
  <c r="B15" i="14" s="1"/>
  <c r="E25" i="11"/>
  <c r="E7" i="14" s="1"/>
  <c r="B25" i="11"/>
  <c r="B7" i="14" s="1"/>
  <c r="B24" i="9"/>
  <c r="B19" i="9"/>
  <c r="E19" i="9"/>
  <c r="E11" i="9"/>
  <c r="B25" i="9" s="1"/>
  <c r="E21" i="14" s="1"/>
  <c r="B11" i="9"/>
  <c r="B21" i="14" s="1"/>
  <c r="F5" i="10"/>
  <c r="B25" i="10"/>
  <c r="W11" i="20" l="1"/>
  <c r="X11" i="20" s="1"/>
  <c r="F43" i="27"/>
  <c r="D50" i="27" s="1"/>
  <c r="E43" i="27"/>
  <c r="F42" i="27"/>
  <c r="D49" i="27" s="1"/>
  <c r="E42" i="27"/>
  <c r="F41" i="27"/>
  <c r="D48" i="27" s="1"/>
  <c r="E41" i="27"/>
  <c r="F37" i="27"/>
  <c r="D44" i="27" s="1"/>
  <c r="E37" i="27"/>
  <c r="F40" i="27"/>
  <c r="D47" i="27" s="1"/>
  <c r="E40" i="27"/>
  <c r="F39" i="27"/>
  <c r="D46" i="27" s="1"/>
  <c r="E39" i="27"/>
  <c r="F38" i="27"/>
  <c r="D45" i="27" s="1"/>
  <c r="E38" i="27"/>
  <c r="B26" i="13"/>
  <c r="E22" i="14"/>
  <c r="B26" i="12"/>
  <c r="E15" i="14"/>
  <c r="B26" i="11"/>
  <c r="E25" i="7"/>
  <c r="B25" i="7"/>
  <c r="E25" i="6"/>
  <c r="B25" i="6"/>
  <c r="B14" i="14" s="1"/>
  <c r="E25" i="2"/>
  <c r="B25" i="2"/>
  <c r="B6" i="14" s="1"/>
  <c r="G32" i="1"/>
  <c r="B32" i="1"/>
  <c r="G23" i="1"/>
  <c r="E5" i="14" s="1"/>
  <c r="B23" i="1"/>
  <c r="G13" i="1"/>
  <c r="B13" i="1"/>
  <c r="G7" i="1"/>
  <c r="E12" i="14" s="1"/>
  <c r="E13" i="14" s="1"/>
  <c r="B7" i="1"/>
  <c r="B12" i="14" s="1"/>
  <c r="V12" i="20" l="1"/>
  <c r="W12" i="20" s="1"/>
  <c r="X12" i="20" s="1"/>
  <c r="V13" i="20" s="1"/>
  <c r="W13" i="20" s="1"/>
  <c r="X13" i="20" s="1"/>
  <c r="V14" i="20" s="1"/>
  <c r="E44" i="27"/>
  <c r="F44" i="27"/>
  <c r="D51" i="27" s="1"/>
  <c r="F45" i="27"/>
  <c r="D52" i="27" s="1"/>
  <c r="E45" i="27"/>
  <c r="F48" i="27"/>
  <c r="D55" i="27" s="1"/>
  <c r="E48" i="27"/>
  <c r="E47" i="27"/>
  <c r="F47" i="27"/>
  <c r="D54" i="27" s="1"/>
  <c r="F46" i="27"/>
  <c r="D53" i="27" s="1"/>
  <c r="E46" i="27"/>
  <c r="F49" i="27"/>
  <c r="D56" i="27" s="1"/>
  <c r="E49" i="27"/>
  <c r="F50" i="27"/>
  <c r="D57" i="27" s="1"/>
  <c r="E50" i="27"/>
  <c r="B33" i="1"/>
  <c r="B13" i="14"/>
  <c r="B24" i="1"/>
  <c r="B5" i="14"/>
  <c r="B26" i="7"/>
  <c r="E20" i="14"/>
  <c r="B26" i="6"/>
  <c r="E14" i="14"/>
  <c r="E19" i="14" s="1"/>
  <c r="B26" i="2"/>
  <c r="E6" i="14"/>
  <c r="B8" i="1"/>
  <c r="B14" i="1"/>
  <c r="W14" i="20" l="1"/>
  <c r="X14" i="20" s="1"/>
  <c r="V15" i="20" s="1"/>
  <c r="E54" i="27"/>
  <c r="F54" i="27"/>
  <c r="D61" i="27" s="1"/>
  <c r="F55" i="27"/>
  <c r="D62" i="27" s="1"/>
  <c r="E55" i="27"/>
  <c r="E57" i="27"/>
  <c r="F57" i="27"/>
  <c r="D64" i="27" s="1"/>
  <c r="E52" i="27"/>
  <c r="F52" i="27"/>
  <c r="D59" i="27" s="1"/>
  <c r="E56" i="27"/>
  <c r="F56" i="27"/>
  <c r="D63" i="27" s="1"/>
  <c r="E51" i="27"/>
  <c r="F51" i="27"/>
  <c r="D58" i="27" s="1"/>
  <c r="E53" i="27"/>
  <c r="F53" i="27"/>
  <c r="D60" i="27" s="1"/>
  <c r="B11" i="14"/>
  <c r="B38" i="14"/>
  <c r="E38" i="14"/>
  <c r="E11" i="14"/>
  <c r="W15" i="20" l="1"/>
  <c r="X15" i="20" s="1"/>
  <c r="V16" i="20" s="1"/>
  <c r="E59" i="27"/>
  <c r="F59" i="27"/>
  <c r="D66" i="27" s="1"/>
  <c r="E60" i="27"/>
  <c r="F60" i="27"/>
  <c r="D67" i="27" s="1"/>
  <c r="F64" i="27"/>
  <c r="D71" i="27" s="1"/>
  <c r="E64" i="27"/>
  <c r="F58" i="27"/>
  <c r="D65" i="27" s="1"/>
  <c r="E58" i="27"/>
  <c r="E62" i="27"/>
  <c r="F62" i="27"/>
  <c r="D69" i="27" s="1"/>
  <c r="E63" i="27"/>
  <c r="F63" i="27"/>
  <c r="D70" i="27" s="1"/>
  <c r="E61" i="27"/>
  <c r="F61" i="27"/>
  <c r="D68" i="27" s="1"/>
  <c r="B39" i="14"/>
  <c r="W16" i="20" l="1"/>
  <c r="X16" i="20" s="1"/>
  <c r="V17" i="20" s="1"/>
  <c r="F65" i="27"/>
  <c r="D72" i="27" s="1"/>
  <c r="E65" i="27"/>
  <c r="E68" i="27"/>
  <c r="F68" i="27"/>
  <c r="D75" i="27" s="1"/>
  <c r="E71" i="27"/>
  <c r="F71" i="27"/>
  <c r="D78" i="27" s="1"/>
  <c r="F67" i="27"/>
  <c r="D74" i="27" s="1"/>
  <c r="E67" i="27"/>
  <c r="F70" i="27"/>
  <c r="D77" i="27" s="1"/>
  <c r="E70" i="27"/>
  <c r="E69" i="27"/>
  <c r="F69" i="27"/>
  <c r="D76" i="27" s="1"/>
  <c r="F66" i="27"/>
  <c r="D73" i="27" s="1"/>
  <c r="E66" i="27"/>
  <c r="W17" i="20" l="1"/>
  <c r="X17" i="20" s="1"/>
  <c r="V18" i="20" s="1"/>
  <c r="E77" i="27"/>
  <c r="F77" i="27"/>
  <c r="D84" i="27" s="1"/>
  <c r="E78" i="27"/>
  <c r="F78" i="27"/>
  <c r="D85" i="27" s="1"/>
  <c r="E73" i="27"/>
  <c r="F73" i="27"/>
  <c r="D80" i="27" s="1"/>
  <c r="E75" i="27"/>
  <c r="F75" i="27"/>
  <c r="D82" i="27" s="1"/>
  <c r="E74" i="27"/>
  <c r="F74" i="27"/>
  <c r="D81" i="27" s="1"/>
  <c r="E76" i="27"/>
  <c r="F76" i="27"/>
  <c r="D83" i="27" s="1"/>
  <c r="E72" i="27"/>
  <c r="F72" i="27"/>
  <c r="D79" i="27" s="1"/>
  <c r="W18" i="20" l="1"/>
  <c r="X18" i="20" s="1"/>
  <c r="V19" i="20" s="1"/>
  <c r="E82" i="27"/>
  <c r="F82" i="27"/>
  <c r="D89" i="27" s="1"/>
  <c r="E79" i="27"/>
  <c r="F79" i="27"/>
  <c r="D86" i="27" s="1"/>
  <c r="E80" i="27"/>
  <c r="F80" i="27"/>
  <c r="D87" i="27" s="1"/>
  <c r="E85" i="27"/>
  <c r="F85" i="27"/>
  <c r="D92" i="27" s="1"/>
  <c r="E83" i="27"/>
  <c r="F83" i="27"/>
  <c r="D90" i="27" s="1"/>
  <c r="E81" i="27"/>
  <c r="F81" i="27"/>
  <c r="D88" i="27" s="1"/>
  <c r="E84" i="27"/>
  <c r="F84" i="27"/>
  <c r="D91" i="27" s="1"/>
  <c r="W19" i="20" l="1"/>
  <c r="X19" i="20" s="1"/>
  <c r="V20" i="20" s="1"/>
  <c r="E92" i="27"/>
  <c r="F92" i="27"/>
  <c r="D99" i="27" s="1"/>
  <c r="E87" i="27"/>
  <c r="F87" i="27"/>
  <c r="D94" i="27" s="1"/>
  <c r="E86" i="27"/>
  <c r="F86" i="27"/>
  <c r="D93" i="27" s="1"/>
  <c r="E91" i="27"/>
  <c r="F91" i="27"/>
  <c r="D98" i="27" s="1"/>
  <c r="E88" i="27"/>
  <c r="F88" i="27"/>
  <c r="D95" i="27" s="1"/>
  <c r="F90" i="27"/>
  <c r="D97" i="27" s="1"/>
  <c r="E90" i="27"/>
  <c r="F89" i="27"/>
  <c r="D96" i="27" s="1"/>
  <c r="E89" i="27"/>
  <c r="W20" i="20" l="1"/>
  <c r="X20" i="20" s="1"/>
  <c r="V21" i="20" s="1"/>
  <c r="F98" i="27"/>
  <c r="D105" i="27" s="1"/>
  <c r="E98" i="27"/>
  <c r="E93" i="27"/>
  <c r="F93" i="27"/>
  <c r="D100" i="27" s="1"/>
  <c r="E96" i="27"/>
  <c r="F96" i="27"/>
  <c r="D103" i="27" s="1"/>
  <c r="E94" i="27"/>
  <c r="F94" i="27"/>
  <c r="D101" i="27" s="1"/>
  <c r="E97" i="27"/>
  <c r="F97" i="27"/>
  <c r="D104" i="27" s="1"/>
  <c r="E95" i="27"/>
  <c r="F95" i="27"/>
  <c r="D102" i="27" s="1"/>
  <c r="F99" i="27"/>
  <c r="D106" i="27" s="1"/>
  <c r="E99" i="27"/>
  <c r="W21" i="20" l="1"/>
  <c r="X21" i="20" s="1"/>
  <c r="V22" i="20" s="1"/>
  <c r="F101" i="27"/>
  <c r="D108" i="27" s="1"/>
  <c r="E101" i="27"/>
  <c r="E103" i="27"/>
  <c r="F103" i="27"/>
  <c r="D110" i="27" s="1"/>
  <c r="F106" i="27"/>
  <c r="D113" i="27" s="1"/>
  <c r="E106" i="27"/>
  <c r="E102" i="27"/>
  <c r="F102" i="27"/>
  <c r="D109" i="27" s="1"/>
  <c r="E100" i="27"/>
  <c r="F100" i="27"/>
  <c r="D107" i="27" s="1"/>
  <c r="E104" i="27"/>
  <c r="F104" i="27"/>
  <c r="D111" i="27" s="1"/>
  <c r="E105" i="27"/>
  <c r="F105" i="27"/>
  <c r="D112" i="27" s="1"/>
  <c r="W22" i="20" l="1"/>
  <c r="X22" i="20" s="1"/>
  <c r="V23" i="20" s="1"/>
  <c r="E109" i="27"/>
  <c r="F109" i="27"/>
  <c r="D116" i="27" s="1"/>
  <c r="E112" i="27"/>
  <c r="F112" i="27"/>
  <c r="D119" i="27" s="1"/>
  <c r="E113" i="27"/>
  <c r="F113" i="27"/>
  <c r="D120" i="27" s="1"/>
  <c r="F111" i="27"/>
  <c r="D118" i="27" s="1"/>
  <c r="E111" i="27"/>
  <c r="E110" i="27"/>
  <c r="F110" i="27"/>
  <c r="D117" i="27" s="1"/>
  <c r="E107" i="27"/>
  <c r="F107" i="27"/>
  <c r="D114" i="27" s="1"/>
  <c r="E108" i="27"/>
  <c r="F108" i="27"/>
  <c r="D115" i="27" s="1"/>
  <c r="W23" i="20" l="1"/>
  <c r="X23" i="20" s="1"/>
  <c r="V24" i="20" s="1"/>
  <c r="E115" i="27"/>
  <c r="F115" i="27"/>
  <c r="D122" i="27" s="1"/>
  <c r="E120" i="27"/>
  <c r="F120" i="27"/>
  <c r="D127" i="27" s="1"/>
  <c r="F118" i="27"/>
  <c r="D125" i="27" s="1"/>
  <c r="E118" i="27"/>
  <c r="E119" i="27"/>
  <c r="F119" i="27"/>
  <c r="D126" i="27" s="1"/>
  <c r="F114" i="27"/>
  <c r="D121" i="27" s="1"/>
  <c r="E114" i="27"/>
  <c r="E117" i="27"/>
  <c r="F117" i="27"/>
  <c r="D124" i="27" s="1"/>
  <c r="E116" i="27"/>
  <c r="F116" i="27"/>
  <c r="D123" i="27" s="1"/>
  <c r="W24" i="20" l="1"/>
  <c r="X24" i="20" s="1"/>
  <c r="V25" i="20" s="1"/>
  <c r="F126" i="27"/>
  <c r="D133" i="27" s="1"/>
  <c r="E126" i="27"/>
  <c r="E125" i="27"/>
  <c r="F125" i="27"/>
  <c r="D132" i="27" s="1"/>
  <c r="F124" i="27"/>
  <c r="D131" i="27" s="1"/>
  <c r="E124" i="27"/>
  <c r="E127" i="27"/>
  <c r="F127" i="27"/>
  <c r="D134" i="27" s="1"/>
  <c r="E122" i="27"/>
  <c r="F122" i="27"/>
  <c r="D129" i="27" s="1"/>
  <c r="E123" i="27"/>
  <c r="F123" i="27"/>
  <c r="D130" i="27" s="1"/>
  <c r="E121" i="27"/>
  <c r="F121" i="27"/>
  <c r="D128" i="27" s="1"/>
  <c r="W25" i="20" l="1"/>
  <c r="X25" i="20" s="1"/>
  <c r="V26" i="20" s="1"/>
  <c r="E134" i="27"/>
  <c r="F134" i="27"/>
  <c r="D141" i="27" s="1"/>
  <c r="F131" i="27"/>
  <c r="D138" i="27" s="1"/>
  <c r="E131" i="27"/>
  <c r="E130" i="27"/>
  <c r="F130" i="27"/>
  <c r="D137" i="27" s="1"/>
  <c r="F132" i="27"/>
  <c r="D139" i="27" s="1"/>
  <c r="E132" i="27"/>
  <c r="E129" i="27"/>
  <c r="F129" i="27"/>
  <c r="D136" i="27" s="1"/>
  <c r="F128" i="27"/>
  <c r="D135" i="27" s="1"/>
  <c r="E128" i="27"/>
  <c r="F133" i="27"/>
  <c r="D140" i="27" s="1"/>
  <c r="E133" i="27"/>
  <c r="W26" i="20" l="1"/>
  <c r="X26" i="20" s="1"/>
  <c r="V27" i="20" s="1"/>
  <c r="E139" i="27"/>
  <c r="F139" i="27"/>
  <c r="D146" i="27" s="1"/>
  <c r="E135" i="27"/>
  <c r="F135" i="27"/>
  <c r="D142" i="27" s="1"/>
  <c r="E138" i="27"/>
  <c r="F138" i="27"/>
  <c r="D145" i="27" s="1"/>
  <c r="E137" i="27"/>
  <c r="F137" i="27"/>
  <c r="D144" i="27" s="1"/>
  <c r="E136" i="27"/>
  <c r="F136" i="27"/>
  <c r="D143" i="27" s="1"/>
  <c r="E141" i="27"/>
  <c r="F141" i="27"/>
  <c r="D148" i="27" s="1"/>
  <c r="E140" i="27"/>
  <c r="F140" i="27"/>
  <c r="D147" i="27" s="1"/>
  <c r="W27" i="20" l="1"/>
  <c r="X27" i="20" s="1"/>
  <c r="V28" i="20" s="1"/>
  <c r="F147" i="27"/>
  <c r="D154" i="27" s="1"/>
  <c r="E147" i="27"/>
  <c r="E145" i="27"/>
  <c r="F145" i="27"/>
  <c r="D152" i="27" s="1"/>
  <c r="E148" i="27"/>
  <c r="F148" i="27"/>
  <c r="D155" i="27" s="1"/>
  <c r="F142" i="27"/>
  <c r="D149" i="27" s="1"/>
  <c r="E142" i="27"/>
  <c r="E144" i="27"/>
  <c r="F144" i="27"/>
  <c r="D151" i="27" s="1"/>
  <c r="F143" i="27"/>
  <c r="D150" i="27" s="1"/>
  <c r="E143" i="27"/>
  <c r="E146" i="27"/>
  <c r="F146" i="27"/>
  <c r="D153" i="27" s="1"/>
  <c r="W28" i="20" l="1"/>
  <c r="X28" i="20" s="1"/>
  <c r="V29" i="20" s="1"/>
  <c r="F153" i="27"/>
  <c r="D160" i="27" s="1"/>
  <c r="E153" i="27"/>
  <c r="E155" i="27"/>
  <c r="F155" i="27"/>
  <c r="D162" i="27" s="1"/>
  <c r="E152" i="27"/>
  <c r="F152" i="27"/>
  <c r="D159" i="27" s="1"/>
  <c r="E150" i="27"/>
  <c r="F150" i="27"/>
  <c r="D157" i="27" s="1"/>
  <c r="E149" i="27"/>
  <c r="F149" i="27"/>
  <c r="D156" i="27" s="1"/>
  <c r="E151" i="27"/>
  <c r="F151" i="27"/>
  <c r="D158" i="27" s="1"/>
  <c r="E154" i="27"/>
  <c r="F154" i="27"/>
  <c r="D161" i="27" s="1"/>
  <c r="W29" i="20" l="1"/>
  <c r="X29" i="20" s="1"/>
  <c r="V30" i="20" s="1"/>
  <c r="F157" i="27"/>
  <c r="D164" i="27" s="1"/>
  <c r="E157" i="27"/>
  <c r="E161" i="27"/>
  <c r="F161" i="27"/>
  <c r="D168" i="27" s="1"/>
  <c r="F159" i="27"/>
  <c r="D166" i="27" s="1"/>
  <c r="E159" i="27"/>
  <c r="F158" i="27"/>
  <c r="D165" i="27" s="1"/>
  <c r="E158" i="27"/>
  <c r="F162" i="27"/>
  <c r="D169" i="27" s="1"/>
  <c r="E162" i="27"/>
  <c r="E156" i="27"/>
  <c r="F156" i="27"/>
  <c r="D163" i="27" s="1"/>
  <c r="F160" i="27"/>
  <c r="D167" i="27" s="1"/>
  <c r="E160" i="27"/>
  <c r="W30" i="20" l="1"/>
  <c r="X30" i="20" s="1"/>
  <c r="V31" i="20" s="1"/>
  <c r="E167" i="27"/>
  <c r="F167" i="27"/>
  <c r="D174" i="27" s="1"/>
  <c r="E166" i="27"/>
  <c r="F166" i="27"/>
  <c r="D173" i="27" s="1"/>
  <c r="F168" i="27"/>
  <c r="D175" i="27" s="1"/>
  <c r="E168" i="27"/>
  <c r="E163" i="27"/>
  <c r="F163" i="27"/>
  <c r="D170" i="27" s="1"/>
  <c r="E165" i="27"/>
  <c r="F165" i="27"/>
  <c r="D172" i="27" s="1"/>
  <c r="E169" i="27"/>
  <c r="F169" i="27"/>
  <c r="D176" i="27" s="1"/>
  <c r="E164" i="27"/>
  <c r="F164" i="27"/>
  <c r="D171" i="27" s="1"/>
  <c r="W31" i="20" l="1"/>
  <c r="X31" i="20" s="1"/>
  <c r="V32" i="20" s="1"/>
  <c r="F170" i="27"/>
  <c r="D177" i="27" s="1"/>
  <c r="E170" i="27"/>
  <c r="E171" i="27"/>
  <c r="F171" i="27"/>
  <c r="D178" i="27" s="1"/>
  <c r="E175" i="27"/>
  <c r="F175" i="27"/>
  <c r="D182" i="27" s="1"/>
  <c r="E173" i="27"/>
  <c r="F173" i="27"/>
  <c r="D180" i="27" s="1"/>
  <c r="E176" i="27"/>
  <c r="F176" i="27"/>
  <c r="D183" i="27" s="1"/>
  <c r="E172" i="27"/>
  <c r="F172" i="27"/>
  <c r="D179" i="27" s="1"/>
  <c r="E174" i="27"/>
  <c r="F174" i="27"/>
  <c r="D181" i="27" s="1"/>
  <c r="W32" i="20" l="1"/>
  <c r="X32" i="20" s="1"/>
  <c r="V33" i="20" s="1"/>
  <c r="E180" i="27"/>
  <c r="F180" i="27"/>
  <c r="D187" i="27" s="1"/>
  <c r="F181" i="27"/>
  <c r="D188" i="27" s="1"/>
  <c r="E181" i="27"/>
  <c r="E182" i="27"/>
  <c r="F182" i="27"/>
  <c r="D189" i="27" s="1"/>
  <c r="E179" i="27"/>
  <c r="F179" i="27"/>
  <c r="D186" i="27" s="1"/>
  <c r="E178" i="27"/>
  <c r="F178" i="27"/>
  <c r="D185" i="27" s="1"/>
  <c r="E183" i="27"/>
  <c r="F183" i="27"/>
  <c r="D190" i="27" s="1"/>
  <c r="E177" i="27"/>
  <c r="F177" i="27"/>
  <c r="D184" i="27" s="1"/>
  <c r="W33" i="20" l="1"/>
  <c r="X33" i="20" s="1"/>
  <c r="V34" i="20" s="1"/>
  <c r="F186" i="27"/>
  <c r="D193" i="27" s="1"/>
  <c r="E186" i="27"/>
  <c r="F190" i="27"/>
  <c r="D197" i="27" s="1"/>
  <c r="E190" i="27"/>
  <c r="E188" i="27"/>
  <c r="F188" i="27"/>
  <c r="D195" i="27" s="1"/>
  <c r="E189" i="27"/>
  <c r="F189" i="27"/>
  <c r="D196" i="27" s="1"/>
  <c r="F185" i="27"/>
  <c r="D192" i="27" s="1"/>
  <c r="E185" i="27"/>
  <c r="F187" i="27"/>
  <c r="D194" i="27" s="1"/>
  <c r="E187" i="27"/>
  <c r="E184" i="27"/>
  <c r="F184" i="27"/>
  <c r="D191" i="27" s="1"/>
  <c r="W34" i="20" l="1"/>
  <c r="X34" i="20" s="1"/>
  <c r="V35" i="20" s="1"/>
  <c r="F196" i="27"/>
  <c r="D203" i="27" s="1"/>
  <c r="E196" i="27"/>
  <c r="E191" i="27"/>
  <c r="F191" i="27"/>
  <c r="D198" i="27" s="1"/>
  <c r="E195" i="27"/>
  <c r="F195" i="27"/>
  <c r="D202" i="27" s="1"/>
  <c r="E194" i="27"/>
  <c r="F194" i="27"/>
  <c r="D201" i="27" s="1"/>
  <c r="E197" i="27"/>
  <c r="F197" i="27"/>
  <c r="D204" i="27" s="1"/>
  <c r="E192" i="27"/>
  <c r="F192" i="27"/>
  <c r="D199" i="27" s="1"/>
  <c r="F193" i="27"/>
  <c r="D200" i="27" s="1"/>
  <c r="E193" i="27"/>
  <c r="W35" i="20" l="1"/>
  <c r="X35" i="20" s="1"/>
  <c r="V36" i="20" s="1"/>
  <c r="E201" i="27"/>
  <c r="F201" i="27"/>
  <c r="D208" i="27" s="1"/>
  <c r="E202" i="27"/>
  <c r="F202" i="27"/>
  <c r="D209" i="27" s="1"/>
  <c r="E200" i="27"/>
  <c r="F200" i="27"/>
  <c r="D207" i="27" s="1"/>
  <c r="E199" i="27"/>
  <c r="F199" i="27"/>
  <c r="D206" i="27" s="1"/>
  <c r="E198" i="27"/>
  <c r="F198" i="27"/>
  <c r="D205" i="27" s="1"/>
  <c r="E204" i="27"/>
  <c r="F204" i="27"/>
  <c r="D211" i="27" s="1"/>
  <c r="E203" i="27"/>
  <c r="F203" i="27"/>
  <c r="D210" i="27" s="1"/>
  <c r="W36" i="20" l="1"/>
  <c r="X36" i="20" s="1"/>
  <c r="V37" i="20" s="1"/>
  <c r="E206" i="27"/>
  <c r="F206" i="27"/>
  <c r="D213" i="27" s="1"/>
  <c r="E207" i="27"/>
  <c r="F207" i="27"/>
  <c r="D214" i="27" s="1"/>
  <c r="E210" i="27"/>
  <c r="F210" i="27"/>
  <c r="D217" i="27" s="1"/>
  <c r="F209" i="27"/>
  <c r="D216" i="27" s="1"/>
  <c r="E209" i="27"/>
  <c r="E211" i="27"/>
  <c r="F211" i="27"/>
  <c r="D218" i="27" s="1"/>
  <c r="E205" i="27"/>
  <c r="F205" i="27"/>
  <c r="D212" i="27" s="1"/>
  <c r="F208" i="27"/>
  <c r="D215" i="27" s="1"/>
  <c r="E208" i="27"/>
  <c r="W37" i="20" l="1"/>
  <c r="X37" i="20" s="1"/>
  <c r="V38" i="20" s="1"/>
  <c r="E216" i="27"/>
  <c r="F216" i="27"/>
  <c r="D223" i="27" s="1"/>
  <c r="F217" i="27"/>
  <c r="D224" i="27" s="1"/>
  <c r="E217" i="27"/>
  <c r="E215" i="27"/>
  <c r="F215" i="27"/>
  <c r="D222" i="27" s="1"/>
  <c r="E214" i="27"/>
  <c r="F214" i="27"/>
  <c r="D221" i="27" s="1"/>
  <c r="E212" i="27"/>
  <c r="F212" i="27"/>
  <c r="D219" i="27" s="1"/>
  <c r="E218" i="27"/>
  <c r="F218" i="27"/>
  <c r="D225" i="27" s="1"/>
  <c r="F213" i="27"/>
  <c r="D220" i="27" s="1"/>
  <c r="E213" i="27"/>
  <c r="W38" i="20" l="1"/>
  <c r="X38" i="20" s="1"/>
  <c r="V39" i="20" s="1"/>
  <c r="F221" i="27"/>
  <c r="D228" i="27" s="1"/>
  <c r="E221" i="27"/>
  <c r="E222" i="27"/>
  <c r="F222" i="27"/>
  <c r="D229" i="27" s="1"/>
  <c r="E220" i="27"/>
  <c r="F220" i="27"/>
  <c r="D227" i="27" s="1"/>
  <c r="E225" i="27"/>
  <c r="F225" i="27"/>
  <c r="D232" i="27" s="1"/>
  <c r="F224" i="27"/>
  <c r="D231" i="27" s="1"/>
  <c r="E224" i="27"/>
  <c r="F219" i="27"/>
  <c r="D226" i="27" s="1"/>
  <c r="E219" i="27"/>
  <c r="E223" i="27"/>
  <c r="F223" i="27"/>
  <c r="D230" i="27" s="1"/>
  <c r="W39" i="20" l="1"/>
  <c r="X39" i="20" s="1"/>
  <c r="V40" i="20" s="1"/>
  <c r="F232" i="27"/>
  <c r="D239" i="27" s="1"/>
  <c r="E232" i="27"/>
  <c r="E230" i="27"/>
  <c r="F230" i="27"/>
  <c r="D237" i="27" s="1"/>
  <c r="E227" i="27"/>
  <c r="F227" i="27"/>
  <c r="D234" i="27" s="1"/>
  <c r="E229" i="27"/>
  <c r="F229" i="27"/>
  <c r="D236" i="27" s="1"/>
  <c r="E226" i="27"/>
  <c r="F226" i="27"/>
  <c r="D233" i="27" s="1"/>
  <c r="F231" i="27"/>
  <c r="D238" i="27" s="1"/>
  <c r="E231" i="27"/>
  <c r="E228" i="27"/>
  <c r="F228" i="27"/>
  <c r="D235" i="27" s="1"/>
  <c r="W40" i="20" l="1"/>
  <c r="X40" i="20" s="1"/>
  <c r="V41" i="20" s="1"/>
  <c r="E236" i="27"/>
  <c r="F236" i="27"/>
  <c r="D243" i="27" s="1"/>
  <c r="E234" i="27"/>
  <c r="F234" i="27"/>
  <c r="D241" i="27" s="1"/>
  <c r="E235" i="27"/>
  <c r="F235" i="27"/>
  <c r="D242" i="27" s="1"/>
  <c r="E237" i="27"/>
  <c r="F237" i="27"/>
  <c r="D244" i="27" s="1"/>
  <c r="E238" i="27"/>
  <c r="F238" i="27"/>
  <c r="D245" i="27" s="1"/>
  <c r="E233" i="27"/>
  <c r="F233" i="27"/>
  <c r="D240" i="27" s="1"/>
  <c r="F239" i="27"/>
  <c r="D246" i="27" s="1"/>
  <c r="E239" i="27"/>
  <c r="W41" i="20" l="1"/>
  <c r="X41" i="20" s="1"/>
  <c r="V42" i="20" s="1"/>
  <c r="E244" i="27"/>
  <c r="F244" i="27"/>
  <c r="D251" i="27" s="1"/>
  <c r="E242" i="27"/>
  <c r="F242" i="27"/>
  <c r="D249" i="27" s="1"/>
  <c r="F246" i="27"/>
  <c r="D253" i="27" s="1"/>
  <c r="E246" i="27"/>
  <c r="E241" i="27"/>
  <c r="F241" i="27"/>
  <c r="D248" i="27" s="1"/>
  <c r="E245" i="27"/>
  <c r="F245" i="27"/>
  <c r="D252" i="27" s="1"/>
  <c r="E243" i="27"/>
  <c r="F243" i="27"/>
  <c r="D250" i="27" s="1"/>
  <c r="E240" i="27"/>
  <c r="F240" i="27"/>
  <c r="D247" i="27" s="1"/>
  <c r="W42" i="20" l="1"/>
  <c r="X42" i="20" s="1"/>
  <c r="V43" i="20" s="1"/>
  <c r="E248" i="27"/>
  <c r="F248" i="27"/>
  <c r="D255" i="27" s="1"/>
  <c r="E253" i="27"/>
  <c r="F253" i="27"/>
  <c r="D260" i="27" s="1"/>
  <c r="E247" i="27"/>
  <c r="F247" i="27"/>
  <c r="D254" i="27" s="1"/>
  <c r="E249" i="27"/>
  <c r="F249" i="27"/>
  <c r="D256" i="27" s="1"/>
  <c r="E250" i="27"/>
  <c r="F250" i="27"/>
  <c r="D257" i="27" s="1"/>
  <c r="E252" i="27"/>
  <c r="F252" i="27"/>
  <c r="D259" i="27" s="1"/>
  <c r="F251" i="27"/>
  <c r="D258" i="27" s="1"/>
  <c r="E251" i="27"/>
  <c r="W43" i="20" l="1"/>
  <c r="X43" i="20" s="1"/>
  <c r="V44" i="20" s="1"/>
  <c r="E256" i="27"/>
  <c r="F256" i="27"/>
  <c r="D263" i="27" s="1"/>
  <c r="E254" i="27"/>
  <c r="F254" i="27"/>
  <c r="D261" i="27" s="1"/>
  <c r="E258" i="27"/>
  <c r="F258" i="27"/>
  <c r="D265" i="27" s="1"/>
  <c r="E260" i="27"/>
  <c r="F260" i="27"/>
  <c r="D267" i="27" s="1"/>
  <c r="E259" i="27"/>
  <c r="F259" i="27"/>
  <c r="D266" i="27" s="1"/>
  <c r="E257" i="27"/>
  <c r="F257" i="27"/>
  <c r="D264" i="27" s="1"/>
  <c r="E255" i="27"/>
  <c r="F255" i="27"/>
  <c r="D262" i="27" s="1"/>
  <c r="W44" i="20" l="1"/>
  <c r="X44" i="20" s="1"/>
  <c r="V45" i="20" s="1"/>
  <c r="E267" i="27"/>
  <c r="F267" i="27"/>
  <c r="D274" i="27" s="1"/>
  <c r="E265" i="27"/>
  <c r="F265" i="27"/>
  <c r="D272" i="27" s="1"/>
  <c r="E262" i="27"/>
  <c r="F262" i="27"/>
  <c r="D269" i="27" s="1"/>
  <c r="E261" i="27"/>
  <c r="F261" i="27"/>
  <c r="D268" i="27" s="1"/>
  <c r="E264" i="27"/>
  <c r="F264" i="27"/>
  <c r="D271" i="27" s="1"/>
  <c r="E266" i="27"/>
  <c r="F266" i="27"/>
  <c r="D273" i="27" s="1"/>
  <c r="E263" i="27"/>
  <c r="F263" i="27"/>
  <c r="D270" i="27" s="1"/>
  <c r="W45" i="20" l="1"/>
  <c r="X45" i="20" s="1"/>
  <c r="V46" i="20" s="1"/>
  <c r="F268" i="27"/>
  <c r="D275" i="27" s="1"/>
  <c r="E268" i="27"/>
  <c r="E269" i="27"/>
  <c r="F269" i="27"/>
  <c r="D276" i="27" s="1"/>
  <c r="E270" i="27"/>
  <c r="F270" i="27"/>
  <c r="D277" i="27" s="1"/>
  <c r="E272" i="27"/>
  <c r="F272" i="27"/>
  <c r="D279" i="27" s="1"/>
  <c r="E273" i="27"/>
  <c r="F273" i="27"/>
  <c r="D280" i="27" s="1"/>
  <c r="E271" i="27"/>
  <c r="F271" i="27"/>
  <c r="D278" i="27" s="1"/>
  <c r="E274" i="27"/>
  <c r="F274" i="27"/>
  <c r="D281" i="27" s="1"/>
  <c r="W46" i="20" l="1"/>
  <c r="X46" i="20" s="1"/>
  <c r="V47" i="20" s="1"/>
  <c r="E279" i="27"/>
  <c r="F279" i="27"/>
  <c r="D286" i="27" s="1"/>
  <c r="E277" i="27"/>
  <c r="F277" i="27"/>
  <c r="D284" i="27" s="1"/>
  <c r="E281" i="27"/>
  <c r="F281" i="27"/>
  <c r="D288" i="27" s="1"/>
  <c r="F276" i="27"/>
  <c r="D283" i="27" s="1"/>
  <c r="E276" i="27"/>
  <c r="F280" i="27"/>
  <c r="D287" i="27" s="1"/>
  <c r="E280" i="27"/>
  <c r="E278" i="27"/>
  <c r="F278" i="27"/>
  <c r="D285" i="27" s="1"/>
  <c r="F275" i="27"/>
  <c r="D282" i="27" s="1"/>
  <c r="E275" i="27"/>
  <c r="W47" i="20" l="1"/>
  <c r="X47" i="20" s="1"/>
  <c r="V48" i="20" s="1"/>
  <c r="E288" i="27"/>
  <c r="F288" i="27"/>
  <c r="D295" i="27" s="1"/>
  <c r="E282" i="27"/>
  <c r="F282" i="27"/>
  <c r="D289" i="27" s="1"/>
  <c r="E285" i="27"/>
  <c r="F285" i="27"/>
  <c r="D292" i="27" s="1"/>
  <c r="E284" i="27"/>
  <c r="F284" i="27"/>
  <c r="D291" i="27" s="1"/>
  <c r="F286" i="27"/>
  <c r="D293" i="27" s="1"/>
  <c r="E286" i="27"/>
  <c r="E283" i="27"/>
  <c r="F283" i="27"/>
  <c r="D290" i="27" s="1"/>
  <c r="E287" i="27"/>
  <c r="F287" i="27"/>
  <c r="D294" i="27" s="1"/>
  <c r="W48" i="20" l="1"/>
  <c r="X48" i="20" s="1"/>
  <c r="V49" i="20" s="1"/>
  <c r="F291" i="27"/>
  <c r="D298" i="27" s="1"/>
  <c r="E291" i="27"/>
  <c r="E292" i="27"/>
  <c r="F292" i="27"/>
  <c r="D299" i="27" s="1"/>
  <c r="E294" i="27"/>
  <c r="F294" i="27"/>
  <c r="D301" i="27" s="1"/>
  <c r="F289" i="27"/>
  <c r="D296" i="27" s="1"/>
  <c r="E289" i="27"/>
  <c r="E295" i="27"/>
  <c r="F295" i="27"/>
  <c r="D302" i="27" s="1"/>
  <c r="E290" i="27"/>
  <c r="F290" i="27"/>
  <c r="D297" i="27" s="1"/>
  <c r="F293" i="27"/>
  <c r="D300" i="27" s="1"/>
  <c r="E293" i="27"/>
  <c r="W49" i="20" l="1"/>
  <c r="X49" i="20" s="1"/>
  <c r="V50" i="20" s="1"/>
  <c r="E301" i="27"/>
  <c r="F301" i="27"/>
  <c r="D308" i="27" s="1"/>
  <c r="E300" i="27"/>
  <c r="F300" i="27"/>
  <c r="D307" i="27" s="1"/>
  <c r="E299" i="27"/>
  <c r="F299" i="27"/>
  <c r="D306" i="27" s="1"/>
  <c r="E296" i="27"/>
  <c r="F296" i="27"/>
  <c r="D303" i="27" s="1"/>
  <c r="F302" i="27"/>
  <c r="D309" i="27" s="1"/>
  <c r="E302" i="27"/>
  <c r="E297" i="27"/>
  <c r="F297" i="27"/>
  <c r="D304" i="27" s="1"/>
  <c r="E298" i="27"/>
  <c r="F298" i="27"/>
  <c r="D305" i="27" s="1"/>
  <c r="W50" i="20" l="1"/>
  <c r="X50" i="20" s="1"/>
  <c r="V51" i="20" s="1"/>
  <c r="E303" i="27"/>
  <c r="F303" i="27"/>
  <c r="D310" i="27" s="1"/>
  <c r="F306" i="27"/>
  <c r="D313" i="27" s="1"/>
  <c r="E306" i="27"/>
  <c r="E305" i="27"/>
  <c r="F305" i="27"/>
  <c r="D312" i="27" s="1"/>
  <c r="E307" i="27"/>
  <c r="F307" i="27"/>
  <c r="D314" i="27" s="1"/>
  <c r="E304" i="27"/>
  <c r="F304" i="27"/>
  <c r="D311" i="27" s="1"/>
  <c r="F308" i="27"/>
  <c r="D315" i="27" s="1"/>
  <c r="E308" i="27"/>
  <c r="E309" i="27"/>
  <c r="F309" i="27"/>
  <c r="D316" i="27" s="1"/>
  <c r="W51" i="20" l="1"/>
  <c r="X51" i="20" s="1"/>
  <c r="V52" i="20" s="1"/>
  <c r="F314" i="27"/>
  <c r="D321" i="27" s="1"/>
  <c r="E314" i="27"/>
  <c r="E312" i="27"/>
  <c r="F312" i="27"/>
  <c r="D319" i="27" s="1"/>
  <c r="F315" i="27"/>
  <c r="D322" i="27" s="1"/>
  <c r="E315" i="27"/>
  <c r="E313" i="27"/>
  <c r="F313" i="27"/>
  <c r="D320" i="27" s="1"/>
  <c r="F311" i="27"/>
  <c r="D318" i="27" s="1"/>
  <c r="E311" i="27"/>
  <c r="E310" i="27"/>
  <c r="F310" i="27"/>
  <c r="D317" i="27" s="1"/>
  <c r="F316" i="27"/>
  <c r="D323" i="27" s="1"/>
  <c r="E316" i="27"/>
  <c r="W52" i="20" l="1"/>
  <c r="X52" i="20" s="1"/>
  <c r="V53" i="20" s="1"/>
  <c r="F320" i="27"/>
  <c r="D327" i="27" s="1"/>
  <c r="E320" i="27"/>
  <c r="E323" i="27"/>
  <c r="F323" i="27"/>
  <c r="D330" i="27" s="1"/>
  <c r="F322" i="27"/>
  <c r="D329" i="27" s="1"/>
  <c r="E322" i="27"/>
  <c r="F317" i="27"/>
  <c r="D324" i="27" s="1"/>
  <c r="E317" i="27"/>
  <c r="E319" i="27"/>
  <c r="F319" i="27"/>
  <c r="D326" i="27" s="1"/>
  <c r="E318" i="27"/>
  <c r="F318" i="27"/>
  <c r="D325" i="27" s="1"/>
  <c r="E321" i="27"/>
  <c r="F321" i="27"/>
  <c r="D328" i="27" s="1"/>
  <c r="W53" i="20" l="1"/>
  <c r="X53" i="20" s="1"/>
  <c r="V54" i="20" s="1"/>
  <c r="E328" i="27"/>
  <c r="F328" i="27"/>
  <c r="D335" i="27" s="1"/>
  <c r="E324" i="27"/>
  <c r="F324" i="27"/>
  <c r="D331" i="27" s="1"/>
  <c r="F329" i="27"/>
  <c r="D336" i="27" s="1"/>
  <c r="E329" i="27"/>
  <c r="F325" i="27"/>
  <c r="D332" i="27" s="1"/>
  <c r="E325" i="27"/>
  <c r="E330" i="27"/>
  <c r="F330" i="27"/>
  <c r="D337" i="27" s="1"/>
  <c r="E326" i="27"/>
  <c r="F326" i="27"/>
  <c r="D333" i="27" s="1"/>
  <c r="E327" i="27"/>
  <c r="F327" i="27"/>
  <c r="D334" i="27" s="1"/>
  <c r="W54" i="20" l="1"/>
  <c r="X54" i="20" s="1"/>
  <c r="V55" i="20" s="1"/>
  <c r="E332" i="27"/>
  <c r="F332" i="27"/>
  <c r="D339" i="27" s="1"/>
  <c r="E334" i="27"/>
  <c r="F334" i="27"/>
  <c r="D341" i="27" s="1"/>
  <c r="E336" i="27"/>
  <c r="F336" i="27"/>
  <c r="D343" i="27" s="1"/>
  <c r="E333" i="27"/>
  <c r="F333" i="27"/>
  <c r="D340" i="27" s="1"/>
  <c r="E331" i="27"/>
  <c r="F331" i="27"/>
  <c r="D338" i="27" s="1"/>
  <c r="F337" i="27"/>
  <c r="D344" i="27" s="1"/>
  <c r="E337" i="27"/>
  <c r="F335" i="27"/>
  <c r="D342" i="27" s="1"/>
  <c r="E335" i="27"/>
  <c r="W55" i="20" l="1"/>
  <c r="X55" i="20" s="1"/>
  <c r="V56" i="20" s="1"/>
  <c r="E340" i="27"/>
  <c r="F340" i="27"/>
  <c r="D347" i="27" s="1"/>
  <c r="F343" i="27"/>
  <c r="D350" i="27" s="1"/>
  <c r="E343" i="27"/>
  <c r="F342" i="27"/>
  <c r="D349" i="27" s="1"/>
  <c r="E342" i="27"/>
  <c r="E341" i="27"/>
  <c r="F341" i="27"/>
  <c r="D348" i="27" s="1"/>
  <c r="E344" i="27"/>
  <c r="F344" i="27"/>
  <c r="D351" i="27" s="1"/>
  <c r="F338" i="27"/>
  <c r="D345" i="27" s="1"/>
  <c r="E338" i="27"/>
  <c r="E339" i="27"/>
  <c r="F339" i="27"/>
  <c r="D346" i="27" s="1"/>
  <c r="W56" i="20" l="1"/>
  <c r="X56" i="20" s="1"/>
  <c r="V57" i="20" s="1"/>
  <c r="E348" i="27"/>
  <c r="F348" i="27"/>
  <c r="D355" i="27" s="1"/>
  <c r="F346" i="27"/>
  <c r="D353" i="27" s="1"/>
  <c r="E346" i="27"/>
  <c r="E349" i="27"/>
  <c r="F349" i="27"/>
  <c r="D356" i="27" s="1"/>
  <c r="E345" i="27"/>
  <c r="F345" i="27"/>
  <c r="D352" i="27" s="1"/>
  <c r="F350" i="27"/>
  <c r="D357" i="27" s="1"/>
  <c r="E350" i="27"/>
  <c r="F351" i="27"/>
  <c r="D358" i="27" s="1"/>
  <c r="E351" i="27"/>
  <c r="E347" i="27"/>
  <c r="F347" i="27"/>
  <c r="D354" i="27" s="1"/>
  <c r="W57" i="20" l="1"/>
  <c r="X57" i="20" s="1"/>
  <c r="V58" i="20" s="1"/>
  <c r="E352" i="27"/>
  <c r="F352" i="27"/>
  <c r="D359" i="27" s="1"/>
  <c r="E356" i="27"/>
  <c r="F356" i="27"/>
  <c r="D363" i="27" s="1"/>
  <c r="E354" i="27"/>
  <c r="F354" i="27"/>
  <c r="D361" i="27" s="1"/>
  <c r="E358" i="27"/>
  <c r="F358" i="27"/>
  <c r="D365" i="27" s="1"/>
  <c r="E353" i="27"/>
  <c r="F353" i="27"/>
  <c r="D360" i="27" s="1"/>
  <c r="E355" i="27"/>
  <c r="F355" i="27"/>
  <c r="D362" i="27" s="1"/>
  <c r="E357" i="27"/>
  <c r="F357" i="27"/>
  <c r="D364" i="27" s="1"/>
  <c r="W58" i="20" l="1"/>
  <c r="X58" i="20" s="1"/>
  <c r="V59" i="20" s="1"/>
  <c r="F365" i="27"/>
  <c r="D372" i="27" s="1"/>
  <c r="E365" i="27"/>
  <c r="E361" i="27"/>
  <c r="F361" i="27"/>
  <c r="D368" i="27" s="1"/>
  <c r="E364" i="27"/>
  <c r="F364" i="27"/>
  <c r="D371" i="27" s="1"/>
  <c r="E363" i="27"/>
  <c r="F363" i="27"/>
  <c r="D370" i="27" s="1"/>
  <c r="E360" i="27"/>
  <c r="F360" i="27"/>
  <c r="D367" i="27" s="1"/>
  <c r="E359" i="27"/>
  <c r="F359" i="27"/>
  <c r="D366" i="27" s="1"/>
  <c r="F362" i="27"/>
  <c r="D369" i="27" s="1"/>
  <c r="E362" i="27"/>
  <c r="W59" i="20" l="1"/>
  <c r="X59" i="20" s="1"/>
  <c r="V60" i="20" s="1"/>
  <c r="F370" i="27"/>
  <c r="D377" i="27" s="1"/>
  <c r="E370" i="27"/>
  <c r="F371" i="27"/>
  <c r="D378" i="27" s="1"/>
  <c r="E371" i="27"/>
  <c r="E369" i="27"/>
  <c r="F369" i="27"/>
  <c r="D376" i="27" s="1"/>
  <c r="F368" i="27"/>
  <c r="D375" i="27" s="1"/>
  <c r="E368" i="27"/>
  <c r="E367" i="27"/>
  <c r="F367" i="27"/>
  <c r="D374" i="27" s="1"/>
  <c r="E366" i="27"/>
  <c r="F366" i="27"/>
  <c r="D373" i="27" s="1"/>
  <c r="E372" i="27"/>
  <c r="F372" i="27"/>
  <c r="D379" i="27" s="1"/>
  <c r="W60" i="20" l="1"/>
  <c r="X60" i="20" s="1"/>
  <c r="V61" i="20" s="1"/>
  <c r="E376" i="27"/>
  <c r="F376" i="27"/>
  <c r="D383" i="27" s="1"/>
  <c r="E379" i="27"/>
  <c r="F379" i="27"/>
  <c r="D386" i="27" s="1"/>
  <c r="E373" i="27"/>
  <c r="F373" i="27"/>
  <c r="D380" i="27" s="1"/>
  <c r="E375" i="27"/>
  <c r="F375" i="27"/>
  <c r="D382" i="27" s="1"/>
  <c r="F378" i="27"/>
  <c r="D385" i="27" s="1"/>
  <c r="E378" i="27"/>
  <c r="E374" i="27"/>
  <c r="F374" i="27"/>
  <c r="D381" i="27" s="1"/>
  <c r="E377" i="27"/>
  <c r="F377" i="27"/>
  <c r="D384" i="27" s="1"/>
  <c r="W61" i="20" l="1"/>
  <c r="X61" i="20" s="1"/>
  <c r="V62" i="20" s="1"/>
  <c r="E382" i="27"/>
  <c r="F382" i="27"/>
  <c r="D389" i="27" s="1"/>
  <c r="E386" i="27"/>
  <c r="F386" i="27"/>
  <c r="D393" i="27" s="1"/>
  <c r="E384" i="27"/>
  <c r="F384" i="27"/>
  <c r="D391" i="27" s="1"/>
  <c r="E381" i="27"/>
  <c r="F381" i="27"/>
  <c r="D388" i="27" s="1"/>
  <c r="E383" i="27"/>
  <c r="F383" i="27"/>
  <c r="D390" i="27" s="1"/>
  <c r="E380" i="27"/>
  <c r="F380" i="27"/>
  <c r="D387" i="27" s="1"/>
  <c r="E385" i="27"/>
  <c r="F385" i="27"/>
  <c r="D392" i="27" s="1"/>
  <c r="W62" i="20" l="1"/>
  <c r="X62" i="20" s="1"/>
  <c r="E388" i="27"/>
  <c r="F388" i="27"/>
  <c r="D395" i="27" s="1"/>
  <c r="E392" i="27"/>
  <c r="F392" i="27"/>
  <c r="D399" i="27" s="1"/>
  <c r="E393" i="27"/>
  <c r="F393" i="27"/>
  <c r="D400" i="27" s="1"/>
  <c r="F387" i="27"/>
  <c r="D394" i="27" s="1"/>
  <c r="E387" i="27"/>
  <c r="E391" i="27"/>
  <c r="F391" i="27"/>
  <c r="D398" i="27" s="1"/>
  <c r="E390" i="27"/>
  <c r="F390" i="27"/>
  <c r="D397" i="27" s="1"/>
  <c r="E389" i="27"/>
  <c r="F389" i="27"/>
  <c r="D396" i="27" s="1"/>
  <c r="V63" i="20" l="1"/>
  <c r="W63" i="20" s="1"/>
  <c r="X63" i="20" s="1"/>
  <c r="V64" i="20" s="1"/>
  <c r="W64" i="20" s="1"/>
  <c r="X64" i="20" s="1"/>
  <c r="V65" i="20" s="1"/>
  <c r="E396" i="27"/>
  <c r="F396" i="27"/>
  <c r="D403" i="27" s="1"/>
  <c r="E400" i="27"/>
  <c r="F400" i="27"/>
  <c r="D407" i="27" s="1"/>
  <c r="E397" i="27"/>
  <c r="F397" i="27"/>
  <c r="D404" i="27" s="1"/>
  <c r="E399" i="27"/>
  <c r="F399" i="27"/>
  <c r="D406" i="27" s="1"/>
  <c r="F398" i="27"/>
  <c r="D405" i="27" s="1"/>
  <c r="E398" i="27"/>
  <c r="F394" i="27"/>
  <c r="D401" i="27" s="1"/>
  <c r="E394" i="27"/>
  <c r="E395" i="27"/>
  <c r="F395" i="27"/>
  <c r="D402" i="27" s="1"/>
  <c r="W65" i="20" l="1"/>
  <c r="X65" i="20" s="1"/>
  <c r="V66" i="20" s="1"/>
  <c r="E402" i="27"/>
  <c r="F402" i="27"/>
  <c r="D409" i="27" s="1"/>
  <c r="E404" i="27"/>
  <c r="F404" i="27"/>
  <c r="D411" i="27" s="1"/>
  <c r="E406" i="27"/>
  <c r="F406" i="27"/>
  <c r="D413" i="27" s="1"/>
  <c r="E407" i="27"/>
  <c r="F407" i="27"/>
  <c r="D414" i="27" s="1"/>
  <c r="E401" i="27"/>
  <c r="F401" i="27"/>
  <c r="D408" i="27" s="1"/>
  <c r="E403" i="27"/>
  <c r="F403" i="27"/>
  <c r="D410" i="27" s="1"/>
  <c r="E405" i="27"/>
  <c r="F405" i="27"/>
  <c r="D412" i="27" s="1"/>
  <c r="W66" i="20" l="1"/>
  <c r="X66" i="20" s="1"/>
  <c r="V67" i="20" s="1"/>
  <c r="E414" i="27"/>
  <c r="F414" i="27"/>
  <c r="D421" i="27" s="1"/>
  <c r="E412" i="27"/>
  <c r="F412" i="27"/>
  <c r="D419" i="27" s="1"/>
  <c r="E413" i="27"/>
  <c r="F413" i="27"/>
  <c r="D420" i="27" s="1"/>
  <c r="E411" i="27"/>
  <c r="F411" i="27"/>
  <c r="D418" i="27" s="1"/>
  <c r="E410" i="27"/>
  <c r="F410" i="27"/>
  <c r="D417" i="27" s="1"/>
  <c r="E408" i="27"/>
  <c r="F408" i="27"/>
  <c r="D415" i="27" s="1"/>
  <c r="F409" i="27"/>
  <c r="D416" i="27" s="1"/>
  <c r="E409" i="27"/>
  <c r="W67" i="20" l="1"/>
  <c r="X67" i="20" s="1"/>
  <c r="V68" i="20" s="1"/>
  <c r="E418" i="27"/>
  <c r="F418" i="27"/>
  <c r="D425" i="27" s="1"/>
  <c r="E420" i="27"/>
  <c r="F420" i="27"/>
  <c r="D427" i="27" s="1"/>
  <c r="E416" i="27"/>
  <c r="F416" i="27"/>
  <c r="D423" i="27" s="1"/>
  <c r="F415" i="27"/>
  <c r="D422" i="27" s="1"/>
  <c r="E415" i="27"/>
  <c r="E419" i="27"/>
  <c r="F419" i="27"/>
  <c r="D426" i="27" s="1"/>
  <c r="E417" i="27"/>
  <c r="F417" i="27"/>
  <c r="D424" i="27" s="1"/>
  <c r="E421" i="27"/>
  <c r="F421" i="27"/>
  <c r="D428" i="27" s="1"/>
  <c r="W68" i="20" l="1"/>
  <c r="X68" i="20" s="1"/>
  <c r="V69" i="20" s="1"/>
  <c r="F423" i="27"/>
  <c r="D430" i="27" s="1"/>
  <c r="E423" i="27"/>
  <c r="E424" i="27"/>
  <c r="F424" i="27"/>
  <c r="D431" i="27" s="1"/>
  <c r="F427" i="27"/>
  <c r="D434" i="27" s="1"/>
  <c r="E427" i="27"/>
  <c r="E422" i="27"/>
  <c r="F422" i="27"/>
  <c r="D429" i="27" s="1"/>
  <c r="E426" i="27"/>
  <c r="F426" i="27"/>
  <c r="D433" i="27" s="1"/>
  <c r="E425" i="27"/>
  <c r="F425" i="27"/>
  <c r="D432" i="27" s="1"/>
  <c r="E428" i="27"/>
  <c r="F428" i="27"/>
  <c r="D435" i="27" s="1"/>
  <c r="W69" i="20" l="1"/>
  <c r="X69" i="20" s="1"/>
  <c r="V70" i="20" s="1"/>
  <c r="E429" i="27"/>
  <c r="F429" i="27"/>
  <c r="D436" i="27" s="1"/>
  <c r="F435" i="27"/>
  <c r="D442" i="27" s="1"/>
  <c r="E435" i="27"/>
  <c r="E434" i="27"/>
  <c r="F434" i="27"/>
  <c r="D441" i="27" s="1"/>
  <c r="F432" i="27"/>
  <c r="D439" i="27" s="1"/>
  <c r="E432" i="27"/>
  <c r="E431" i="27"/>
  <c r="F431" i="27"/>
  <c r="D438" i="27" s="1"/>
  <c r="E433" i="27"/>
  <c r="F433" i="27"/>
  <c r="D440" i="27" s="1"/>
  <c r="F430" i="27"/>
  <c r="D437" i="27" s="1"/>
  <c r="E430" i="27"/>
  <c r="W70" i="20" l="1"/>
  <c r="X70" i="20" s="1"/>
  <c r="E441" i="27"/>
  <c r="F441" i="27"/>
  <c r="D448" i="27" s="1"/>
  <c r="E437" i="27"/>
  <c r="F437" i="27"/>
  <c r="D444" i="27" s="1"/>
  <c r="E439" i="27"/>
  <c r="F439" i="27"/>
  <c r="D446" i="27" s="1"/>
  <c r="E440" i="27"/>
  <c r="F440" i="27"/>
  <c r="D447" i="27" s="1"/>
  <c r="E442" i="27"/>
  <c r="F442" i="27"/>
  <c r="D449" i="27" s="1"/>
  <c r="E436" i="27"/>
  <c r="F436" i="27"/>
  <c r="D443" i="27" s="1"/>
  <c r="E438" i="27"/>
  <c r="F438" i="27"/>
  <c r="D445" i="27" s="1"/>
  <c r="V71" i="20" l="1"/>
  <c r="W71" i="20" s="1"/>
  <c r="X71" i="20" s="1"/>
  <c r="V72" i="20" s="1"/>
  <c r="W72" i="20" s="1"/>
  <c r="X72" i="20" s="1"/>
  <c r="V73" i="20" s="1"/>
  <c r="F447" i="27"/>
  <c r="D454" i="27" s="1"/>
  <c r="E447" i="27"/>
  <c r="E446" i="27"/>
  <c r="F446" i="27"/>
  <c r="D453" i="27" s="1"/>
  <c r="E443" i="27"/>
  <c r="F443" i="27"/>
  <c r="D450" i="27" s="1"/>
  <c r="E444" i="27"/>
  <c r="F444" i="27"/>
  <c r="D451" i="27" s="1"/>
  <c r="E445" i="27"/>
  <c r="F445" i="27"/>
  <c r="D452" i="27" s="1"/>
  <c r="F448" i="27"/>
  <c r="D455" i="27" s="1"/>
  <c r="E448" i="27"/>
  <c r="E449" i="27"/>
  <c r="F449" i="27"/>
  <c r="D456" i="27" s="1"/>
  <c r="W73" i="20" l="1"/>
  <c r="X73" i="20" s="1"/>
  <c r="V74" i="20" s="1"/>
  <c r="E451" i="27"/>
  <c r="F451" i="27"/>
  <c r="D458" i="27" s="1"/>
  <c r="E450" i="27"/>
  <c r="F450" i="27"/>
  <c r="D457" i="27" s="1"/>
  <c r="F456" i="27"/>
  <c r="D463" i="27" s="1"/>
  <c r="E456" i="27"/>
  <c r="E453" i="27"/>
  <c r="F453" i="27"/>
  <c r="D460" i="27" s="1"/>
  <c r="F455" i="27"/>
  <c r="D462" i="27" s="1"/>
  <c r="E455" i="27"/>
  <c r="E452" i="27"/>
  <c r="F452" i="27"/>
  <c r="D459" i="27" s="1"/>
  <c r="E454" i="27"/>
  <c r="F454" i="27"/>
  <c r="D461" i="27" s="1"/>
  <c r="W74" i="20" l="1"/>
  <c r="X74" i="20" s="1"/>
  <c r="V75" i="20" s="1"/>
  <c r="E460" i="27"/>
  <c r="F460" i="27"/>
  <c r="D467" i="27" s="1"/>
  <c r="E463" i="27"/>
  <c r="F463" i="27"/>
  <c r="D470" i="27" s="1"/>
  <c r="E459" i="27"/>
  <c r="F459" i="27"/>
  <c r="D466" i="27" s="1"/>
  <c r="E457" i="27"/>
  <c r="F457" i="27"/>
  <c r="D464" i="27" s="1"/>
  <c r="E461" i="27"/>
  <c r="F461" i="27"/>
  <c r="D468" i="27" s="1"/>
  <c r="E458" i="27"/>
  <c r="F458" i="27"/>
  <c r="D465" i="27" s="1"/>
  <c r="E462" i="27"/>
  <c r="F462" i="27"/>
  <c r="D469" i="27" s="1"/>
  <c r="W75" i="20" l="1"/>
  <c r="X75" i="20" s="1"/>
  <c r="V76" i="20" s="1"/>
  <c r="F464" i="27"/>
  <c r="D471" i="27" s="1"/>
  <c r="E464" i="27"/>
  <c r="E466" i="27"/>
  <c r="F466" i="27"/>
  <c r="D473" i="27" s="1"/>
  <c r="E469" i="27"/>
  <c r="F469" i="27"/>
  <c r="D476" i="27" s="1"/>
  <c r="E465" i="27"/>
  <c r="F465" i="27"/>
  <c r="D472" i="27" s="1"/>
  <c r="E470" i="27"/>
  <c r="F470" i="27"/>
  <c r="D477" i="27" s="1"/>
  <c r="E467" i="27"/>
  <c r="F467" i="27"/>
  <c r="D474" i="27" s="1"/>
  <c r="F468" i="27"/>
  <c r="D475" i="27" s="1"/>
  <c r="E468" i="27"/>
  <c r="W76" i="20" l="1"/>
  <c r="X76" i="20" s="1"/>
  <c r="V77" i="20" s="1"/>
  <c r="E472" i="27"/>
  <c r="F472" i="27"/>
  <c r="D479" i="27" s="1"/>
  <c r="E476" i="27"/>
  <c r="F476" i="27"/>
  <c r="D483" i="27" s="1"/>
  <c r="E475" i="27"/>
  <c r="F475" i="27"/>
  <c r="D482" i="27" s="1"/>
  <c r="F474" i="27"/>
  <c r="D481" i="27" s="1"/>
  <c r="E474" i="27"/>
  <c r="E473" i="27"/>
  <c r="F473" i="27"/>
  <c r="D480" i="27" s="1"/>
  <c r="E477" i="27"/>
  <c r="F477" i="27"/>
  <c r="D484" i="27" s="1"/>
  <c r="E471" i="27"/>
  <c r="F471" i="27"/>
  <c r="D478" i="27" s="1"/>
  <c r="W77" i="20" l="1"/>
  <c r="X77" i="20" s="1"/>
  <c r="V78" i="20" s="1"/>
  <c r="E481" i="27"/>
  <c r="F481" i="27"/>
  <c r="D488" i="27" s="1"/>
  <c r="F482" i="27"/>
  <c r="D489" i="27" s="1"/>
  <c r="E482" i="27"/>
  <c r="E478" i="27"/>
  <c r="F478" i="27"/>
  <c r="D485" i="27" s="1"/>
  <c r="E484" i="27"/>
  <c r="F484" i="27"/>
  <c r="D491" i="27" s="1"/>
  <c r="E483" i="27"/>
  <c r="F483" i="27"/>
  <c r="D490" i="27" s="1"/>
  <c r="E480" i="27"/>
  <c r="F480" i="27"/>
  <c r="D487" i="27" s="1"/>
  <c r="E479" i="27"/>
  <c r="F479" i="27"/>
  <c r="D486" i="27" s="1"/>
  <c r="W78" i="20" l="1"/>
  <c r="X78" i="20" s="1"/>
  <c r="V79" i="20" s="1"/>
  <c r="E485" i="27"/>
  <c r="F485" i="27"/>
  <c r="D492" i="27" s="1"/>
  <c r="E486" i="27"/>
  <c r="F486" i="27"/>
  <c r="D493" i="27" s="1"/>
  <c r="E487" i="27"/>
  <c r="F487" i="27"/>
  <c r="D494" i="27" s="1"/>
  <c r="E491" i="27"/>
  <c r="F491" i="27"/>
  <c r="D498" i="27" s="1"/>
  <c r="E489" i="27"/>
  <c r="F489" i="27"/>
  <c r="D496" i="27" s="1"/>
  <c r="E490" i="27"/>
  <c r="F490" i="27"/>
  <c r="D497" i="27" s="1"/>
  <c r="E488" i="27"/>
  <c r="F488" i="27"/>
  <c r="D495" i="27" s="1"/>
  <c r="W79" i="20" l="1"/>
  <c r="X79" i="20" s="1"/>
  <c r="V80" i="20" s="1"/>
  <c r="E494" i="27"/>
  <c r="F494" i="27"/>
  <c r="D501" i="27" s="1"/>
  <c r="E495" i="27"/>
  <c r="F495" i="27"/>
  <c r="D502" i="27" s="1"/>
  <c r="E498" i="27"/>
  <c r="F498" i="27"/>
  <c r="D505" i="27" s="1"/>
  <c r="E497" i="27"/>
  <c r="F497" i="27"/>
  <c r="D504" i="27" s="1"/>
  <c r="E493" i="27"/>
  <c r="F493" i="27"/>
  <c r="D500" i="27" s="1"/>
  <c r="F496" i="27"/>
  <c r="D503" i="27" s="1"/>
  <c r="E496" i="27"/>
  <c r="E492" i="27"/>
  <c r="F492" i="27"/>
  <c r="D499" i="27" s="1"/>
  <c r="W80" i="20" l="1"/>
  <c r="X80" i="20" s="1"/>
  <c r="V81" i="20" s="1"/>
  <c r="E505" i="27"/>
  <c r="F505" i="27"/>
  <c r="D512" i="27" s="1"/>
  <c r="E499" i="27"/>
  <c r="F499" i="27"/>
  <c r="D506" i="27" s="1"/>
  <c r="E504" i="27"/>
  <c r="F504" i="27"/>
  <c r="D511" i="27" s="1"/>
  <c r="E502" i="27"/>
  <c r="F502" i="27"/>
  <c r="D509" i="27" s="1"/>
  <c r="E503" i="27"/>
  <c r="F503" i="27"/>
  <c r="D510" i="27" s="1"/>
  <c r="E500" i="27"/>
  <c r="F500" i="27"/>
  <c r="D507" i="27" s="1"/>
  <c r="E501" i="27"/>
  <c r="F501" i="27"/>
  <c r="D508" i="27" s="1"/>
  <c r="W81" i="20" l="1"/>
  <c r="X81" i="20" s="1"/>
  <c r="V82" i="20" s="1"/>
  <c r="E511" i="27"/>
  <c r="F511" i="27"/>
  <c r="D518" i="27" s="1"/>
  <c r="F509" i="27"/>
  <c r="D516" i="27" s="1"/>
  <c r="E509" i="27"/>
  <c r="F508" i="27"/>
  <c r="D515" i="27" s="1"/>
  <c r="E508" i="27"/>
  <c r="E507" i="27"/>
  <c r="F507" i="27"/>
  <c r="D514" i="27" s="1"/>
  <c r="E506" i="27"/>
  <c r="F506" i="27"/>
  <c r="D513" i="27" s="1"/>
  <c r="E510" i="27"/>
  <c r="F510" i="27"/>
  <c r="D517" i="27" s="1"/>
  <c r="E512" i="27"/>
  <c r="F512" i="27"/>
  <c r="D519" i="27" s="1"/>
  <c r="W82" i="20" l="1"/>
  <c r="X82" i="20" s="1"/>
  <c r="V83" i="20" s="1"/>
  <c r="F515" i="27"/>
  <c r="D522" i="27" s="1"/>
  <c r="E515" i="27"/>
  <c r="E514" i="27"/>
  <c r="F514" i="27"/>
  <c r="D521" i="27" s="1"/>
  <c r="E517" i="27"/>
  <c r="F517" i="27"/>
  <c r="D524" i="27" s="1"/>
  <c r="E516" i="27"/>
  <c r="F516" i="27"/>
  <c r="D523" i="27" s="1"/>
  <c r="E519" i="27"/>
  <c r="F519" i="27"/>
  <c r="D526" i="27" s="1"/>
  <c r="E513" i="27"/>
  <c r="F513" i="27"/>
  <c r="D520" i="27" s="1"/>
  <c r="E518" i="27"/>
  <c r="F518" i="27"/>
  <c r="D525" i="27" s="1"/>
  <c r="W83" i="20" l="1"/>
  <c r="X83" i="20" s="1"/>
  <c r="V84" i="20" s="1"/>
  <c r="E524" i="27"/>
  <c r="F524" i="27"/>
  <c r="D531" i="27" s="1"/>
  <c r="F523" i="27"/>
  <c r="D530" i="27" s="1"/>
  <c r="E523" i="27"/>
  <c r="E525" i="27"/>
  <c r="F525" i="27"/>
  <c r="D532" i="27" s="1"/>
  <c r="E520" i="27"/>
  <c r="F520" i="27"/>
  <c r="D527" i="27" s="1"/>
  <c r="E521" i="27"/>
  <c r="F521" i="27"/>
  <c r="D528" i="27" s="1"/>
  <c r="E526" i="27"/>
  <c r="F526" i="27"/>
  <c r="D533" i="27" s="1"/>
  <c r="F522" i="27"/>
  <c r="D529" i="27" s="1"/>
  <c r="E522" i="27"/>
  <c r="W84" i="20" l="1"/>
  <c r="X84" i="20" s="1"/>
  <c r="V85" i="20" s="1"/>
  <c r="E527" i="27"/>
  <c r="F527" i="27"/>
  <c r="D534" i="27" s="1"/>
  <c r="F532" i="27"/>
  <c r="D539" i="27" s="1"/>
  <c r="E532" i="27"/>
  <c r="E529" i="27"/>
  <c r="F529" i="27"/>
  <c r="D536" i="27" s="1"/>
  <c r="F533" i="27"/>
  <c r="D540" i="27" s="1"/>
  <c r="E533" i="27"/>
  <c r="E530" i="27"/>
  <c r="F530" i="27"/>
  <c r="D537" i="27" s="1"/>
  <c r="E528" i="27"/>
  <c r="F528" i="27"/>
  <c r="D535" i="27" s="1"/>
  <c r="E531" i="27"/>
  <c r="F531" i="27"/>
  <c r="D538" i="27" s="1"/>
  <c r="W85" i="20" l="1"/>
  <c r="X85" i="20" s="1"/>
  <c r="V86" i="20" s="1"/>
  <c r="F540" i="27"/>
  <c r="D547" i="27" s="1"/>
  <c r="E540" i="27"/>
  <c r="E538" i="27"/>
  <c r="F538" i="27"/>
  <c r="D545" i="27" s="1"/>
  <c r="F536" i="27"/>
  <c r="D543" i="27" s="1"/>
  <c r="E536" i="27"/>
  <c r="F535" i="27"/>
  <c r="D542" i="27" s="1"/>
  <c r="E535" i="27"/>
  <c r="F539" i="27"/>
  <c r="D546" i="27" s="1"/>
  <c r="E539" i="27"/>
  <c r="E537" i="27"/>
  <c r="F537" i="27"/>
  <c r="D544" i="27" s="1"/>
  <c r="E534" i="27"/>
  <c r="F534" i="27"/>
  <c r="D541" i="27" s="1"/>
  <c r="W86" i="20" l="1"/>
  <c r="X86" i="20" s="1"/>
  <c r="V87" i="20" s="1"/>
  <c r="E542" i="27"/>
  <c r="F542" i="27"/>
  <c r="D549" i="27" s="1"/>
  <c r="E543" i="27"/>
  <c r="F543" i="27"/>
  <c r="D550" i="27" s="1"/>
  <c r="F544" i="27"/>
  <c r="D551" i="27" s="1"/>
  <c r="E544" i="27"/>
  <c r="E545" i="27"/>
  <c r="F545" i="27"/>
  <c r="D552" i="27" s="1"/>
  <c r="F541" i="27"/>
  <c r="D548" i="27" s="1"/>
  <c r="E541" i="27"/>
  <c r="F546" i="27"/>
  <c r="D553" i="27" s="1"/>
  <c r="E546" i="27"/>
  <c r="E547" i="27"/>
  <c r="F547" i="27"/>
  <c r="D554" i="27" s="1"/>
  <c r="W87" i="20" l="1"/>
  <c r="X87" i="20" s="1"/>
  <c r="V88" i="20" s="1"/>
  <c r="F554" i="27"/>
  <c r="D561" i="27" s="1"/>
  <c r="E554" i="27"/>
  <c r="E551" i="27"/>
  <c r="F551" i="27"/>
  <c r="D558" i="27" s="1"/>
  <c r="E550" i="27"/>
  <c r="F550" i="27"/>
  <c r="D557" i="27" s="1"/>
  <c r="E553" i="27"/>
  <c r="F553" i="27"/>
  <c r="D560" i="27" s="1"/>
  <c r="E552" i="27"/>
  <c r="F552" i="27"/>
  <c r="D559" i="27" s="1"/>
  <c r="E549" i="27"/>
  <c r="F549" i="27"/>
  <c r="D556" i="27" s="1"/>
  <c r="E548" i="27"/>
  <c r="F548" i="27"/>
  <c r="D555" i="27" s="1"/>
  <c r="W88" i="20" l="1"/>
  <c r="X88" i="20" s="1"/>
  <c r="V89" i="20" s="1"/>
  <c r="F560" i="27"/>
  <c r="D567" i="27" s="1"/>
  <c r="E560" i="27"/>
  <c r="F557" i="27"/>
  <c r="D564" i="27" s="1"/>
  <c r="E557" i="27"/>
  <c r="E555" i="27"/>
  <c r="F555" i="27"/>
  <c r="D562" i="27" s="1"/>
  <c r="F556" i="27"/>
  <c r="D563" i="27" s="1"/>
  <c r="E556" i="27"/>
  <c r="E558" i="27"/>
  <c r="F558" i="27"/>
  <c r="D565" i="27" s="1"/>
  <c r="E559" i="27"/>
  <c r="F559" i="27"/>
  <c r="D566" i="27" s="1"/>
  <c r="E561" i="27"/>
  <c r="F561" i="27"/>
  <c r="D568" i="27" s="1"/>
  <c r="W89" i="20" l="1"/>
  <c r="X89" i="20" s="1"/>
  <c r="V90" i="20" s="1"/>
  <c r="F562" i="27"/>
  <c r="D569" i="27" s="1"/>
  <c r="E562" i="27"/>
  <c r="E566" i="27"/>
  <c r="F566" i="27"/>
  <c r="D573" i="27" s="1"/>
  <c r="F564" i="27"/>
  <c r="D571" i="27" s="1"/>
  <c r="E564" i="27"/>
  <c r="E563" i="27"/>
  <c r="F563" i="27"/>
  <c r="D570" i="27" s="1"/>
  <c r="E565" i="27"/>
  <c r="F565" i="27"/>
  <c r="D572" i="27" s="1"/>
  <c r="F568" i="27"/>
  <c r="D575" i="27" s="1"/>
  <c r="E568" i="27"/>
  <c r="E567" i="27"/>
  <c r="F567" i="27"/>
  <c r="D574" i="27" s="1"/>
  <c r="W90" i="20" l="1"/>
  <c r="X90" i="20" s="1"/>
  <c r="V91" i="20" s="1"/>
  <c r="F570" i="27"/>
  <c r="D577" i="27" s="1"/>
  <c r="E570" i="27"/>
  <c r="F574" i="27"/>
  <c r="D581" i="27" s="1"/>
  <c r="E574" i="27"/>
  <c r="E571" i="27"/>
  <c r="F571" i="27"/>
  <c r="D578" i="27" s="1"/>
  <c r="E573" i="27"/>
  <c r="F573" i="27"/>
  <c r="D580" i="27" s="1"/>
  <c r="E575" i="27"/>
  <c r="F575" i="27"/>
  <c r="D582" i="27" s="1"/>
  <c r="E572" i="27"/>
  <c r="F572" i="27"/>
  <c r="D579" i="27" s="1"/>
  <c r="F569" i="27"/>
  <c r="D576" i="27" s="1"/>
  <c r="E569" i="27"/>
  <c r="W91" i="20" l="1"/>
  <c r="X91" i="20" s="1"/>
  <c r="V92" i="20" s="1"/>
  <c r="E580" i="27"/>
  <c r="F580" i="27"/>
  <c r="D587" i="27" s="1"/>
  <c r="E578" i="27"/>
  <c r="F578" i="27"/>
  <c r="D585" i="27" s="1"/>
  <c r="F576" i="27"/>
  <c r="D583" i="27" s="1"/>
  <c r="E576" i="27"/>
  <c r="E579" i="27"/>
  <c r="F579" i="27"/>
  <c r="D586" i="27" s="1"/>
  <c r="E581" i="27"/>
  <c r="F581" i="27"/>
  <c r="D588" i="27" s="1"/>
  <c r="E582" i="27"/>
  <c r="F582" i="27"/>
  <c r="D589" i="27" s="1"/>
  <c r="E577" i="27"/>
  <c r="F577" i="27"/>
  <c r="D584" i="27" s="1"/>
  <c r="W92" i="20" l="1"/>
  <c r="X92" i="20" s="1"/>
  <c r="V93" i="20" s="1"/>
  <c r="E586" i="27"/>
  <c r="F586" i="27"/>
  <c r="D593" i="27" s="1"/>
  <c r="F584" i="27"/>
  <c r="D591" i="27" s="1"/>
  <c r="E584" i="27"/>
  <c r="E583" i="27"/>
  <c r="F583" i="27"/>
  <c r="D590" i="27" s="1"/>
  <c r="E589" i="27"/>
  <c r="F589" i="27"/>
  <c r="D596" i="27" s="1"/>
  <c r="E585" i="27"/>
  <c r="F585" i="27"/>
  <c r="D592" i="27" s="1"/>
  <c r="F587" i="27"/>
  <c r="D594" i="27" s="1"/>
  <c r="E587" i="27"/>
  <c r="E588" i="27"/>
  <c r="F588" i="27"/>
  <c r="D595" i="27" s="1"/>
  <c r="W93" i="20" l="1"/>
  <c r="X93" i="20" s="1"/>
  <c r="V94" i="20" s="1"/>
  <c r="E596" i="27"/>
  <c r="F596" i="27"/>
  <c r="D603" i="27" s="1"/>
  <c r="F590" i="27"/>
  <c r="D597" i="27" s="1"/>
  <c r="E590" i="27"/>
  <c r="E595" i="27"/>
  <c r="F595" i="27"/>
  <c r="D602" i="27" s="1"/>
  <c r="E594" i="27"/>
  <c r="F594" i="27"/>
  <c r="D601" i="27" s="1"/>
  <c r="E591" i="27"/>
  <c r="F591" i="27"/>
  <c r="D598" i="27" s="1"/>
  <c r="E593" i="27"/>
  <c r="F593" i="27"/>
  <c r="D600" i="27" s="1"/>
  <c r="F592" i="27"/>
  <c r="D599" i="27" s="1"/>
  <c r="E592" i="27"/>
  <c r="W94" i="20" l="1"/>
  <c r="X94" i="20" s="1"/>
  <c r="V95" i="20" s="1"/>
  <c r="E601" i="27"/>
  <c r="F601" i="27"/>
  <c r="D608" i="27" s="1"/>
  <c r="E602" i="27"/>
  <c r="F602" i="27"/>
  <c r="D609" i="27" s="1"/>
  <c r="E599" i="27"/>
  <c r="F599" i="27"/>
  <c r="D606" i="27" s="1"/>
  <c r="E600" i="27"/>
  <c r="F600" i="27"/>
  <c r="D607" i="27" s="1"/>
  <c r="E597" i="27"/>
  <c r="F597" i="27"/>
  <c r="D604" i="27" s="1"/>
  <c r="E603" i="27"/>
  <c r="F603" i="27"/>
  <c r="D610" i="27" s="1"/>
  <c r="E598" i="27"/>
  <c r="F598" i="27"/>
  <c r="D605" i="27" s="1"/>
  <c r="W95" i="20" l="1"/>
  <c r="X95" i="20" s="1"/>
  <c r="V96" i="20" s="1"/>
  <c r="E607" i="27"/>
  <c r="F607" i="27"/>
  <c r="D614" i="27" s="1"/>
  <c r="E606" i="27"/>
  <c r="F606" i="27"/>
  <c r="D613" i="27" s="1"/>
  <c r="E610" i="27"/>
  <c r="F610" i="27"/>
  <c r="D617" i="27" s="1"/>
  <c r="E609" i="27"/>
  <c r="F609" i="27"/>
  <c r="D616" i="27" s="1"/>
  <c r="E605" i="27"/>
  <c r="F605" i="27"/>
  <c r="D612" i="27" s="1"/>
  <c r="F608" i="27"/>
  <c r="D615" i="27" s="1"/>
  <c r="E608" i="27"/>
  <c r="E604" i="27"/>
  <c r="F604" i="27"/>
  <c r="D611" i="27" s="1"/>
  <c r="W96" i="20" l="1"/>
  <c r="X96" i="20" s="1"/>
  <c r="V97" i="20" s="1"/>
  <c r="E616" i="27"/>
  <c r="F616" i="27"/>
  <c r="D623" i="27" s="1"/>
  <c r="E617" i="27"/>
  <c r="F617" i="27"/>
  <c r="D624" i="27" s="1"/>
  <c r="E613" i="27"/>
  <c r="F613" i="27"/>
  <c r="D620" i="27" s="1"/>
  <c r="E611" i="27"/>
  <c r="F611" i="27"/>
  <c r="D618" i="27" s="1"/>
  <c r="E615" i="27"/>
  <c r="F615" i="27"/>
  <c r="D622" i="27" s="1"/>
  <c r="E614" i="27"/>
  <c r="F614" i="27"/>
  <c r="D621" i="27" s="1"/>
  <c r="E612" i="27"/>
  <c r="F612" i="27"/>
  <c r="D619" i="27" s="1"/>
  <c r="W97" i="20" l="1"/>
  <c r="X97" i="20" s="1"/>
  <c r="V98" i="20" s="1"/>
  <c r="E620" i="27"/>
  <c r="F620" i="27"/>
  <c r="D627" i="27" s="1"/>
  <c r="E618" i="27"/>
  <c r="F618" i="27"/>
  <c r="D625" i="27" s="1"/>
  <c r="E619" i="27"/>
  <c r="F619" i="27"/>
  <c r="D626" i="27" s="1"/>
  <c r="E621" i="27"/>
  <c r="F621" i="27"/>
  <c r="D628" i="27" s="1"/>
  <c r="E624" i="27"/>
  <c r="F624" i="27"/>
  <c r="D631" i="27" s="1"/>
  <c r="F623" i="27"/>
  <c r="D630" i="27" s="1"/>
  <c r="E623" i="27"/>
  <c r="E622" i="27"/>
  <c r="F622" i="27"/>
  <c r="D629" i="27" s="1"/>
  <c r="W98" i="20" l="1"/>
  <c r="X98" i="20" s="1"/>
  <c r="V99" i="20" s="1"/>
  <c r="E628" i="27"/>
  <c r="F628" i="27"/>
  <c r="D635" i="27" s="1"/>
  <c r="E629" i="27"/>
  <c r="F629" i="27"/>
  <c r="D636" i="27" s="1"/>
  <c r="E626" i="27"/>
  <c r="F626" i="27"/>
  <c r="D633" i="27" s="1"/>
  <c r="E625" i="27"/>
  <c r="F625" i="27"/>
  <c r="D632" i="27" s="1"/>
  <c r="F630" i="27"/>
  <c r="D637" i="27" s="1"/>
  <c r="E630" i="27"/>
  <c r="E631" i="27"/>
  <c r="F631" i="27"/>
  <c r="D638" i="27" s="1"/>
  <c r="E627" i="27"/>
  <c r="F627" i="27"/>
  <c r="D634" i="27" s="1"/>
  <c r="W99" i="20" l="1"/>
  <c r="X99" i="20" s="1"/>
  <c r="V100" i="20" s="1"/>
  <c r="E632" i="27"/>
  <c r="F632" i="27"/>
  <c r="D639" i="27" s="1"/>
  <c r="E633" i="27"/>
  <c r="F633" i="27"/>
  <c r="D640" i="27" s="1"/>
  <c r="E634" i="27"/>
  <c r="F634" i="27"/>
  <c r="D641" i="27" s="1"/>
  <c r="F638" i="27"/>
  <c r="D645" i="27" s="1"/>
  <c r="E638" i="27"/>
  <c r="E636" i="27"/>
  <c r="F636" i="27"/>
  <c r="D643" i="27" s="1"/>
  <c r="E635" i="27"/>
  <c r="F635" i="27"/>
  <c r="D642" i="27" s="1"/>
  <c r="E637" i="27"/>
  <c r="F637" i="27"/>
  <c r="D644" i="27" s="1"/>
  <c r="W100" i="20" l="1"/>
  <c r="X100" i="20" s="1"/>
  <c r="V101" i="20" s="1"/>
  <c r="E641" i="27"/>
  <c r="F641" i="27"/>
  <c r="D648" i="27" s="1"/>
  <c r="E644" i="27"/>
  <c r="F644" i="27"/>
  <c r="D651" i="27" s="1"/>
  <c r="E645" i="27"/>
  <c r="F645" i="27"/>
  <c r="D652" i="27" s="1"/>
  <c r="E642" i="27"/>
  <c r="F642" i="27"/>
  <c r="D649" i="27" s="1"/>
  <c r="E640" i="27"/>
  <c r="F640" i="27"/>
  <c r="D647" i="27" s="1"/>
  <c r="E643" i="27"/>
  <c r="F643" i="27"/>
  <c r="D650" i="27" s="1"/>
  <c r="E639" i="27"/>
  <c r="F639" i="27"/>
  <c r="D646" i="27" s="1"/>
  <c r="W101" i="20" l="1"/>
  <c r="X101" i="20" s="1"/>
  <c r="V102" i="20" s="1"/>
  <c r="E649" i="27"/>
  <c r="F649" i="27"/>
  <c r="D656" i="27" s="1"/>
  <c r="E652" i="27"/>
  <c r="F652" i="27"/>
  <c r="D659" i="27" s="1"/>
  <c r="F650" i="27"/>
  <c r="D657" i="27" s="1"/>
  <c r="E650" i="27"/>
  <c r="E651" i="27"/>
  <c r="F651" i="27"/>
  <c r="D658" i="27" s="1"/>
  <c r="E647" i="27"/>
  <c r="F647" i="27"/>
  <c r="D654" i="27" s="1"/>
  <c r="F648" i="27"/>
  <c r="D655" i="27" s="1"/>
  <c r="E648" i="27"/>
  <c r="E646" i="27"/>
  <c r="F646" i="27"/>
  <c r="D653" i="27" s="1"/>
  <c r="W102" i="20" l="1"/>
  <c r="X102" i="20" s="1"/>
  <c r="V103" i="20" s="1"/>
  <c r="E658" i="27"/>
  <c r="F658" i="27"/>
  <c r="D665" i="27" s="1"/>
  <c r="E653" i="27"/>
  <c r="F653" i="27"/>
  <c r="D660" i="27" s="1"/>
  <c r="E657" i="27"/>
  <c r="F657" i="27"/>
  <c r="D664" i="27" s="1"/>
  <c r="E659" i="27"/>
  <c r="F659" i="27"/>
  <c r="D666" i="27" s="1"/>
  <c r="F655" i="27"/>
  <c r="D662" i="27" s="1"/>
  <c r="E655" i="27"/>
  <c r="E656" i="27"/>
  <c r="F656" i="27"/>
  <c r="D663" i="27" s="1"/>
  <c r="E654" i="27"/>
  <c r="F654" i="27"/>
  <c r="D661" i="27" s="1"/>
  <c r="W103" i="20" l="1"/>
  <c r="X103" i="20" s="1"/>
  <c r="V104" i="20" s="1"/>
  <c r="E666" i="27"/>
  <c r="F666" i="27"/>
  <c r="D673" i="27" s="1"/>
  <c r="F664" i="27"/>
  <c r="D671" i="27" s="1"/>
  <c r="E664" i="27"/>
  <c r="E663" i="27"/>
  <c r="F663" i="27"/>
  <c r="D670" i="27" s="1"/>
  <c r="E660" i="27"/>
  <c r="F660" i="27"/>
  <c r="D667" i="27" s="1"/>
  <c r="E661" i="27"/>
  <c r="F661" i="27"/>
  <c r="D668" i="27" s="1"/>
  <c r="E665" i="27"/>
  <c r="F665" i="27"/>
  <c r="D672" i="27" s="1"/>
  <c r="F662" i="27"/>
  <c r="D669" i="27" s="1"/>
  <c r="E662" i="27"/>
  <c r="W104" i="20" l="1"/>
  <c r="X104" i="20" s="1"/>
  <c r="V105" i="20" s="1"/>
  <c r="E667" i="27"/>
  <c r="F667" i="27"/>
  <c r="D674" i="27" s="1"/>
  <c r="E670" i="27"/>
  <c r="F670" i="27"/>
  <c r="D677" i="27" s="1"/>
  <c r="E672" i="27"/>
  <c r="F672" i="27"/>
  <c r="D679" i="27" s="1"/>
  <c r="F671" i="27"/>
  <c r="D678" i="27" s="1"/>
  <c r="E671" i="27"/>
  <c r="E668" i="27"/>
  <c r="F668" i="27"/>
  <c r="D675" i="27" s="1"/>
  <c r="E673" i="27"/>
  <c r="F673" i="27"/>
  <c r="D680" i="27" s="1"/>
  <c r="E669" i="27"/>
  <c r="F669" i="27"/>
  <c r="D676" i="27" s="1"/>
  <c r="W105" i="20" l="1"/>
  <c r="X105" i="20" s="1"/>
  <c r="V106" i="20" s="1"/>
  <c r="E678" i="27"/>
  <c r="F678" i="27"/>
  <c r="D685" i="27" s="1"/>
  <c r="E679" i="27"/>
  <c r="F679" i="27"/>
  <c r="D686" i="27" s="1"/>
  <c r="F676" i="27"/>
  <c r="D683" i="27" s="1"/>
  <c r="E676" i="27"/>
  <c r="E680" i="27"/>
  <c r="F680" i="27"/>
  <c r="D687" i="27" s="1"/>
  <c r="E677" i="27"/>
  <c r="F677" i="27"/>
  <c r="D684" i="27" s="1"/>
  <c r="E675" i="27"/>
  <c r="F675" i="27"/>
  <c r="D682" i="27" s="1"/>
  <c r="E674" i="27"/>
  <c r="F674" i="27"/>
  <c r="D681" i="27" s="1"/>
  <c r="W106" i="20" l="1"/>
  <c r="X106" i="20" s="1"/>
  <c r="V107" i="20" s="1"/>
  <c r="E683" i="27"/>
  <c r="F683" i="27"/>
  <c r="D690" i="27" s="1"/>
  <c r="F682" i="27"/>
  <c r="D689" i="27" s="1"/>
  <c r="E682" i="27"/>
  <c r="E686" i="27"/>
  <c r="F686" i="27"/>
  <c r="D693" i="27" s="1"/>
  <c r="E687" i="27"/>
  <c r="F687" i="27"/>
  <c r="D694" i="27" s="1"/>
  <c r="E684" i="27"/>
  <c r="F684" i="27"/>
  <c r="D691" i="27" s="1"/>
  <c r="E685" i="27"/>
  <c r="F685" i="27"/>
  <c r="D692" i="27" s="1"/>
  <c r="E681" i="27"/>
  <c r="F681" i="27"/>
  <c r="D688" i="27" s="1"/>
  <c r="W107" i="20" l="1"/>
  <c r="X107" i="20" s="1"/>
  <c r="V108" i="20" s="1"/>
  <c r="E688" i="27"/>
  <c r="F688" i="27"/>
  <c r="D695" i="27" s="1"/>
  <c r="E694" i="27"/>
  <c r="F694" i="27"/>
  <c r="D701" i="27" s="1"/>
  <c r="E693" i="27"/>
  <c r="F693" i="27"/>
  <c r="D700" i="27" s="1"/>
  <c r="E692" i="27"/>
  <c r="F692" i="27"/>
  <c r="D699" i="27" s="1"/>
  <c r="E689" i="27"/>
  <c r="F689" i="27"/>
  <c r="D696" i="27" s="1"/>
  <c r="E691" i="27"/>
  <c r="F691" i="27"/>
  <c r="D698" i="27" s="1"/>
  <c r="E690" i="27"/>
  <c r="F690" i="27"/>
  <c r="D697" i="27" s="1"/>
  <c r="W108" i="20" l="1"/>
  <c r="X108" i="20" s="1"/>
  <c r="V109" i="20" s="1"/>
  <c r="E700" i="27"/>
  <c r="F700" i="27"/>
  <c r="D707" i="27" s="1"/>
  <c r="F697" i="27"/>
  <c r="D704" i="27" s="1"/>
  <c r="E697" i="27"/>
  <c r="E698" i="27"/>
  <c r="F698" i="27"/>
  <c r="D705" i="27" s="1"/>
  <c r="E701" i="27"/>
  <c r="F701" i="27"/>
  <c r="D708" i="27" s="1"/>
  <c r="E699" i="27"/>
  <c r="F699" i="27"/>
  <c r="D706" i="27" s="1"/>
  <c r="F696" i="27"/>
  <c r="D703" i="27" s="1"/>
  <c r="E696" i="27"/>
  <c r="F695" i="27"/>
  <c r="D702" i="27" s="1"/>
  <c r="E695" i="27"/>
  <c r="W109" i="20" l="1"/>
  <c r="X109" i="20" s="1"/>
  <c r="V110" i="20" s="1"/>
  <c r="E705" i="27"/>
  <c r="F705" i="27"/>
  <c r="D712" i="27" s="1"/>
  <c r="E702" i="27"/>
  <c r="F702" i="27"/>
  <c r="D709" i="27" s="1"/>
  <c r="E708" i="27"/>
  <c r="F708" i="27"/>
  <c r="D715" i="27" s="1"/>
  <c r="E703" i="27"/>
  <c r="F703" i="27"/>
  <c r="D710" i="27" s="1"/>
  <c r="E704" i="27"/>
  <c r="F704" i="27"/>
  <c r="D711" i="27" s="1"/>
  <c r="E706" i="27"/>
  <c r="F706" i="27"/>
  <c r="D713" i="27" s="1"/>
  <c r="E707" i="27"/>
  <c r="F707" i="27"/>
  <c r="D714" i="27" s="1"/>
  <c r="W110" i="20" l="1"/>
  <c r="X110" i="20" s="1"/>
  <c r="V111" i="20" s="1"/>
  <c r="E710" i="27"/>
  <c r="F710" i="27"/>
  <c r="D717" i="27" s="1"/>
  <c r="E715" i="27"/>
  <c r="F715" i="27"/>
  <c r="D722" i="27" s="1"/>
  <c r="E713" i="27"/>
  <c r="F713" i="27"/>
  <c r="D720" i="27" s="1"/>
  <c r="E709" i="27"/>
  <c r="F709" i="27"/>
  <c r="D716" i="27" s="1"/>
  <c r="E714" i="27"/>
  <c r="F714" i="27"/>
  <c r="D721" i="27" s="1"/>
  <c r="F712" i="27"/>
  <c r="D719" i="27" s="1"/>
  <c r="E712" i="27"/>
  <c r="E711" i="27"/>
  <c r="F711" i="27"/>
  <c r="D718" i="27" s="1"/>
  <c r="W111" i="20" l="1"/>
  <c r="X111" i="20" s="1"/>
  <c r="V112" i="20" s="1"/>
  <c r="E716" i="27"/>
  <c r="F716" i="27"/>
  <c r="D723" i="27" s="1"/>
  <c r="E720" i="27"/>
  <c r="F720" i="27"/>
  <c r="D727" i="27" s="1"/>
  <c r="E722" i="27"/>
  <c r="F722" i="27"/>
  <c r="D729" i="27" s="1"/>
  <c r="E719" i="27"/>
  <c r="F719" i="27"/>
  <c r="D726" i="27" s="1"/>
  <c r="F718" i="27"/>
  <c r="D725" i="27" s="1"/>
  <c r="E718" i="27"/>
  <c r="E717" i="27"/>
  <c r="F717" i="27"/>
  <c r="D724" i="27" s="1"/>
  <c r="E721" i="27"/>
  <c r="F721" i="27"/>
  <c r="D728" i="27" s="1"/>
  <c r="W112" i="20" l="1"/>
  <c r="X112" i="20" s="1"/>
  <c r="V113" i="20" s="1"/>
  <c r="E726" i="27"/>
  <c r="F726" i="27"/>
  <c r="D733" i="27" s="1"/>
  <c r="E729" i="27"/>
  <c r="F729" i="27"/>
  <c r="D736" i="27" s="1"/>
  <c r="E724" i="27"/>
  <c r="F724" i="27"/>
  <c r="D731" i="27" s="1"/>
  <c r="F727" i="27"/>
  <c r="D734" i="27" s="1"/>
  <c r="E727" i="27"/>
  <c r="F728" i="27"/>
  <c r="D735" i="27" s="1"/>
  <c r="E728" i="27"/>
  <c r="E723" i="27"/>
  <c r="F723" i="27"/>
  <c r="D730" i="27" s="1"/>
  <c r="F725" i="27"/>
  <c r="D732" i="27" s="1"/>
  <c r="E725" i="27"/>
  <c r="W113" i="20" l="1"/>
  <c r="X113" i="20" s="1"/>
  <c r="V114" i="20" s="1"/>
  <c r="E734" i="27"/>
  <c r="F734" i="27"/>
  <c r="D741" i="27" s="1"/>
  <c r="E731" i="27"/>
  <c r="F731" i="27"/>
  <c r="D738" i="27" s="1"/>
  <c r="E732" i="27"/>
  <c r="F732" i="27"/>
  <c r="D739" i="27" s="1"/>
  <c r="E730" i="27"/>
  <c r="F730" i="27"/>
  <c r="D737" i="27" s="1"/>
  <c r="F736" i="27"/>
  <c r="D743" i="27" s="1"/>
  <c r="E736" i="27"/>
  <c r="E733" i="27"/>
  <c r="F733" i="27"/>
  <c r="D740" i="27" s="1"/>
  <c r="F735" i="27"/>
  <c r="D742" i="27" s="1"/>
  <c r="E735" i="27"/>
  <c r="W114" i="20" l="1"/>
  <c r="X114" i="20" s="1"/>
  <c r="V115" i="20" s="1"/>
  <c r="E737" i="27"/>
  <c r="F737" i="27"/>
  <c r="D744" i="27" s="1"/>
  <c r="E739" i="27"/>
  <c r="F739" i="27"/>
  <c r="D746" i="27" s="1"/>
  <c r="F742" i="27"/>
  <c r="D749" i="27" s="1"/>
  <c r="E742" i="27"/>
  <c r="E738" i="27"/>
  <c r="F738" i="27"/>
  <c r="D745" i="27" s="1"/>
  <c r="E741" i="27"/>
  <c r="F741" i="27"/>
  <c r="D748" i="27" s="1"/>
  <c r="E740" i="27"/>
  <c r="F740" i="27"/>
  <c r="D747" i="27" s="1"/>
  <c r="E743" i="27"/>
  <c r="F743" i="27"/>
  <c r="D750" i="27" s="1"/>
  <c r="W115" i="20" l="1"/>
  <c r="X115" i="20" s="1"/>
  <c r="V116" i="20" s="1"/>
  <c r="F745" i="27"/>
  <c r="D752" i="27" s="1"/>
  <c r="E745" i="27"/>
  <c r="E749" i="27"/>
  <c r="F749" i="27"/>
  <c r="D756" i="27" s="1"/>
  <c r="E747" i="27"/>
  <c r="F747" i="27"/>
  <c r="D754" i="27" s="1"/>
  <c r="E746" i="27"/>
  <c r="F746" i="27"/>
  <c r="D753" i="27" s="1"/>
  <c r="E748" i="27"/>
  <c r="F748" i="27"/>
  <c r="D755" i="27" s="1"/>
  <c r="F744" i="27"/>
  <c r="D751" i="27" s="1"/>
  <c r="E744" i="27"/>
  <c r="E750" i="27"/>
  <c r="F750" i="27"/>
  <c r="D757" i="27" s="1"/>
  <c r="W116" i="20" l="1"/>
  <c r="X116" i="20" s="1"/>
  <c r="V117" i="20" s="1"/>
  <c r="F754" i="27"/>
  <c r="D761" i="27" s="1"/>
  <c r="E754" i="27"/>
  <c r="E757" i="27"/>
  <c r="F757" i="27"/>
  <c r="D764" i="27" s="1"/>
  <c r="E753" i="27"/>
  <c r="F753" i="27"/>
  <c r="D760" i="27" s="1"/>
  <c r="E756" i="27"/>
  <c r="F756" i="27"/>
  <c r="D763" i="27" s="1"/>
  <c r="F751" i="27"/>
  <c r="D758" i="27" s="1"/>
  <c r="E751" i="27"/>
  <c r="E755" i="27"/>
  <c r="F755" i="27"/>
  <c r="D762" i="27" s="1"/>
  <c r="E752" i="27"/>
  <c r="F752" i="27"/>
  <c r="D759" i="27" s="1"/>
  <c r="W117" i="20" l="1"/>
  <c r="X117" i="20" s="1"/>
  <c r="V118" i="20" s="1"/>
  <c r="E760" i="27"/>
  <c r="F760" i="27"/>
  <c r="D767" i="27" s="1"/>
  <c r="F759" i="27"/>
  <c r="D766" i="27" s="1"/>
  <c r="E759" i="27"/>
  <c r="E762" i="27"/>
  <c r="F762" i="27"/>
  <c r="D769" i="27" s="1"/>
  <c r="E764" i="27"/>
  <c r="F764" i="27"/>
  <c r="D771" i="27" s="1"/>
  <c r="E763" i="27"/>
  <c r="F763" i="27"/>
  <c r="D770" i="27" s="1"/>
  <c r="F758" i="27"/>
  <c r="D765" i="27" s="1"/>
  <c r="E758" i="27"/>
  <c r="F761" i="27"/>
  <c r="D768" i="27" s="1"/>
  <c r="E761" i="27"/>
  <c r="W118" i="20" l="1"/>
  <c r="X118" i="20" s="1"/>
  <c r="V119" i="20" s="1"/>
  <c r="F769" i="27"/>
  <c r="D776" i="27" s="1"/>
  <c r="E769" i="27"/>
  <c r="E768" i="27"/>
  <c r="F768" i="27"/>
  <c r="D775" i="27" s="1"/>
  <c r="E765" i="27"/>
  <c r="F765" i="27"/>
  <c r="D772" i="27" s="1"/>
  <c r="F766" i="27"/>
  <c r="D773" i="27" s="1"/>
  <c r="E766" i="27"/>
  <c r="E770" i="27"/>
  <c r="F770" i="27"/>
  <c r="D777" i="27" s="1"/>
  <c r="F767" i="27"/>
  <c r="D774" i="27" s="1"/>
  <c r="E767" i="27"/>
  <c r="E771" i="27"/>
  <c r="F771" i="27"/>
  <c r="D778" i="27" s="1"/>
  <c r="W119" i="20" l="1"/>
  <c r="X119" i="20" s="1"/>
  <c r="V120" i="20" s="1"/>
  <c r="E773" i="27"/>
  <c r="F773" i="27"/>
  <c r="D780" i="27" s="1"/>
  <c r="E772" i="27"/>
  <c r="F772" i="27"/>
  <c r="D779" i="27" s="1"/>
  <c r="E778" i="27"/>
  <c r="F778" i="27"/>
  <c r="D785" i="27" s="1"/>
  <c r="E775" i="27"/>
  <c r="F775" i="27"/>
  <c r="D782" i="27" s="1"/>
  <c r="F774" i="27"/>
  <c r="D781" i="27" s="1"/>
  <c r="E774" i="27"/>
  <c r="E777" i="27"/>
  <c r="F777" i="27"/>
  <c r="D784" i="27" s="1"/>
  <c r="E776" i="27"/>
  <c r="F776" i="27"/>
  <c r="D783" i="27" s="1"/>
  <c r="W120" i="20" l="1"/>
  <c r="X120" i="20" s="1"/>
  <c r="V121" i="20" s="1"/>
  <c r="E782" i="27"/>
  <c r="F782" i="27"/>
  <c r="D789" i="27" s="1"/>
  <c r="E785" i="27"/>
  <c r="F785" i="27"/>
  <c r="D792" i="27" s="1"/>
  <c r="E784" i="27"/>
  <c r="F784" i="27"/>
  <c r="D791" i="27" s="1"/>
  <c r="F779" i="27"/>
  <c r="D786" i="27" s="1"/>
  <c r="E779" i="27"/>
  <c r="E780" i="27"/>
  <c r="F780" i="27"/>
  <c r="D787" i="27" s="1"/>
  <c r="E783" i="27"/>
  <c r="F783" i="27"/>
  <c r="D790" i="27" s="1"/>
  <c r="F781" i="27"/>
  <c r="D788" i="27" s="1"/>
  <c r="E781" i="27"/>
  <c r="W121" i="20" l="1"/>
  <c r="X121" i="20" s="1"/>
  <c r="V122" i="20" s="1"/>
  <c r="F791" i="27"/>
  <c r="D798" i="27" s="1"/>
  <c r="E791" i="27"/>
  <c r="E788" i="27"/>
  <c r="F788" i="27"/>
  <c r="D795" i="27" s="1"/>
  <c r="E786" i="27"/>
  <c r="F786" i="27"/>
  <c r="D793" i="27" s="1"/>
  <c r="E790" i="27"/>
  <c r="F790" i="27"/>
  <c r="D797" i="27" s="1"/>
  <c r="E792" i="27"/>
  <c r="F792" i="27"/>
  <c r="D799" i="27" s="1"/>
  <c r="E789" i="27"/>
  <c r="F789" i="27"/>
  <c r="D796" i="27" s="1"/>
  <c r="E787" i="27"/>
  <c r="F787" i="27"/>
  <c r="D794" i="27" s="1"/>
  <c r="W122" i="20" l="1"/>
  <c r="X122" i="20" s="1"/>
  <c r="V123" i="20" s="1"/>
  <c r="E797" i="27"/>
  <c r="F797" i="27"/>
  <c r="D804" i="27" s="1"/>
  <c r="F793" i="27"/>
  <c r="D800" i="27" s="1"/>
  <c r="E793" i="27"/>
  <c r="E794" i="27"/>
  <c r="F794" i="27"/>
  <c r="D801" i="27" s="1"/>
  <c r="E796" i="27"/>
  <c r="F796" i="27"/>
  <c r="D803" i="27" s="1"/>
  <c r="E795" i="27"/>
  <c r="F795" i="27"/>
  <c r="D802" i="27" s="1"/>
  <c r="E799" i="27"/>
  <c r="F799" i="27"/>
  <c r="D806" i="27" s="1"/>
  <c r="F798" i="27"/>
  <c r="D805" i="27" s="1"/>
  <c r="E798" i="27"/>
  <c r="W123" i="20" l="1"/>
  <c r="X123" i="20" s="1"/>
  <c r="V124" i="20" s="1"/>
  <c r="E803" i="27"/>
  <c r="F803" i="27"/>
  <c r="D810" i="27" s="1"/>
  <c r="F801" i="27"/>
  <c r="D808" i="27" s="1"/>
  <c r="E801" i="27"/>
  <c r="E806" i="27"/>
  <c r="F806" i="27"/>
  <c r="D813" i="27" s="1"/>
  <c r="E805" i="27"/>
  <c r="F805" i="27"/>
  <c r="D812" i="27" s="1"/>
  <c r="E800" i="27"/>
  <c r="F800" i="27"/>
  <c r="D807" i="27" s="1"/>
  <c r="E804" i="27"/>
  <c r="F804" i="27"/>
  <c r="D811" i="27" s="1"/>
  <c r="E802" i="27"/>
  <c r="F802" i="27"/>
  <c r="D809" i="27" s="1"/>
  <c r="W124" i="20" l="1"/>
  <c r="X124" i="20" s="1"/>
  <c r="V125" i="20" s="1"/>
  <c r="E812" i="27"/>
  <c r="F812" i="27"/>
  <c r="D819" i="27" s="1"/>
  <c r="F813" i="27"/>
  <c r="D820" i="27" s="1"/>
  <c r="E813" i="27"/>
  <c r="E811" i="27"/>
  <c r="F811" i="27"/>
  <c r="D818" i="27" s="1"/>
  <c r="F808" i="27"/>
  <c r="D815" i="27" s="1"/>
  <c r="E808" i="27"/>
  <c r="F810" i="27"/>
  <c r="D817" i="27" s="1"/>
  <c r="E810" i="27"/>
  <c r="F809" i="27"/>
  <c r="D816" i="27" s="1"/>
  <c r="E809" i="27"/>
  <c r="E807" i="27"/>
  <c r="F807" i="27"/>
  <c r="D814" i="27" s="1"/>
  <c r="W125" i="20" l="1"/>
  <c r="X125" i="20" s="1"/>
  <c r="V126" i="20" s="1"/>
  <c r="E818" i="27"/>
  <c r="F818" i="27"/>
  <c r="D825" i="27" s="1"/>
  <c r="E815" i="27"/>
  <c r="F815" i="27"/>
  <c r="D822" i="27" s="1"/>
  <c r="E816" i="27"/>
  <c r="F816" i="27"/>
  <c r="D823" i="27" s="1"/>
  <c r="E820" i="27"/>
  <c r="F820" i="27"/>
  <c r="D827" i="27" s="1"/>
  <c r="E814" i="27"/>
  <c r="F814" i="27"/>
  <c r="D821" i="27" s="1"/>
  <c r="E819" i="27"/>
  <c r="F819" i="27"/>
  <c r="D826" i="27" s="1"/>
  <c r="E817" i="27"/>
  <c r="F817" i="27"/>
  <c r="D824" i="27" s="1"/>
  <c r="W126" i="20" l="1"/>
  <c r="X126" i="20" s="1"/>
  <c r="V127" i="20" s="1"/>
  <c r="E827" i="27"/>
  <c r="F827" i="27"/>
  <c r="D834" i="27" s="1"/>
  <c r="E823" i="27"/>
  <c r="F823" i="27"/>
  <c r="D830" i="27" s="1"/>
  <c r="E826" i="27"/>
  <c r="F826" i="27"/>
  <c r="D833" i="27" s="1"/>
  <c r="F822" i="27"/>
  <c r="D829" i="27" s="1"/>
  <c r="E822" i="27"/>
  <c r="E824" i="27"/>
  <c r="F824" i="27"/>
  <c r="D831" i="27" s="1"/>
  <c r="E825" i="27"/>
  <c r="F825" i="27"/>
  <c r="D832" i="27" s="1"/>
  <c r="E821" i="27"/>
  <c r="F821" i="27"/>
  <c r="D828" i="27" s="1"/>
  <c r="W127" i="20" l="1"/>
  <c r="X127" i="20" s="1"/>
  <c r="V128" i="20" s="1"/>
  <c r="E833" i="27"/>
  <c r="F833" i="27"/>
  <c r="D840" i="27" s="1"/>
  <c r="F832" i="27"/>
  <c r="D839" i="27" s="1"/>
  <c r="E832" i="27"/>
  <c r="E830" i="27"/>
  <c r="F830" i="27"/>
  <c r="D837" i="27" s="1"/>
  <c r="E829" i="27"/>
  <c r="F829" i="27"/>
  <c r="D836" i="27" s="1"/>
  <c r="E834" i="27"/>
  <c r="F834" i="27"/>
  <c r="D841" i="27" s="1"/>
  <c r="F828" i="27"/>
  <c r="D835" i="27" s="1"/>
  <c r="E828" i="27"/>
  <c r="F831" i="27"/>
  <c r="D838" i="27" s="1"/>
  <c r="E831" i="27"/>
  <c r="W128" i="20" l="1"/>
  <c r="X128" i="20" s="1"/>
  <c r="V129" i="20" s="1"/>
  <c r="E836" i="27"/>
  <c r="F836" i="27"/>
  <c r="D843" i="27" s="1"/>
  <c r="E837" i="27"/>
  <c r="F837" i="27"/>
  <c r="D844" i="27" s="1"/>
  <c r="E838" i="27"/>
  <c r="F838" i="27"/>
  <c r="D845" i="27" s="1"/>
  <c r="E835" i="27"/>
  <c r="F835" i="27"/>
  <c r="D842" i="27" s="1"/>
  <c r="E839" i="27"/>
  <c r="F839" i="27"/>
  <c r="D846" i="27" s="1"/>
  <c r="E840" i="27"/>
  <c r="F840" i="27"/>
  <c r="D847" i="27" s="1"/>
  <c r="E841" i="27"/>
  <c r="F841" i="27"/>
  <c r="D848" i="27" s="1"/>
  <c r="W129" i="20" l="1"/>
  <c r="X129" i="20" s="1"/>
  <c r="V130" i="20" s="1"/>
  <c r="F842" i="27"/>
  <c r="D849" i="27" s="1"/>
  <c r="E842" i="27"/>
  <c r="E845" i="27"/>
  <c r="F845" i="27"/>
  <c r="D852" i="27" s="1"/>
  <c r="E847" i="27"/>
  <c r="F847" i="27"/>
  <c r="D854" i="27" s="1"/>
  <c r="E844" i="27"/>
  <c r="F844" i="27"/>
  <c r="D851" i="27" s="1"/>
  <c r="E843" i="27"/>
  <c r="F843" i="27"/>
  <c r="D850" i="27" s="1"/>
  <c r="E848" i="27"/>
  <c r="F848" i="27"/>
  <c r="D855" i="27" s="1"/>
  <c r="E846" i="27"/>
  <c r="F846" i="27"/>
  <c r="D853" i="27" s="1"/>
  <c r="W130" i="20" l="1"/>
  <c r="X130" i="20" s="1"/>
  <c r="V131" i="20" s="1"/>
  <c r="E851" i="27"/>
  <c r="F851" i="27"/>
  <c r="D858" i="27" s="1"/>
  <c r="E854" i="27"/>
  <c r="F854" i="27"/>
  <c r="D861" i="27" s="1"/>
  <c r="F855" i="27"/>
  <c r="D862" i="27" s="1"/>
  <c r="E855" i="27"/>
  <c r="E852" i="27"/>
  <c r="F852" i="27"/>
  <c r="D859" i="27" s="1"/>
  <c r="E853" i="27"/>
  <c r="F853" i="27"/>
  <c r="D860" i="27" s="1"/>
  <c r="F850" i="27"/>
  <c r="D857" i="27" s="1"/>
  <c r="E850" i="27"/>
  <c r="E849" i="27"/>
  <c r="F849" i="27"/>
  <c r="D856" i="27" s="1"/>
  <c r="W131" i="20" l="1"/>
  <c r="X131" i="20" s="1"/>
  <c r="V132" i="20" s="1"/>
  <c r="E859" i="27"/>
  <c r="F859" i="27"/>
  <c r="D866" i="27" s="1"/>
  <c r="E856" i="27"/>
  <c r="F856" i="27"/>
  <c r="D863" i="27" s="1"/>
  <c r="E862" i="27"/>
  <c r="F862" i="27"/>
  <c r="D869" i="27" s="1"/>
  <c r="E861" i="27"/>
  <c r="F861" i="27"/>
  <c r="D868" i="27" s="1"/>
  <c r="E857" i="27"/>
  <c r="F857" i="27"/>
  <c r="D864" i="27" s="1"/>
  <c r="E858" i="27"/>
  <c r="F858" i="27"/>
  <c r="D865" i="27" s="1"/>
  <c r="E860" i="27"/>
  <c r="F860" i="27"/>
  <c r="D867" i="27" s="1"/>
  <c r="W132" i="20" l="1"/>
  <c r="X132" i="20" s="1"/>
  <c r="V133" i="20" s="1"/>
  <c r="F868" i="27"/>
  <c r="D875" i="27" s="1"/>
  <c r="E868" i="27"/>
  <c r="E869" i="27"/>
  <c r="F869" i="27"/>
  <c r="D876" i="27" s="1"/>
  <c r="E867" i="27"/>
  <c r="F867" i="27"/>
  <c r="D874" i="27" s="1"/>
  <c r="E863" i="27"/>
  <c r="F863" i="27"/>
  <c r="D870" i="27" s="1"/>
  <c r="E865" i="27"/>
  <c r="F865" i="27"/>
  <c r="D872" i="27" s="1"/>
  <c r="E864" i="27"/>
  <c r="F864" i="27"/>
  <c r="D871" i="27" s="1"/>
  <c r="F866" i="27"/>
  <c r="D873" i="27" s="1"/>
  <c r="E866" i="27"/>
  <c r="W133" i="20" l="1"/>
  <c r="X133" i="20" s="1"/>
  <c r="V134" i="20" s="1"/>
  <c r="E870" i="27"/>
  <c r="F870" i="27"/>
  <c r="D877" i="27" s="1"/>
  <c r="E874" i="27"/>
  <c r="F874" i="27"/>
  <c r="D881" i="27" s="1"/>
  <c r="E873" i="27"/>
  <c r="F873" i="27"/>
  <c r="D880" i="27" s="1"/>
  <c r="E876" i="27"/>
  <c r="F876" i="27"/>
  <c r="D883" i="27" s="1"/>
  <c r="E871" i="27"/>
  <c r="F871" i="27"/>
  <c r="D878" i="27" s="1"/>
  <c r="E872" i="27"/>
  <c r="F872" i="27"/>
  <c r="D879" i="27" s="1"/>
  <c r="E875" i="27"/>
  <c r="F875" i="27"/>
  <c r="D882" i="27" s="1"/>
  <c r="W134" i="20" l="1"/>
  <c r="X134" i="20" s="1"/>
  <c r="V135" i="20" s="1"/>
  <c r="E883" i="27"/>
  <c r="F883" i="27"/>
  <c r="D890" i="27" s="1"/>
  <c r="E881" i="27"/>
  <c r="F881" i="27"/>
  <c r="D888" i="27" s="1"/>
  <c r="E880" i="27"/>
  <c r="F880" i="27"/>
  <c r="D887" i="27" s="1"/>
  <c r="F879" i="27"/>
  <c r="D886" i="27" s="1"/>
  <c r="E879" i="27"/>
  <c r="E882" i="27"/>
  <c r="F882" i="27"/>
  <c r="D889" i="27" s="1"/>
  <c r="E878" i="27"/>
  <c r="F878" i="27"/>
  <c r="D885" i="27" s="1"/>
  <c r="E877" i="27"/>
  <c r="F877" i="27"/>
  <c r="D884" i="27" s="1"/>
  <c r="W135" i="20" l="1"/>
  <c r="X135" i="20" s="1"/>
  <c r="V136" i="20" s="1"/>
  <c r="F887" i="27"/>
  <c r="D894" i="27" s="1"/>
  <c r="E887" i="27"/>
  <c r="F888" i="27"/>
  <c r="D895" i="27" s="1"/>
  <c r="E888" i="27"/>
  <c r="E884" i="27"/>
  <c r="F884" i="27"/>
  <c r="D891" i="27" s="1"/>
  <c r="E885" i="27"/>
  <c r="F885" i="27"/>
  <c r="D892" i="27" s="1"/>
  <c r="E889" i="27"/>
  <c r="F889" i="27"/>
  <c r="D896" i="27" s="1"/>
  <c r="E890" i="27"/>
  <c r="F890" i="27"/>
  <c r="D897" i="27" s="1"/>
  <c r="E886" i="27"/>
  <c r="F886" i="27"/>
  <c r="D893" i="27" s="1"/>
  <c r="W136" i="20" l="1"/>
  <c r="X136" i="20" s="1"/>
  <c r="V137" i="20" s="1"/>
  <c r="E892" i="27"/>
  <c r="F892" i="27"/>
  <c r="D899" i="27" s="1"/>
  <c r="E893" i="27"/>
  <c r="F893" i="27"/>
  <c r="D900" i="27" s="1"/>
  <c r="F891" i="27"/>
  <c r="D898" i="27" s="1"/>
  <c r="E891" i="27"/>
  <c r="F897" i="27"/>
  <c r="D904" i="27" s="1"/>
  <c r="E897" i="27"/>
  <c r="E895" i="27"/>
  <c r="F895" i="27"/>
  <c r="D902" i="27" s="1"/>
  <c r="F896" i="27"/>
  <c r="D903" i="27" s="1"/>
  <c r="E896" i="27"/>
  <c r="F894" i="27"/>
  <c r="D901" i="27" s="1"/>
  <c r="E894" i="27"/>
  <c r="W137" i="20" l="1"/>
  <c r="X137" i="20" s="1"/>
  <c r="V138" i="20" s="1"/>
  <c r="F898" i="27"/>
  <c r="D905" i="27" s="1"/>
  <c r="E898" i="27"/>
  <c r="E900" i="27"/>
  <c r="F900" i="27"/>
  <c r="D907" i="27" s="1"/>
  <c r="E903" i="27"/>
  <c r="F903" i="27"/>
  <c r="D910" i="27" s="1"/>
  <c r="E902" i="27"/>
  <c r="F902" i="27"/>
  <c r="D909" i="27" s="1"/>
  <c r="E899" i="27"/>
  <c r="F899" i="27"/>
  <c r="D906" i="27" s="1"/>
  <c r="E904" i="27"/>
  <c r="F904" i="27"/>
  <c r="D911" i="27" s="1"/>
  <c r="F901" i="27"/>
  <c r="D908" i="27" s="1"/>
  <c r="E901" i="27"/>
  <c r="W138" i="20" l="1"/>
  <c r="X138" i="20" s="1"/>
  <c r="V139" i="20" s="1"/>
  <c r="E909" i="27"/>
  <c r="F909" i="27"/>
  <c r="D916" i="27" s="1"/>
  <c r="E910" i="27"/>
  <c r="F910" i="27"/>
  <c r="D917" i="27" s="1"/>
  <c r="E908" i="27"/>
  <c r="F908" i="27"/>
  <c r="D915" i="27" s="1"/>
  <c r="F907" i="27"/>
  <c r="D914" i="27" s="1"/>
  <c r="E907" i="27"/>
  <c r="F911" i="27"/>
  <c r="D918" i="27" s="1"/>
  <c r="E911" i="27"/>
  <c r="E906" i="27"/>
  <c r="F906" i="27"/>
  <c r="D913" i="27" s="1"/>
  <c r="F905" i="27"/>
  <c r="D912" i="27" s="1"/>
  <c r="E905" i="27"/>
  <c r="W139" i="20" l="1"/>
  <c r="X139" i="20" s="1"/>
  <c r="V140" i="20" s="1"/>
  <c r="E912" i="27"/>
  <c r="F912" i="27"/>
  <c r="D919" i="27" s="1"/>
  <c r="E917" i="27"/>
  <c r="F917" i="27"/>
  <c r="D924" i="27" s="1"/>
  <c r="E915" i="27"/>
  <c r="F915" i="27"/>
  <c r="D922" i="27" s="1"/>
  <c r="E913" i="27"/>
  <c r="F913" i="27"/>
  <c r="D920" i="27" s="1"/>
  <c r="E914" i="27"/>
  <c r="F914" i="27"/>
  <c r="D921" i="27" s="1"/>
  <c r="E916" i="27"/>
  <c r="F916" i="27"/>
  <c r="D923" i="27" s="1"/>
  <c r="F918" i="27"/>
  <c r="D925" i="27" s="1"/>
  <c r="E918" i="27"/>
  <c r="W140" i="20" l="1"/>
  <c r="X140" i="20" s="1"/>
  <c r="V141" i="20" s="1"/>
  <c r="E920" i="27"/>
  <c r="F920" i="27"/>
  <c r="D927" i="27" s="1"/>
  <c r="E925" i="27"/>
  <c r="F925" i="27"/>
  <c r="D932" i="27" s="1"/>
  <c r="E924" i="27"/>
  <c r="F924" i="27"/>
  <c r="D931" i="27" s="1"/>
  <c r="E922" i="27"/>
  <c r="F922" i="27"/>
  <c r="D929" i="27" s="1"/>
  <c r="E923" i="27"/>
  <c r="F923" i="27"/>
  <c r="D930" i="27" s="1"/>
  <c r="F921" i="27"/>
  <c r="D928" i="27" s="1"/>
  <c r="E921" i="27"/>
  <c r="E919" i="27"/>
  <c r="F919" i="27"/>
  <c r="D926" i="27" s="1"/>
  <c r="W141" i="20" l="1"/>
  <c r="X141" i="20" s="1"/>
  <c r="V142" i="20" s="1"/>
  <c r="F929" i="27"/>
  <c r="D936" i="27" s="1"/>
  <c r="E929" i="27"/>
  <c r="E931" i="27"/>
  <c r="F931" i="27"/>
  <c r="D938" i="27" s="1"/>
  <c r="E932" i="27"/>
  <c r="F932" i="27"/>
  <c r="D939" i="27" s="1"/>
  <c r="F926" i="27"/>
  <c r="D933" i="27" s="1"/>
  <c r="E926" i="27"/>
  <c r="F928" i="27"/>
  <c r="D935" i="27" s="1"/>
  <c r="E928" i="27"/>
  <c r="E930" i="27"/>
  <c r="F930" i="27"/>
  <c r="D937" i="27" s="1"/>
  <c r="E927" i="27"/>
  <c r="F927" i="27"/>
  <c r="D934" i="27" s="1"/>
  <c r="W142" i="20" l="1"/>
  <c r="X142" i="20" s="1"/>
  <c r="V143" i="20" s="1"/>
  <c r="E933" i="27"/>
  <c r="F933" i="27"/>
  <c r="D940" i="27" s="1"/>
  <c r="E938" i="27"/>
  <c r="F938" i="27"/>
  <c r="D945" i="27" s="1"/>
  <c r="F934" i="27"/>
  <c r="D941" i="27" s="1"/>
  <c r="E934" i="27"/>
  <c r="E937" i="27"/>
  <c r="F937" i="27"/>
  <c r="D944" i="27" s="1"/>
  <c r="F939" i="27"/>
  <c r="D946" i="27" s="1"/>
  <c r="E939" i="27"/>
  <c r="F935" i="27"/>
  <c r="D942" i="27" s="1"/>
  <c r="E935" i="27"/>
  <c r="E936" i="27"/>
  <c r="F936" i="27"/>
  <c r="D943" i="27" s="1"/>
  <c r="W143" i="20" l="1"/>
  <c r="X143" i="20" s="1"/>
  <c r="V144" i="20" s="1"/>
  <c r="F944" i="27"/>
  <c r="D951" i="27" s="1"/>
  <c r="E944" i="27"/>
  <c r="F943" i="27"/>
  <c r="D950" i="27" s="1"/>
  <c r="E943" i="27"/>
  <c r="F941" i="27"/>
  <c r="D948" i="27" s="1"/>
  <c r="E941" i="27"/>
  <c r="F945" i="27"/>
  <c r="D952" i="27" s="1"/>
  <c r="E945" i="27"/>
  <c r="E942" i="27"/>
  <c r="F942" i="27"/>
  <c r="D949" i="27" s="1"/>
  <c r="F940" i="27"/>
  <c r="D947" i="27" s="1"/>
  <c r="E940" i="27"/>
  <c r="F946" i="27"/>
  <c r="D953" i="27" s="1"/>
  <c r="E946" i="27"/>
  <c r="W144" i="20" l="1"/>
  <c r="X144" i="20" s="1"/>
  <c r="V145" i="20" s="1"/>
  <c r="E948" i="27"/>
  <c r="F948" i="27"/>
  <c r="D955" i="27" s="1"/>
  <c r="E952" i="27"/>
  <c r="F952" i="27"/>
  <c r="D959" i="27" s="1"/>
  <c r="F947" i="27"/>
  <c r="D954" i="27" s="1"/>
  <c r="E947" i="27"/>
  <c r="F950" i="27"/>
  <c r="D957" i="27" s="1"/>
  <c r="E950" i="27"/>
  <c r="E953" i="27"/>
  <c r="F953" i="27"/>
  <c r="D960" i="27" s="1"/>
  <c r="E949" i="27"/>
  <c r="F949" i="27"/>
  <c r="D956" i="27" s="1"/>
  <c r="E951" i="27"/>
  <c r="F951" i="27"/>
  <c r="D958" i="27" s="1"/>
  <c r="W145" i="20" l="1"/>
  <c r="X145" i="20" s="1"/>
  <c r="V146" i="20" s="1"/>
  <c r="E958" i="27"/>
  <c r="F958" i="27"/>
  <c r="D965" i="27" s="1"/>
  <c r="E954" i="27"/>
  <c r="F954" i="27"/>
  <c r="D961" i="27" s="1"/>
  <c r="F956" i="27"/>
  <c r="D963" i="27" s="1"/>
  <c r="E956" i="27"/>
  <c r="E959" i="27"/>
  <c r="F959" i="27"/>
  <c r="D966" i="27" s="1"/>
  <c r="E957" i="27"/>
  <c r="F957" i="27"/>
  <c r="D964" i="27" s="1"/>
  <c r="E960" i="27"/>
  <c r="F960" i="27"/>
  <c r="D967" i="27" s="1"/>
  <c r="F955" i="27"/>
  <c r="D962" i="27" s="1"/>
  <c r="E955" i="27"/>
  <c r="W146" i="20" l="1"/>
  <c r="X146" i="20" s="1"/>
  <c r="V147" i="20" s="1"/>
  <c r="E966" i="27"/>
  <c r="F966" i="27"/>
  <c r="D973" i="27" s="1"/>
  <c r="E963" i="27"/>
  <c r="F963" i="27"/>
  <c r="D970" i="27" s="1"/>
  <c r="E967" i="27"/>
  <c r="F967" i="27"/>
  <c r="D974" i="27" s="1"/>
  <c r="E961" i="27"/>
  <c r="F961" i="27"/>
  <c r="D968" i="27" s="1"/>
  <c r="E962" i="27"/>
  <c r="F962" i="27"/>
  <c r="D969" i="27" s="1"/>
  <c r="E964" i="27"/>
  <c r="F964" i="27"/>
  <c r="D971" i="27" s="1"/>
  <c r="F965" i="27"/>
  <c r="D972" i="27" s="1"/>
  <c r="E965" i="27"/>
  <c r="W147" i="20" l="1"/>
  <c r="X147" i="20" s="1"/>
  <c r="V148" i="20" s="1"/>
  <c r="E968" i="27"/>
  <c r="F968" i="27"/>
  <c r="D975" i="27" s="1"/>
  <c r="E974" i="27"/>
  <c r="F974" i="27"/>
  <c r="D981" i="27" s="1"/>
  <c r="F971" i="27"/>
  <c r="D978" i="27" s="1"/>
  <c r="E971" i="27"/>
  <c r="E970" i="27"/>
  <c r="F970" i="27"/>
  <c r="D977" i="27" s="1"/>
  <c r="E969" i="27"/>
  <c r="F969" i="27"/>
  <c r="D976" i="27" s="1"/>
  <c r="E973" i="27"/>
  <c r="F973" i="27"/>
  <c r="D980" i="27" s="1"/>
  <c r="E972" i="27"/>
  <c r="F972" i="27"/>
  <c r="D979" i="27" s="1"/>
  <c r="W148" i="20" l="1"/>
  <c r="X148" i="20" s="1"/>
  <c r="V149" i="20" s="1"/>
  <c r="E977" i="27"/>
  <c r="F977" i="27"/>
  <c r="D984" i="27" s="1"/>
  <c r="E979" i="27"/>
  <c r="F979" i="27"/>
  <c r="D986" i="27" s="1"/>
  <c r="F978" i="27"/>
  <c r="D985" i="27" s="1"/>
  <c r="E978" i="27"/>
  <c r="E981" i="27"/>
  <c r="F981" i="27"/>
  <c r="D988" i="27" s="1"/>
  <c r="E980" i="27"/>
  <c r="F980" i="27"/>
  <c r="D987" i="27" s="1"/>
  <c r="F976" i="27"/>
  <c r="D983" i="27" s="1"/>
  <c r="E976" i="27"/>
  <c r="E975" i="27"/>
  <c r="F975" i="27"/>
  <c r="D982" i="27" s="1"/>
  <c r="W149" i="20" l="1"/>
  <c r="X149" i="20" s="1"/>
  <c r="V150" i="20" s="1"/>
  <c r="F988" i="27"/>
  <c r="D995" i="27" s="1"/>
  <c r="E988" i="27"/>
  <c r="E985" i="27"/>
  <c r="F985" i="27"/>
  <c r="D992" i="27" s="1"/>
  <c r="F982" i="27"/>
  <c r="D989" i="27" s="1"/>
  <c r="E982" i="27"/>
  <c r="F986" i="27"/>
  <c r="D993" i="27" s="1"/>
  <c r="E986" i="27"/>
  <c r="E983" i="27"/>
  <c r="F983" i="27"/>
  <c r="D990" i="27" s="1"/>
  <c r="E987" i="27"/>
  <c r="F987" i="27"/>
  <c r="D994" i="27" s="1"/>
  <c r="E984" i="27"/>
  <c r="F984" i="27"/>
  <c r="D991" i="27" s="1"/>
  <c r="W150" i="20" l="1"/>
  <c r="X150" i="20" s="1"/>
  <c r="V151" i="20" s="1"/>
  <c r="E991" i="27"/>
  <c r="F991" i="27"/>
  <c r="D998" i="27" s="1"/>
  <c r="F989" i="27"/>
  <c r="D996" i="27" s="1"/>
  <c r="E989" i="27"/>
  <c r="E994" i="27"/>
  <c r="F994" i="27"/>
  <c r="D1001" i="27" s="1"/>
  <c r="F992" i="27"/>
  <c r="D999" i="27" s="1"/>
  <c r="E992" i="27"/>
  <c r="E993" i="27"/>
  <c r="F993" i="27"/>
  <c r="D1000" i="27" s="1"/>
  <c r="E990" i="27"/>
  <c r="F990" i="27"/>
  <c r="D997" i="27" s="1"/>
  <c r="F995" i="27"/>
  <c r="D1002" i="27" s="1"/>
  <c r="E995" i="27"/>
  <c r="W151" i="20" l="1"/>
  <c r="X151" i="20" s="1"/>
  <c r="V152" i="20" s="1"/>
  <c r="E1001" i="27"/>
  <c r="F1001" i="27"/>
  <c r="D1008" i="27" s="1"/>
  <c r="E1002" i="27"/>
  <c r="F1002" i="27"/>
  <c r="D1009" i="27" s="1"/>
  <c r="E999" i="27"/>
  <c r="F999" i="27"/>
  <c r="D1006" i="27" s="1"/>
  <c r="E997" i="27"/>
  <c r="F997" i="27"/>
  <c r="D1004" i="27" s="1"/>
  <c r="E996" i="27"/>
  <c r="F996" i="27"/>
  <c r="D1003" i="27" s="1"/>
  <c r="E998" i="27"/>
  <c r="F998" i="27"/>
  <c r="D1005" i="27" s="1"/>
  <c r="E1000" i="27"/>
  <c r="F1000" i="27"/>
  <c r="D1007" i="27" s="1"/>
  <c r="W152" i="20" l="1"/>
  <c r="X152" i="20" s="1"/>
  <c r="V153" i="20" s="1"/>
  <c r="E1004" i="27"/>
  <c r="F1004" i="27"/>
  <c r="D1011" i="27" s="1"/>
  <c r="E1006" i="27"/>
  <c r="F1006" i="27"/>
  <c r="D1013" i="27" s="1"/>
  <c r="E1005" i="27"/>
  <c r="F1005" i="27"/>
  <c r="D1012" i="27" s="1"/>
  <c r="E1009" i="27"/>
  <c r="F1009" i="27"/>
  <c r="D1016" i="27" s="1"/>
  <c r="E1008" i="27"/>
  <c r="F1008" i="27"/>
  <c r="D1015" i="27" s="1"/>
  <c r="E1007" i="27"/>
  <c r="F1007" i="27"/>
  <c r="D1014" i="27" s="1"/>
  <c r="E1003" i="27"/>
  <c r="F1003" i="27"/>
  <c r="D1010" i="27" s="1"/>
  <c r="W153" i="20" l="1"/>
  <c r="X153" i="20" s="1"/>
  <c r="E1016" i="27"/>
  <c r="F1016" i="27"/>
  <c r="D1023" i="27" s="1"/>
  <c r="E1012" i="27"/>
  <c r="F1012" i="27"/>
  <c r="D1019" i="27" s="1"/>
  <c r="E1010" i="27"/>
  <c r="F1010" i="27"/>
  <c r="D1017" i="27" s="1"/>
  <c r="E1014" i="27"/>
  <c r="F1014" i="27"/>
  <c r="D1021" i="27" s="1"/>
  <c r="E1013" i="27"/>
  <c r="F1013" i="27"/>
  <c r="D1020" i="27" s="1"/>
  <c r="E1011" i="27"/>
  <c r="F1011" i="27"/>
  <c r="D1018" i="27" s="1"/>
  <c r="E1015" i="27"/>
  <c r="F1015" i="27"/>
  <c r="D1022" i="27" s="1"/>
  <c r="V154" i="20" l="1"/>
  <c r="W154" i="20" s="1"/>
  <c r="X154" i="20" s="1"/>
  <c r="V155" i="20" s="1"/>
  <c r="W155" i="20" s="1"/>
  <c r="X155" i="20" s="1"/>
  <c r="V156" i="20" s="1"/>
  <c r="F1021" i="27"/>
  <c r="D1028" i="27" s="1"/>
  <c r="E1021" i="27"/>
  <c r="F1017" i="27"/>
  <c r="D1024" i="27" s="1"/>
  <c r="E1017" i="27"/>
  <c r="F1022" i="27"/>
  <c r="D1029" i="27" s="1"/>
  <c r="E1022" i="27"/>
  <c r="E1018" i="27"/>
  <c r="F1018" i="27"/>
  <c r="D1025" i="27" s="1"/>
  <c r="F1019" i="27"/>
  <c r="D1026" i="27" s="1"/>
  <c r="E1019" i="27"/>
  <c r="E1020" i="27"/>
  <c r="F1020" i="27"/>
  <c r="D1027" i="27" s="1"/>
  <c r="E1023" i="27"/>
  <c r="F1023" i="27"/>
  <c r="D1030" i="27" s="1"/>
  <c r="W156" i="20" l="1"/>
  <c r="X156" i="20" s="1"/>
  <c r="V157" i="20" s="1"/>
  <c r="E1027" i="27"/>
  <c r="F1027" i="27"/>
  <c r="D1034" i="27" s="1"/>
  <c r="E1030" i="27"/>
  <c r="F1030" i="27"/>
  <c r="D1037" i="27" s="1"/>
  <c r="F1024" i="27"/>
  <c r="D1031" i="27" s="1"/>
  <c r="E1024" i="27"/>
  <c r="E1025" i="27"/>
  <c r="F1025" i="27"/>
  <c r="D1032" i="27" s="1"/>
  <c r="E1029" i="27"/>
  <c r="F1029" i="27"/>
  <c r="D1036" i="27" s="1"/>
  <c r="E1026" i="27"/>
  <c r="F1026" i="27"/>
  <c r="D1033" i="27" s="1"/>
  <c r="F1028" i="27"/>
  <c r="D1035" i="27" s="1"/>
  <c r="E1028" i="27"/>
  <c r="W157" i="20" l="1"/>
  <c r="X157" i="20" s="1"/>
  <c r="V158" i="20" s="1"/>
  <c r="E1032" i="27"/>
  <c r="F1032" i="27"/>
  <c r="D1039" i="27" s="1"/>
  <c r="E1035" i="27"/>
  <c r="F1035" i="27"/>
  <c r="D1042" i="27" s="1"/>
  <c r="E1031" i="27"/>
  <c r="F1031" i="27"/>
  <c r="D1038" i="27" s="1"/>
  <c r="E1037" i="27"/>
  <c r="F1037" i="27"/>
  <c r="D1044" i="27" s="1"/>
  <c r="E1033" i="27"/>
  <c r="F1033" i="27"/>
  <c r="D1040" i="27" s="1"/>
  <c r="F1036" i="27"/>
  <c r="D1043" i="27" s="1"/>
  <c r="E1036" i="27"/>
  <c r="E1034" i="27"/>
  <c r="F1034" i="27"/>
  <c r="D1041" i="27" s="1"/>
  <c r="W158" i="20" l="1"/>
  <c r="X158" i="20" s="1"/>
  <c r="V159" i="20" s="1"/>
  <c r="F1044" i="27"/>
  <c r="D1051" i="27" s="1"/>
  <c r="E1044" i="27"/>
  <c r="E1042" i="27"/>
  <c r="F1042" i="27"/>
  <c r="D1049" i="27" s="1"/>
  <c r="E1038" i="27"/>
  <c r="F1038" i="27"/>
  <c r="D1045" i="27" s="1"/>
  <c r="E1041" i="27"/>
  <c r="F1041" i="27"/>
  <c r="D1048" i="27" s="1"/>
  <c r="E1040" i="27"/>
  <c r="F1040" i="27"/>
  <c r="D1047" i="27" s="1"/>
  <c r="E1039" i="27"/>
  <c r="F1039" i="27"/>
  <c r="D1046" i="27" s="1"/>
  <c r="E1043" i="27"/>
  <c r="F1043" i="27"/>
  <c r="D1050" i="27" s="1"/>
  <c r="W159" i="20" l="1"/>
  <c r="X159" i="20" s="1"/>
  <c r="V160" i="20" s="1"/>
  <c r="F1048" i="27"/>
  <c r="D1055" i="27" s="1"/>
  <c r="E1048" i="27"/>
  <c r="E1045" i="27"/>
  <c r="F1045" i="27"/>
  <c r="D1052" i="27" s="1"/>
  <c r="E1046" i="27"/>
  <c r="F1046" i="27"/>
  <c r="D1053" i="27" s="1"/>
  <c r="E1049" i="27"/>
  <c r="F1049" i="27"/>
  <c r="D1056" i="27" s="1"/>
  <c r="F1050" i="27"/>
  <c r="D1057" i="27" s="1"/>
  <c r="E1050" i="27"/>
  <c r="F1047" i="27"/>
  <c r="D1054" i="27" s="1"/>
  <c r="E1047" i="27"/>
  <c r="E1051" i="27"/>
  <c r="F1051" i="27"/>
  <c r="D1058" i="27" s="1"/>
  <c r="W160" i="20" l="1"/>
  <c r="X160" i="20" s="1"/>
  <c r="E1056" i="27"/>
  <c r="F1056" i="27"/>
  <c r="D1063" i="27" s="1"/>
  <c r="E1058" i="27"/>
  <c r="F1058" i="27"/>
  <c r="D1065" i="27" s="1"/>
  <c r="F1052" i="27"/>
  <c r="D1059" i="27" s="1"/>
  <c r="E1052" i="27"/>
  <c r="E1053" i="27"/>
  <c r="F1053" i="27"/>
  <c r="D1060" i="27" s="1"/>
  <c r="E1054" i="27"/>
  <c r="F1054" i="27"/>
  <c r="D1061" i="27" s="1"/>
  <c r="E1057" i="27"/>
  <c r="F1057" i="27"/>
  <c r="D1064" i="27" s="1"/>
  <c r="E1055" i="27"/>
  <c r="F1055" i="27"/>
  <c r="D1062" i="27" s="1"/>
  <c r="W161" i="20" l="1"/>
  <c r="X161" i="20" s="1"/>
  <c r="V162" i="20" s="1"/>
  <c r="W162" i="20" s="1"/>
  <c r="X162" i="20" s="1"/>
  <c r="V163" i="20" s="1"/>
  <c r="V161" i="20"/>
  <c r="F1059" i="27"/>
  <c r="D1066" i="27" s="1"/>
  <c r="E1059" i="27"/>
  <c r="E1065" i="27"/>
  <c r="F1065" i="27"/>
  <c r="D1072" i="27" s="1"/>
  <c r="E1060" i="27"/>
  <c r="F1060" i="27"/>
  <c r="D1067" i="27" s="1"/>
  <c r="E1062" i="27"/>
  <c r="F1062" i="27"/>
  <c r="D1069" i="27" s="1"/>
  <c r="E1064" i="27"/>
  <c r="F1064" i="27"/>
  <c r="D1071" i="27" s="1"/>
  <c r="E1063" i="27"/>
  <c r="F1063" i="27"/>
  <c r="D1070" i="27" s="1"/>
  <c r="E1061" i="27"/>
  <c r="F1061" i="27"/>
  <c r="D1068" i="27" s="1"/>
  <c r="W163" i="20" l="1"/>
  <c r="X163" i="20" s="1"/>
  <c r="V164" i="20" s="1"/>
  <c r="E1069" i="27"/>
  <c r="F1069" i="27"/>
  <c r="D1076" i="27" s="1"/>
  <c r="E1072" i="27"/>
  <c r="F1072" i="27"/>
  <c r="D1079" i="27" s="1"/>
  <c r="E1067" i="27"/>
  <c r="F1067" i="27"/>
  <c r="D1074" i="27" s="1"/>
  <c r="E1068" i="27"/>
  <c r="F1068" i="27"/>
  <c r="D1075" i="27" s="1"/>
  <c r="E1071" i="27"/>
  <c r="F1071" i="27"/>
  <c r="D1078" i="27" s="1"/>
  <c r="E1070" i="27"/>
  <c r="F1070" i="27"/>
  <c r="D1077" i="27" s="1"/>
  <c r="E1066" i="27"/>
  <c r="F1066" i="27"/>
  <c r="D1073" i="27" s="1"/>
  <c r="W164" i="20" l="1"/>
  <c r="X164" i="20" s="1"/>
  <c r="V165" i="20" s="1"/>
  <c r="F1075" i="27"/>
  <c r="D1082" i="27" s="1"/>
  <c r="E1075" i="27"/>
  <c r="E1077" i="27"/>
  <c r="F1077" i="27"/>
  <c r="D1084" i="27" s="1"/>
  <c r="E1073" i="27"/>
  <c r="F1073" i="27"/>
  <c r="D1080" i="27" s="1"/>
  <c r="E1079" i="27"/>
  <c r="F1079" i="27"/>
  <c r="D1086" i="27" s="1"/>
  <c r="E1076" i="27"/>
  <c r="F1076" i="27"/>
  <c r="D1083" i="27" s="1"/>
  <c r="E1074" i="27"/>
  <c r="F1074" i="27"/>
  <c r="D1081" i="27" s="1"/>
  <c r="E1078" i="27"/>
  <c r="F1078" i="27"/>
  <c r="D1085" i="27" s="1"/>
  <c r="W165" i="20" l="1"/>
  <c r="X165" i="20" s="1"/>
  <c r="V166" i="20" s="1"/>
  <c r="E1086" i="27"/>
  <c r="F1086" i="27"/>
  <c r="D1093" i="27" s="1"/>
  <c r="E1080" i="27"/>
  <c r="F1080" i="27"/>
  <c r="D1087" i="27" s="1"/>
  <c r="F1081" i="27"/>
  <c r="D1088" i="27" s="1"/>
  <c r="E1081" i="27"/>
  <c r="E1083" i="27"/>
  <c r="F1083" i="27"/>
  <c r="D1090" i="27" s="1"/>
  <c r="F1085" i="27"/>
  <c r="D1092" i="27" s="1"/>
  <c r="E1085" i="27"/>
  <c r="F1084" i="27"/>
  <c r="D1091" i="27" s="1"/>
  <c r="E1084" i="27"/>
  <c r="E1082" i="27"/>
  <c r="F1082" i="27"/>
  <c r="D1089" i="27" s="1"/>
  <c r="W166" i="20" l="1"/>
  <c r="X166" i="20" s="1"/>
  <c r="V167" i="20" s="1"/>
  <c r="E1090" i="27"/>
  <c r="F1090" i="27"/>
  <c r="D1097" i="27" s="1"/>
  <c r="F1091" i="27"/>
  <c r="D1098" i="27" s="1"/>
  <c r="E1091" i="27"/>
  <c r="E1089" i="27"/>
  <c r="F1089" i="27"/>
  <c r="D1096" i="27" s="1"/>
  <c r="E1088" i="27"/>
  <c r="F1088" i="27"/>
  <c r="D1095" i="27" s="1"/>
  <c r="E1087" i="27"/>
  <c r="F1087" i="27"/>
  <c r="D1094" i="27" s="1"/>
  <c r="E1093" i="27"/>
  <c r="F1093" i="27"/>
  <c r="E1092" i="27"/>
  <c r="F1092" i="27"/>
  <c r="D1099" i="27" s="1"/>
  <c r="W167" i="20" l="1"/>
  <c r="X167" i="20" s="1"/>
  <c r="V168" i="20" s="1"/>
  <c r="E1096" i="27"/>
  <c r="F1096" i="27"/>
  <c r="E1099" i="27"/>
  <c r="F1099" i="27"/>
  <c r="E1098" i="27"/>
  <c r="F1098" i="27"/>
  <c r="F1097" i="27"/>
  <c r="E1097" i="27"/>
  <c r="E1095" i="27"/>
  <c r="F1095" i="27"/>
  <c r="F1094" i="27"/>
  <c r="E1094" i="27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W182" i="20" l="1"/>
  <c r="X182" i="20" s="1"/>
  <c r="V183" i="20" s="1"/>
  <c r="W183" i="20" s="1"/>
  <c r="X183" i="20" s="1"/>
  <c r="V184" i="20" s="1"/>
  <c r="V182" i="20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W217" i="20" l="1"/>
  <c r="X217" i="20" s="1"/>
  <c r="V218" i="20" s="1"/>
  <c r="W218" i="20" s="1"/>
  <c r="X218" i="20" s="1"/>
  <c r="V219" i="20" s="1"/>
  <c r="V217" i="20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W245" i="20" l="1"/>
  <c r="X245" i="20" s="1"/>
  <c r="V246" i="20" s="1"/>
  <c r="W246" i="20" s="1"/>
  <c r="X246" i="20" s="1"/>
  <c r="V247" i="20" s="1"/>
  <c r="V245" i="20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W315" i="20" l="1"/>
  <c r="X315" i="20" s="1"/>
  <c r="V316" i="20" s="1"/>
  <c r="W316" i="20" s="1"/>
  <c r="X316" i="20" s="1"/>
  <c r="V317" i="20" s="1"/>
  <c r="V315" i="20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W350" i="20" l="1"/>
  <c r="X350" i="20" s="1"/>
  <c r="V351" i="20" s="1"/>
  <c r="W351" i="20" s="1"/>
  <c r="X351" i="20" s="1"/>
  <c r="V352" i="20" s="1"/>
  <c r="V350" i="20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W455" i="20" l="1"/>
  <c r="X455" i="20" s="1"/>
  <c r="V456" i="20" s="1"/>
  <c r="W456" i="20" s="1"/>
  <c r="X456" i="20" s="1"/>
  <c r="V457" i="20" s="1"/>
  <c r="V455" i="20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W490" i="20" l="1"/>
  <c r="X490" i="20" s="1"/>
  <c r="V491" i="20" s="1"/>
  <c r="W491" i="20" s="1"/>
  <c r="X491" i="20" s="1"/>
  <c r="V492" i="20" s="1"/>
  <c r="V490" i="20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W623" i="20" l="1"/>
  <c r="X623" i="20" s="1"/>
  <c r="V624" i="20" s="1"/>
  <c r="W624" i="20" s="1"/>
  <c r="X624" i="20" s="1"/>
  <c r="V625" i="20" s="1"/>
  <c r="V623" i="20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W630" i="20" l="1"/>
  <c r="X630" i="20" s="1"/>
  <c r="V631" i="20" s="1"/>
  <c r="W631" i="20" s="1"/>
  <c r="X631" i="20" s="1"/>
  <c r="V632" i="20" s="1"/>
  <c r="V630" i="20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W644" i="20" l="1"/>
  <c r="X644" i="20" s="1"/>
  <c r="V645" i="20" s="1"/>
  <c r="W645" i="20" s="1"/>
  <c r="X645" i="20" s="1"/>
  <c r="V646" i="20" s="1"/>
  <c r="V644" i="20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W658" i="20" l="1"/>
  <c r="X658" i="20" s="1"/>
  <c r="V659" i="20" s="1"/>
  <c r="W659" i="20" s="1"/>
  <c r="X659" i="20" s="1"/>
  <c r="V660" i="20" s="1"/>
  <c r="V658" i="20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W784" i="20" l="1"/>
  <c r="X784" i="20" s="1"/>
  <c r="V785" i="20" s="1"/>
  <c r="W785" i="20" s="1"/>
  <c r="X785" i="20" s="1"/>
  <c r="V786" i="20" s="1"/>
  <c r="V784" i="20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sharedStrings.xml><?xml version="1.0" encoding="utf-8"?>
<sst xmlns="http://schemas.openxmlformats.org/spreadsheetml/2006/main" count="484" uniqueCount="192">
  <si>
    <t xml:space="preserve">Facturation particulier </t>
  </si>
  <si>
    <t>Facturation mairie</t>
  </si>
  <si>
    <t>Facturation marché public</t>
  </si>
  <si>
    <t>Total</t>
  </si>
  <si>
    <t>Findis</t>
  </si>
  <si>
    <t xml:space="preserve">Pro </t>
  </si>
  <si>
    <t>Pms</t>
  </si>
  <si>
    <t>Yess electrique</t>
  </si>
  <si>
    <t>Rexel</t>
  </si>
  <si>
    <t>Dépenses Fournisseurs  entreprise</t>
  </si>
  <si>
    <t>Dépenses Fournisseurs magasin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</si>
  <si>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</si>
  <si>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</si>
  <si>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</si>
  <si>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</si>
  <si>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</si>
  <si>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</si>
  <si>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</si>
  <si>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</si>
  <si>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</si>
  <si>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</si>
  <si>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</si>
  <si>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</si>
  <si>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Sagesco</t>
  </si>
  <si>
    <t xml:space="preserve">Mois </t>
  </si>
  <si>
    <t>N-1</t>
  </si>
  <si>
    <t>N</t>
  </si>
  <si>
    <t>Ecart</t>
  </si>
  <si>
    <t>Encaissement Entreprise</t>
  </si>
  <si>
    <t>Facturation magasin</t>
  </si>
  <si>
    <t>MOIS: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</si>
  <si>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</si>
  <si>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</si>
  <si>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</si>
  <si>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</si>
  <si>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</si>
  <si>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</si>
  <si>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</si>
  <si>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</si>
  <si>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</si>
  <si>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</si>
  <si>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</si>
  <si>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</si>
  <si>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</si>
  <si>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</si>
  <si>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</si>
  <si>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</si>
  <si>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Charges communes</t>
  </si>
  <si>
    <t>Prêt travaux sci</t>
  </si>
  <si>
    <t>Prêt site internet</t>
  </si>
  <si>
    <t xml:space="preserve">Montant emprunté </t>
  </si>
  <si>
    <t xml:space="preserve">Solde du prêt </t>
  </si>
  <si>
    <t>Date de fin</t>
  </si>
  <si>
    <t>Montant epargné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</si>
  <si>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</si>
  <si>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</si>
  <si>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</si>
  <si>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</si>
  <si>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</si>
  <si>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</si>
  <si>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</si>
  <si>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</si>
  <si>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janvier</t>
  </si>
  <si>
    <t>fevrier</t>
  </si>
  <si>
    <t xml:space="preserve">mars </t>
  </si>
  <si>
    <t>avril</t>
  </si>
  <si>
    <t>Emprunt prêt Covid 19</t>
  </si>
  <si>
    <t>Emprunts</t>
  </si>
  <si>
    <t>Credit Bail</t>
  </si>
  <si>
    <t>Vehicule stephane</t>
  </si>
  <si>
    <t>Camion alexis</t>
  </si>
  <si>
    <t>Clubman</t>
  </si>
  <si>
    <t xml:space="preserve">Prets investissement </t>
  </si>
  <si>
    <t>Prets véhicules</t>
  </si>
  <si>
    <t>Tot prêt vehicule</t>
  </si>
  <si>
    <t>Tot prêt investissement</t>
  </si>
  <si>
    <t>Total location vehicule</t>
  </si>
  <si>
    <t>Total charges fixes vehicule et emprunts</t>
  </si>
  <si>
    <t>Veronique</t>
  </si>
  <si>
    <t>Salaire magasin</t>
  </si>
  <si>
    <t>Laurent</t>
  </si>
  <si>
    <t>Alexis BROUTE</t>
  </si>
  <si>
    <t>Alexandre fromager</t>
  </si>
  <si>
    <t>Maxence Chretien</t>
  </si>
  <si>
    <t>Jeremy Lébert</t>
  </si>
  <si>
    <t>Gael Morin</t>
  </si>
  <si>
    <t>Charges sociales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</si>
  <si>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</si>
  <si>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</si>
  <si>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</si>
  <si>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</si>
  <si>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</si>
  <si>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</si>
  <si>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</si>
  <si>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</si>
  <si>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</si>
  <si>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</si>
  <si>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</si>
  <si>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</si>
  <si>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</si>
  <si>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</si>
  <si>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</si>
  <si>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</si>
  <si>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</si>
  <si>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</si>
  <si>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</si>
  <si>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</si>
  <si>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</si>
  <si>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</si>
  <si>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</si>
  <si>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</si>
  <si>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</si>
  <si>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</si>
  <si>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</si>
  <si>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</si>
  <si>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Dépenses Fournisseurs Entreprise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</si>
  <si>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</si>
  <si>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</si>
  <si>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</si>
  <si>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</si>
  <si>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</si>
  <si>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</si>
  <si>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</si>
  <si>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</si>
  <si>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Emprunt</t>
  </si>
  <si>
    <t>Prêt covid19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</si>
  <si>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</si>
  <si>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</si>
  <si>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</si>
  <si>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</si>
  <si>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</si>
  <si>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</si>
  <si>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</si>
  <si>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</si>
  <si>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</si>
  <si>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</si>
  <si>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</si>
  <si>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</si>
  <si>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</si>
  <si>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</si>
  <si>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</si>
  <si>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</si>
  <si>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</si>
  <si>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</si>
  <si>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</si>
  <si>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</si>
  <si>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</si>
  <si>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</si>
  <si>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</si>
  <si>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</si>
  <si>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</si>
  <si>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</si>
  <si>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</si>
  <si>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</si>
  <si>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</si>
  <si>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charge</t>
  </si>
  <si>
    <t>montant</t>
  </si>
  <si>
    <t>Entreprise Chretien SA - Application de gestion</t>
  </si>
  <si>
    <t>Duree</t>
  </si>
  <si>
    <t>05/05/2020</t>
  </si>
  <si>
    <t/>
  </si>
  <si>
    <t>Libellé</t>
  </si>
  <si>
    <t>Total général</t>
  </si>
  <si>
    <t>travaux magasin</t>
  </si>
  <si>
    <t>voiture Boss</t>
  </si>
  <si>
    <t>Étiquettes de colonnes</t>
  </si>
  <si>
    <t>1er paiement</t>
  </si>
  <si>
    <t>Solde</t>
  </si>
  <si>
    <t>Mensualité</t>
  </si>
  <si>
    <t>Sélection du prêt</t>
  </si>
  <si>
    <t>Plan d'amortissement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</si>
  <si>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</si>
  <si>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</si>
  <si>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</si>
  <si>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</si>
  <si>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</si>
  <si>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</si>
  <si>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</si>
  <si>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</si>
  <si>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</si>
  <si>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</si>
  <si>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travaux entreprise</t>
  </si>
  <si>
    <t>Somme de Mensualité</t>
  </si>
  <si>
    <t>Étiquettes de lignes</t>
  </si>
  <si>
    <t>2020</t>
  </si>
  <si>
    <t>juil</t>
  </si>
  <si>
    <t>2021</t>
  </si>
  <si>
    <t>Total Investissement</t>
  </si>
  <si>
    <t>Nombre de Montant</t>
  </si>
  <si>
    <t>mercredi 6 mai 2020</t>
  </si>
  <si>
    <t>(vide)</t>
  </si>
  <si>
    <t>2584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</si>
</sst>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#,##0.00\ &quot;€&quot;;[Red]\-#,##0.00\ &quot;€&quot;"/>
    <numFmt numFmtId="164" formatCode="#,##0.00\ &quot;€&quot;"/>
    <numFmt numFmtId="165" formatCode="#,##0.00\ _€"/>
    <numFmt numFmtId="166" formatCode="[$-40C]d\-mmm\-yyyy;@"/>
    <numFmt numFmtId="167" formatCode="[$-40C]mmm\-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80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4" fillId="0" borderId="1" xfId="0" applyFont="1" applyBorder="1"/>
    <xf numFmtId="0" fontId="0" fillId="0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Fill="1" applyBorder="1"/>
    <xf numFmtId="0" fontId="4" fillId="0" borderId="5" xfId="0" applyFont="1" applyFill="1" applyBorder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Fill="1" applyBorder="1"/>
    <xf numFmtId="0" fontId="6" fillId="0" borderId="1" xfId="0" applyFont="1" applyBorder="1"/>
    <xf numFmtId="164" fontId="0" fillId="0" borderId="1" xfId="0" applyNumberForma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/>
    <xf numFmtId="0" fontId="0" fillId="0" borderId="9" xfId="0" applyBorder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Fill="1" applyBorder="1"/>
    <xf numFmtId="0" fontId="0" fillId="3" borderId="1" xfId="0" applyFill="1" applyBorder="1"/>
    <xf numFmtId="0" fontId="8" fillId="0" borderId="1" xfId="0" applyFont="1" applyBorder="1"/>
    <xf numFmtId="0" fontId="6" fillId="3" borderId="1" xfId="0" applyFont="1" applyFill="1" applyBorder="1"/>
    <xf numFmtId="0" fontId="0" fillId="5" borderId="1" xfId="0" applyFill="1" applyBorder="1"/>
    <xf numFmtId="0" fontId="0" fillId="0" borderId="0" xfId="0" applyFill="1" applyBorder="1"/>
    <xf numFmtId="0" fontId="0" fillId="0" borderId="0" xfId="0" applyBorder="1"/>
    <xf numFmtId="167" fontId="0" fillId="0" borderId="0" xfId="0" applyNumberFormat="1"/>
    <xf numFmtId="0" fontId="1" fillId="0" borderId="0" xfId="0" applyFont="1"/>
    <xf numFmtId="0" fontId="6" fillId="0" borderId="0" xfId="0" applyFont="1" applyBorder="1"/>
    <xf numFmtId="0" fontId="6" fillId="0" borderId="0" xfId="0" applyFont="1" applyFill="1" applyBorder="1"/>
    <xf numFmtId="0" fontId="13" fillId="6" borderId="0" xfId="0" applyFont="1" applyFill="1"/>
    <xf numFmtId="0" fontId="13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/>
    <xf numFmtId="0" fontId="8" fillId="0" borderId="0" xfId="0" applyFont="1" applyBorder="1"/>
    <xf numFmtId="0" fontId="0" fillId="6" borderId="0" xfId="0" applyFill="1"/>
    <xf numFmtId="0" fontId="0" fillId="7" borderId="0" xfId="0" applyFill="1" applyBorder="1"/>
    <xf numFmtId="0" fontId="1" fillId="7" borderId="0" xfId="0" applyFont="1" applyFill="1" applyBorder="1" applyAlignment="1">
      <alignment vertical="center" wrapText="1"/>
    </xf>
    <xf numFmtId="0" fontId="0" fillId="7" borderId="0" xfId="0" applyFill="1" applyBorder="1" applyAlignment="1"/>
    <xf numFmtId="0" fontId="1" fillId="7" borderId="0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wrapText="1"/>
    </xf>
    <xf numFmtId="0" fontId="15" fillId="7" borderId="0" xfId="0" applyFont="1" applyFill="1" applyBorder="1" applyAlignment="1">
      <alignment horizontal="center" vertical="center"/>
    </xf>
    <xf numFmtId="0" fontId="0" fillId="9" borderId="18" xfId="0" applyFont="1" applyFill="1" applyBorder="1"/>
    <xf numFmtId="0" fontId="0" fillId="9" borderId="19" xfId="0" applyFont="1" applyFill="1" applyBorder="1"/>
    <xf numFmtId="0" fontId="0" fillId="9" borderId="20" xfId="0" applyFont="1" applyFill="1" applyBorder="1"/>
    <xf numFmtId="0" fontId="14" fillId="8" borderId="21" xfId="0" applyFont="1" applyFill="1" applyBorder="1"/>
    <xf numFmtId="0" fontId="14" fillId="8" borderId="22" xfId="0" applyFont="1" applyFill="1" applyBorder="1"/>
    <xf numFmtId="0" fontId="14" fillId="8" borderId="23" xfId="0" applyFont="1" applyFill="1" applyBorder="1"/>
    <xf numFmtId="0" fontId="0" fillId="0" borderId="0" xfId="0" applyFont="1" applyFill="1" applyBorder="1"/>
    <xf numFmtId="0" fontId="14" fillId="8" borderId="24" xfId="0" applyFont="1" applyFill="1" applyBorder="1"/>
    <xf numFmtId="0" fontId="14" fillId="8" borderId="0" xfId="0" applyFont="1" applyFill="1" applyBorder="1"/>
    <xf numFmtId="0" fontId="14" fillId="8" borderId="25" xfId="0" applyFont="1" applyFill="1" applyBorder="1"/>
    <xf numFmtId="167" fontId="14" fillId="8" borderId="26" xfId="0" applyNumberFormat="1" applyFont="1" applyFill="1" applyBorder="1"/>
    <xf numFmtId="167" fontId="14" fillId="8" borderId="0" xfId="0" applyNumberFormat="1" applyFont="1" applyFill="1" applyBorder="1"/>
    <xf numFmtId="167" fontId="14" fillId="8" borderId="27" xfId="0" applyNumberFormat="1" applyFont="1" applyFill="1" applyBorder="1"/>
    <xf numFmtId="0" fontId="0" fillId="0" borderId="0" xfId="0" pivotButton="1"/>
    <xf numFmtId="0" fontId="0" fillId="0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/>
    <xf numFmtId="14" fontId="0" fillId="0" borderId="0" xfId="0" applyNumberFormat="1"/>
    <xf numFmtId="10" fontId="0" fillId="0" borderId="1" xfId="0" applyNumberFormat="1" applyBorder="1"/>
    <xf numFmtId="14" fontId="0" fillId="0" borderId="0" xfId="0" applyNumberFormat="1" applyAlignment="1">
      <alignment horizontal="right" vertical="center"/>
    </xf>
    <xf numFmtId="0" fontId="16" fillId="10" borderId="1" xfId="0" applyFont="1" applyFill="1" applyBorder="1"/>
    <xf numFmtId="0" fontId="1" fillId="11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15" fillId="7" borderId="10" xfId="0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5" fillId="5" borderId="2" xfId="0" applyNumberFormat="1" applyFont="1" applyFill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3" xfId="0" applyNumberFormat="1" applyFont="1" applyFill="1" applyBorder="1" applyAlignment="1">
      <alignment horizontal="center"/>
    </xf>
    <xf numFmtId="164" fontId="7" fillId="0" borderId="4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0" borderId="29" xfId="0" applyFont="1" applyBorder="1"/>
    <xf numFmtId="0" fontId="19" fillId="0" borderId="31" xfId="0" applyFont="1" applyBorder="1" applyAlignment="1">
      <alignment horizontal="left" vertical="center" indent="4"/>
    </xf>
    <xf numFmtId="0" fontId="19" fillId="0" borderId="31" xfId="0" applyFont="1" applyBorder="1" applyAlignment="1">
      <alignment vertical="center"/>
    </xf>
    <xf numFmtId="14" fontId="0" fillId="9" borderId="21" xfId="0" applyNumberFormat="1" applyFont="1" applyFill="1" applyBorder="1" applyAlignment="1">
      <alignment horizontal="right" vertical="center"/>
    </xf>
    <xf numFmtId="164" fontId="0" fillId="9" borderId="22" xfId="0" applyNumberFormat="1" applyFont="1" applyFill="1" applyBorder="1"/>
    <xf numFmtId="164" fontId="0" fillId="9" borderId="23" xfId="0" applyNumberFormat="1" applyFont="1" applyFill="1" applyBorder="1"/>
    <xf numFmtId="14" fontId="0" fillId="0" borderId="21" xfId="0" applyNumberFormat="1" applyFont="1" applyBorder="1" applyAlignment="1">
      <alignment horizontal="right" vertical="center"/>
    </xf>
    <xf numFmtId="164" fontId="0" fillId="0" borderId="22" xfId="0" applyNumberFormat="1" applyFont="1" applyBorder="1"/>
    <xf numFmtId="164" fontId="0" fillId="0" borderId="23" xfId="0" applyNumberFormat="1" applyFont="1" applyBorder="1"/>
    <xf numFmtId="14" fontId="1" fillId="0" borderId="28" xfId="0" applyNumberFormat="1" applyFont="1" applyBorder="1" applyAlignment="1">
      <alignment horizontal="right" vertical="center"/>
    </xf>
    <xf numFmtId="164" fontId="1" fillId="0" borderId="29" xfId="0" applyNumberFormat="1" applyFont="1" applyBorder="1"/>
    <xf numFmtId="164" fontId="1" fillId="0" borderId="30" xfId="0" applyNumberFormat="1" applyFont="1" applyBorder="1"/>
    <xf numFmtId="8" fontId="0" fillId="9" borderId="22" xfId="0" applyNumberFormat="1" applyFont="1" applyFill="1" applyBorder="1"/>
    <xf numFmtId="14" fontId="0" fillId="0" borderId="21" xfId="0" applyNumberFormat="1" applyFont="1" applyFill="1" applyBorder="1" applyAlignment="1">
      <alignment horizontal="right" vertical="center"/>
    </xf>
    <xf numFmtId="8" fontId="0" fillId="0" borderId="22" xfId="0" applyNumberFormat="1" applyFont="1" applyFill="1" applyBorder="1"/>
    <xf numFmtId="164" fontId="0" fillId="0" borderId="22" xfId="0" applyNumberFormat="1" applyFont="1" applyFill="1" applyBorder="1"/>
    <xf numFmtId="164" fontId="0" fillId="0" borderId="23" xfId="0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7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NumberFormat="1"/>
    <xf numFmtId="167" fontId="0" fillId="9" borderId="22" xfId="0" applyNumberFormat="1" applyFont="1" applyFill="1" applyBorder="1" applyAlignment="1">
      <alignment horizontal="right" vertical="center"/>
    </xf>
    <xf numFmtId="167" fontId="0" fillId="0" borderId="22" xfId="0" applyNumberFormat="1" applyFont="1" applyBorder="1" applyAlignment="1">
      <alignment horizontal="right" vertical="center"/>
    </xf>
    <xf numFmtId="14" fontId="0" fillId="0" borderId="1" xfId="0" applyNumberFormat="1" applyBorder="1"/>
    <xf numFmtId="1" fontId="0" fillId="0" borderId="1" xfId="0" applyNumberFormat="1" applyBorder="1"/>
    <xf numFmtId="17" fontId="0" fillId="0" borderId="0" xfId="0" applyNumberFormat="1"/>
  </cellXfs>
  <cellStyles count="1">
    <cellStyle name="Normal" xfId="0" builtinId="0"/>
  </cellStyles>
  <dxfs count="32">
    <dxf>
      <fill>
        <patternFill>
          <bgColor theme="4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9" formatCode="dd/mm/yyyy"/>
      <alignment horizontal="right" vertical="center" textRotation="0" wrapText="0" indent="0" justifyLastLine="0" shrinkToFit="0" readingOrder="0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9" formatCode="dd/mm/yyyy"/>
      <alignment horizontal="right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[$-40C]mmm\-yy;@"/>
      <fill>
        <patternFill patternType="solid">
          <fgColor theme="4"/>
          <bgColor theme="4"/>
        </patternFill>
      </fill>
    </dxf>
  </dxfs>
  <tableStyles count="1" defaultTableStyle="TableStyleMedium2" defaultPivotStyle="Style de tableau croisé dynamique 2">
    <tableStyle name="Style de tableau croisé dynamique 2" table="0" count="5" xr9:uid="{2C22E0FA-67EB-48D3-A48C-A07415603CC6}">
      <tableStyleElement type="firstColumnStripe" dxfId="4"/>
      <tableStyleElement type="secondColumnStripe" dxfId="3"/>
      <tableStyleElement type="secondSubtotalColumn" dxfId="2"/>
      <tableStyleElement type="firstColumnSubheading" dxfId="1"/>
      <tableStyleElement type="firstRowSubheading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5</xdr:row>
      <xdr:rowOff>38101</xdr:rowOff>
    </xdr:from>
    <xdr:to>
      <xdr:col>2</xdr:col>
      <xdr:colOff>733425</xdr:colOff>
      <xdr:row>14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C15AF2C9-57B5-45BE-9563-E94F05D78BE1}"/>
            </a:ext>
          </a:extLst>
        </xdr:cNvPr>
        <xdr:cNvGrpSpPr/>
      </xdr:nvGrpSpPr>
      <xdr:grpSpPr>
        <a:xfrm>
          <a:off x="809625" y="1095376"/>
          <a:ext cx="1447800" cy="1971674"/>
          <a:chOff x="742950" y="9525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1E6D5B5E-07B9-43A1-947B-B4800CCF5BA8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38992FB7-B847-44E8-B0A7-886AF5B9121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9525</xdr:colOff>
      <xdr:row>16</xdr:row>
      <xdr:rowOff>38101</xdr:rowOff>
    </xdr:from>
    <xdr:to>
      <xdr:col>2</xdr:col>
      <xdr:colOff>695325</xdr:colOff>
      <xdr:row>26</xdr:row>
      <xdr:rowOff>104775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D0F20A7C-0C85-4E3C-9084-41487442254F}"/>
            </a:ext>
          </a:extLst>
        </xdr:cNvPr>
        <xdr:cNvGrpSpPr/>
      </xdr:nvGrpSpPr>
      <xdr:grpSpPr>
        <a:xfrm>
          <a:off x="771525" y="3352801"/>
          <a:ext cx="1447800" cy="1971674"/>
          <a:chOff x="657225" y="37623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D32A4258-23C5-478C-8479-2CE49FD8E0C1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6461EBD4-4B1F-4CF4-A05A-A2A3636A80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314325</xdr:colOff>
      <xdr:row>5</xdr:row>
      <xdr:rowOff>66676</xdr:rowOff>
    </xdr:from>
    <xdr:to>
      <xdr:col>6</xdr:col>
      <xdr:colOff>590550</xdr:colOff>
      <xdr:row>14</xdr:row>
      <xdr:rowOff>161925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8C22A01-88E2-4212-B077-BDC36BA4FE2F}"/>
            </a:ext>
          </a:extLst>
        </xdr:cNvPr>
        <xdr:cNvGrpSpPr/>
      </xdr:nvGrpSpPr>
      <xdr:grpSpPr>
        <a:xfrm>
          <a:off x="3000375" y="1123951"/>
          <a:ext cx="1447800" cy="1971674"/>
          <a:chOff x="2933700" y="9810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E111E3B-086F-4C2E-BF7A-15E3DF297C84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FA1EE78B-E2F0-41E7-82D1-F0CB500CD2B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295275</xdr:colOff>
      <xdr:row>16</xdr:row>
      <xdr:rowOff>47626</xdr:rowOff>
    </xdr:from>
    <xdr:to>
      <xdr:col>6</xdr:col>
      <xdr:colOff>571500</xdr:colOff>
      <xdr:row>26</xdr:row>
      <xdr:rowOff>114300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3BB07ED6-1F8B-4443-BE35-9D8CC66404B2}"/>
            </a:ext>
          </a:extLst>
        </xdr:cNvPr>
        <xdr:cNvGrpSpPr/>
      </xdr:nvGrpSpPr>
      <xdr:grpSpPr>
        <a:xfrm>
          <a:off x="2981325" y="3362326"/>
          <a:ext cx="1447800" cy="1971674"/>
          <a:chOff x="2867025" y="37719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ECCE27D9-9A4C-4231-9A5B-4DBD336E8685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FB4B4F40-F4FC-4F43-B814-249D6A8D3C6D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57150</xdr:colOff>
      <xdr:row>16</xdr:row>
      <xdr:rowOff>57151</xdr:rowOff>
    </xdr:from>
    <xdr:to>
      <xdr:col>10</xdr:col>
      <xdr:colOff>352425</xdr:colOff>
      <xdr:row>26</xdr:row>
      <xdr:rowOff>123825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9E980735-D5EF-401C-B980-D8097FAC2231}"/>
            </a:ext>
          </a:extLst>
        </xdr:cNvPr>
        <xdr:cNvGrpSpPr/>
      </xdr:nvGrpSpPr>
      <xdr:grpSpPr>
        <a:xfrm>
          <a:off x="5181600" y="3371851"/>
          <a:ext cx="1447800" cy="1971674"/>
          <a:chOff x="5067300" y="378142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F220026A-2426-46A1-9E1E-E181C4C9FDCF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41F0CECB-E09C-421A-ABD6-85913F860F3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47625</xdr:colOff>
      <xdr:row>5</xdr:row>
      <xdr:rowOff>95251</xdr:rowOff>
    </xdr:from>
    <xdr:to>
      <xdr:col>10</xdr:col>
      <xdr:colOff>342900</xdr:colOff>
      <xdr:row>15</xdr:row>
      <xdr:rowOff>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272430D-8942-4CC4-8FEE-1DB2EF024022}"/>
            </a:ext>
          </a:extLst>
        </xdr:cNvPr>
        <xdr:cNvGrpSpPr/>
      </xdr:nvGrpSpPr>
      <xdr:grpSpPr>
        <a:xfrm>
          <a:off x="5172075" y="1152526"/>
          <a:ext cx="1447800" cy="1971674"/>
          <a:chOff x="5105400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48D6067D-BCE1-495A-AA2A-7FBADF67251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F7D2077-3023-455D-9A7D-277A0B847EC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11</xdr:col>
      <xdr:colOff>295275</xdr:colOff>
      <xdr:row>5</xdr:row>
      <xdr:rowOff>95251</xdr:rowOff>
    </xdr:from>
    <xdr:to>
      <xdr:col>14</xdr:col>
      <xdr:colOff>85725</xdr:colOff>
      <xdr:row>15</xdr:row>
      <xdr:rowOff>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58DD99C-D921-4420-83DA-642F43E1DF3D}"/>
            </a:ext>
          </a:extLst>
        </xdr:cNvPr>
        <xdr:cNvGrpSpPr/>
      </xdr:nvGrpSpPr>
      <xdr:grpSpPr>
        <a:xfrm>
          <a:off x="7334250" y="1152526"/>
          <a:ext cx="1447800" cy="1971674"/>
          <a:chOff x="7267575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3EE91643-7E48-4F55-A34A-D34C9D9E1F16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F6A5CEF9-4B6B-461D-92C2-E04B0B4FCDF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0</xdr:colOff>
      <xdr:row>27</xdr:row>
      <xdr:rowOff>95250</xdr:rowOff>
    </xdr:from>
    <xdr:to>
      <xdr:col>15</xdr:col>
      <xdr:colOff>228600</xdr:colOff>
      <xdr:row>28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CFA70909-704E-4143-AB05-68AECB7F78E4}"/>
            </a:ext>
          </a:extLst>
        </xdr:cNvPr>
        <xdr:cNvSpPr/>
      </xdr:nvSpPr>
      <xdr:spPr>
        <a:xfrm>
          <a:off x="762000" y="5495925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638175</xdr:colOff>
      <xdr:row>3</xdr:row>
      <xdr:rowOff>171450</xdr:rowOff>
    </xdr:from>
    <xdr:to>
      <xdr:col>15</xdr:col>
      <xdr:colOff>104775</xdr:colOff>
      <xdr:row>4</xdr:row>
      <xdr:rowOff>209550</xdr:rowOff>
    </xdr:to>
    <xdr:sp macro="" textlink="">
      <xdr:nvSpPr>
        <xdr:cNvPr id="51" name="Rectangle : coins arrondis 50">
          <a:extLst>
            <a:ext uri="{FF2B5EF4-FFF2-40B4-BE49-F238E27FC236}">
              <a16:creationId xmlns:a16="http://schemas.microsoft.com/office/drawing/2014/main" id="{200866A5-8F6C-4E51-B199-FEA459D952BC}"/>
            </a:ext>
          </a:extLst>
        </xdr:cNvPr>
        <xdr:cNvSpPr/>
      </xdr:nvSpPr>
      <xdr:spPr>
        <a:xfrm>
          <a:off x="638175" y="742950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114300</xdr:colOff>
      <xdr:row>1</xdr:row>
      <xdr:rowOff>47625</xdr:rowOff>
    </xdr:from>
    <xdr:to>
      <xdr:col>11</xdr:col>
      <xdr:colOff>342900</xdr:colOff>
      <xdr:row>14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FC61C230-A812-43D5-8043-436D66746E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58200" y="238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4</xdr:row>
          <xdr:rowOff>152400</xdr:rowOff>
        </xdr:from>
        <xdr:to>
          <xdr:col>2</xdr:col>
          <xdr:colOff>333375</xdr:colOff>
          <xdr:row>6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57.712725694444" createdVersion="6" refreshedVersion="6" minRefreshableVersion="3" recordCount="48" xr:uid="{E69C1C13-A2AC-46DB-9CD2-F2ADC3389002}">
  <cacheSource type="worksheet">
    <worksheetSource name="Tableau9"/>
  </cacheSource>
  <cacheFields count="9">
    <cacheField name="Date" numFmtId="167">
      <sharedItems containsSemiMixedTypes="0" containsNonDate="0" containsDate="1" containsString="0" minDate="2020-05-05T00:00:00" maxDate="2022-04-06T00:00:00" count="24">
        <d v="2020-05-05T00:00:00"/>
        <d v="2020-06-05T00:00:00"/>
        <d v="2020-07-05T00:00:00"/>
        <d v="2020-08-05T00:00:00"/>
        <d v="2020-09-05T00:00:00"/>
        <d v="2020-10-05T00:00:00"/>
        <d v="2020-11-05T00:00:00"/>
        <d v="2020-12-05T00:00:00"/>
        <d v="2021-01-05T00:00:00"/>
        <d v="2021-02-05T00:00:00"/>
        <d v="2021-03-05T00:00:00"/>
        <d v="2021-04-05T00:00:00"/>
        <d v="2021-05-05T00:00:00"/>
        <d v="2021-06-05T00:00:00"/>
        <d v="2021-07-05T00:00:00"/>
        <d v="2021-08-05T00:00:00"/>
        <d v="2021-09-05T00:00:00"/>
        <d v="2021-10-05T00:00:00"/>
        <d v="2021-11-05T00:00:00"/>
        <d v="2021-12-05T00:00:00"/>
        <d v="2022-01-05T00:00:00"/>
        <d v="2022-02-05T00:00:00"/>
        <d v="2022-03-05T00:00:00"/>
        <d v="2022-04-05T00:00:00"/>
      </sharedItems>
      <fieldGroup par="8" base="0">
        <rangePr groupBy="months" startDate="2020-05-05T00:00:00" endDate="2022-04-06T00:00:00"/>
        <groupItems count="14">
          <s v="&lt;05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6/04/2022"/>
        </groupItems>
      </fieldGroup>
    </cacheField>
    <cacheField name="Mensualité" numFmtId="8">
      <sharedItems containsSemiMixedTypes="0" containsString="0" containsNumber="1" minValue="864.41" maxValue="864.41"/>
    </cacheField>
    <cacheField name="Intérêts" numFmtId="164">
      <sharedItems containsSemiMixedTypes="0" containsString="0" containsNumber="1" minValue="2.5425530534966674" maxValue="59.00102301126693"/>
    </cacheField>
    <cacheField name="Capital" numFmtId="164">
      <sharedItems containsSemiMixedTypes="0" containsString="0" containsNumber="1" minValue="805.408976988733" maxValue="861.86744694650326"/>
    </cacheField>
    <cacheField name="Solde" numFmtId="164">
      <sharedItems containsSemiMixedTypes="0" containsString="0" containsNumber="1" minValue="-3.2491698220837861E-10" maxValue="19194.591023011268"/>
    </cacheField>
    <cacheField name="Échéance" numFmtId="0">
      <sharedItems containsSemiMixedTypes="0" containsString="0" containsNumber="1" containsInteger="1" minValue="1" maxValue="24"/>
    </cacheField>
    <cacheField name="Type" numFmtId="0">
      <sharedItems count="1">
        <s v="Investissement"/>
      </sharedItems>
    </cacheField>
    <cacheField name="Libellé" numFmtId="0">
      <sharedItems count="2">
        <s v="travaux magasin"/>
        <s v="travaux entreprise"/>
      </sharedItems>
    </cacheField>
    <cacheField name="Années" numFmtId="0" databaseField="0">
      <fieldGroup base="0">
        <rangePr groupBy="years" startDate="2020-05-05T00:00:00" endDate="2022-04-06T00:00:00"/>
        <groupItems count="5">
          <s v="&lt;05/05/2020"/>
          <s v="2020"/>
          <s v="2021"/>
          <s v="2022"/>
          <s v="&gt;06/04/2022"/>
        </groupItems>
      </fieldGroup>
    </cacheField>
  </cacheFields>
  <extLst>
    <ext xmlns:x14="http://schemas.microsoft.com/office/spreadsheetml/2009/9/main" uri="{725AE2AE-9491-48be-B2B4-4EB974FC3084}">
      <x14:pivotCacheDefinition pivotCacheId="134342107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57.801893865741" createdVersion="6" refreshedVersion="6" minRefreshableVersion="3" recordCount="2" xr:uid="{5DBB9AE8-AD9A-4596-99D3-6ABE36BC3EEE}">
  <cacheSource type="worksheet">
    <worksheetSource name="Tableau2"/>
  </cacheSource>
  <cacheFields count="6">
    <cacheField name="Date" numFmtId="167">
      <sharedItems containsDate="1" containsBlank="1" containsMixedTypes="1" minDate="2020-05-05T00:00:00" maxDate="2020-06-09T00:00:00" count="37">
        <m/>
        <s v="mercredi 6 mai 2020"/>
        <d v="2020-05-12T00:00:00" u="1"/>
        <d v="2020-05-31T00:00:00" u="1"/>
        <d v="2020-05-05T00:00:00" u="1"/>
        <d v="2020-05-24T00:00:00" u="1"/>
        <d v="2020-06-03T00:00:00" u="1"/>
        <d v="2020-05-17T00:00:00" u="1"/>
        <d v="2020-05-10T00:00:00" u="1"/>
        <d v="2020-05-29T00:00:00" u="1"/>
        <d v="2020-06-08T00:00:00" u="1"/>
        <d v="2020-05-22T00:00:00" u="1"/>
        <d v="2020-06-01T00:00:00" u="1"/>
        <d v="2020-05-15T00:00:00" u="1"/>
        <d v="2020-05-08T00:00:00" u="1"/>
        <d v="2020-05-27T00:00:00" u="1"/>
        <d v="2020-06-06T00:00:00" u="1"/>
        <d v="2020-05-20T00:00:00" u="1"/>
        <d v="2020-05-13T00:00:00" u="1"/>
        <d v="2020-05-06T00:00:00" u="1"/>
        <d v="2020-05-25T00:00:00" u="1"/>
        <d v="2020-06-04T00:00:00" u="1"/>
        <d v="2020-05-18T00:00:00" u="1"/>
        <d v="2020-05-11T00:00:00" u="1"/>
        <d v="2020-05-30T00:00:00" u="1"/>
        <d v="2020-05-23T00:00:00" u="1"/>
        <d v="2020-06-02T00:00:00" u="1"/>
        <d v="2020-05-16T00:00:00" u="1"/>
        <d v="2020-05-09T00:00:00" u="1"/>
        <d v="2020-05-28T00:00:00" u="1"/>
        <d v="2020-06-07T00:00:00" u="1"/>
        <d v="2020-05-21T00:00:00" u="1"/>
        <d v="2020-05-14T00:00:00" u="1"/>
        <d v="2020-05-07T00:00:00" u="1"/>
        <d v="2020-05-26T00:00:00" u="1"/>
        <d v="2020-06-05T00:00:00" u="1"/>
        <d v="2020-05-19T00:00:00" u="1"/>
      </sharedItems>
    </cacheField>
    <cacheField name="Catégorie" numFmtId="167">
      <sharedItems containsBlank="1"/>
    </cacheField>
    <cacheField name="Sous catégorie" numFmtId="167">
      <sharedItems containsBlank="1" count="4">
        <m/>
        <s v="Dépenses Fournisseurs magasin"/>
        <s v="Encaissement Entreprise" u="1"/>
        <s v="Encaissement Magasin" u="1"/>
      </sharedItems>
    </cacheField>
    <cacheField name="Fournisseur" numFmtId="167">
      <sharedItems containsBlank="1"/>
    </cacheField>
    <cacheField name="Description" numFmtId="167">
      <sharedItems containsBlank="1"/>
    </cacheField>
    <cacheField name="Montant" numFmtId="167">
      <sharedItems containsBlank="1"/>
    </cacheField>
  </cacheFields>
  <extLst>
    <ext xmlns:x14="http://schemas.microsoft.com/office/spreadsheetml/2009/9/main" uri="{725AE2AE-9491-48be-B2B4-4EB974FC3084}">
      <x14:pivotCacheDefinition pivotCacheId="4056593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n v="864.41"/>
    <n v="59"/>
    <n v="805.408976988733"/>
    <n v="19194.591023011268"/>
    <n v="1"/>
    <x v="0"/>
    <x v="0"/>
  </r>
  <r>
    <x v="1"/>
    <n v="864.41"/>
    <n v="56.63"/>
    <n v="807.78497466797273"/>
    <n v="18386.806048343296"/>
    <n v="2"/>
    <x v="0"/>
    <x v="0"/>
  </r>
  <r>
    <x v="2"/>
    <n v="864.41"/>
    <n v="54.24201833810023"/>
    <n v="810.16798166189972"/>
    <n v="17576.638066681397"/>
    <n v="3"/>
    <x v="0"/>
    <x v="0"/>
  </r>
  <r>
    <x v="3"/>
    <n v="864.41"/>
    <n v="51.851981351648966"/>
    <n v="812.55801864835098"/>
    <n v="16764.080048033047"/>
    <n v="4"/>
    <x v="0"/>
    <x v="0"/>
  </r>
  <r>
    <x v="4"/>
    <n v="864.41"/>
    <n v="49.45489363383593"/>
    <n v="814.95510636616405"/>
    <n v="15949.124941666883"/>
    <n v="5"/>
    <x v="0"/>
    <x v="0"/>
  </r>
  <r>
    <x v="5"/>
    <n v="864.41"/>
    <n v="47.050734384642958"/>
    <n v="817.359265615357"/>
    <n v="15131.765676051526"/>
    <n v="6"/>
    <x v="0"/>
    <x v="0"/>
  </r>
  <r>
    <x v="6"/>
    <n v="864.41"/>
    <n v="44.639482742690753"/>
    <n v="819.77051725730917"/>
    <n v="14311.995158794216"/>
    <n v="7"/>
    <x v="0"/>
    <x v="0"/>
  </r>
  <r>
    <x v="7"/>
    <n v="864.41"/>
    <n v="42.22111778505792"/>
    <n v="822.18888221494205"/>
    <n v="13489.806276579275"/>
    <n v="8"/>
    <x v="0"/>
    <x v="0"/>
  </r>
  <r>
    <x v="8"/>
    <n v="864.41"/>
    <n v="39.795618527099343"/>
    <n v="824.61438147290062"/>
    <n v="12665.191895106374"/>
    <n v="9"/>
    <x v="0"/>
    <x v="0"/>
  </r>
  <r>
    <x v="9"/>
    <n v="864.41"/>
    <n v="37.362963922264129"/>
    <n v="827.04703607773581"/>
    <n v="11838.144859028638"/>
    <n v="10"/>
    <x v="0"/>
    <x v="0"/>
  </r>
  <r>
    <x v="10"/>
    <n v="864.41"/>
    <n v="34.923132861912997"/>
    <n v="829.48686713808695"/>
    <n v="11008.657991890552"/>
    <n v="11"/>
    <x v="0"/>
    <x v="0"/>
  </r>
  <r>
    <x v="11"/>
    <n v="864.41"/>
    <n v="32.476104175135099"/>
    <n v="831.93389582486486"/>
    <n v="10176.724096065687"/>
    <n v="12"/>
    <x v="0"/>
    <x v="0"/>
  </r>
  <r>
    <x v="12"/>
    <n v="864.41"/>
    <n v="30.021856628564311"/>
    <n v="834.3881433714356"/>
    <n v="9342.3359526942513"/>
    <n v="13"/>
    <x v="0"/>
    <x v="0"/>
  </r>
  <r>
    <x v="13"/>
    <n v="864.41"/>
    <n v="27.560368926194993"/>
    <n v="836.84963107380497"/>
    <n v="8505.4863216204467"/>
    <n v="14"/>
    <x v="0"/>
    <x v="0"/>
  </r>
  <r>
    <x v="14"/>
    <n v="864.41"/>
    <n v="25.091619709197204"/>
    <n v="839.31838029080279"/>
    <n v="7666.1679413296442"/>
    <n v="15"/>
    <x v="0"/>
    <x v="0"/>
  </r>
  <r>
    <x v="15"/>
    <n v="864.41"/>
    <n v="22.615587555731356"/>
    <n v="841.79441244426857"/>
    <n v="6824.3735288853759"/>
    <n v="16"/>
    <x v="0"/>
    <x v="0"/>
  </r>
  <r>
    <x v="16"/>
    <n v="864.41"/>
    <n v="20.132250980762347"/>
    <n v="844.2777490192376"/>
    <n v="5980.0957798661384"/>
    <n v="17"/>
    <x v="0"/>
    <x v="0"/>
  </r>
  <r>
    <x v="17"/>
    <n v="864.41"/>
    <n v="17.641588435873114"/>
    <n v="846.76841156412684"/>
    <n v="5133.3273683020116"/>
    <n v="18"/>
    <x v="0"/>
    <x v="0"/>
  </r>
  <r>
    <x v="18"/>
    <n v="864.41"/>
    <n v="15.143578309077663"/>
    <n v="849.26642169092236"/>
    <n v="4284.0609466110891"/>
    <n v="19"/>
    <x v="0"/>
    <x v="0"/>
  </r>
  <r>
    <x v="19"/>
    <n v="864.41"/>
    <n v="12.638198924633542"/>
    <n v="851.7718010753664"/>
    <n v="3432.2891455357226"/>
    <n v="20"/>
    <x v="0"/>
    <x v="0"/>
  </r>
  <r>
    <x v="20"/>
    <n v="864.41"/>
    <n v="10.125428542853744"/>
    <n v="854.28457145714617"/>
    <n v="2578.0045740785763"/>
    <n v="21"/>
    <x v="0"/>
    <x v="0"/>
  </r>
  <r>
    <x v="21"/>
    <n v="864.41"/>
    <n v="7.6052453599180732"/>
    <n v="856.80475464008191"/>
    <n v="1721.1998194384944"/>
    <n v="22"/>
    <x v="0"/>
    <x v="0"/>
  </r>
  <r>
    <x v="22"/>
    <n v="864.41"/>
    <n v="5.0776275076839541"/>
    <n v="859.33237249231604"/>
    <n v="861.86744694617835"/>
    <n v="23"/>
    <x v="0"/>
    <x v="0"/>
  </r>
  <r>
    <x v="23"/>
    <n v="864.41"/>
    <n v="2.5425530534966674"/>
    <n v="861.86744694650326"/>
    <n v="-3.2491698220837861E-10"/>
    <n v="24"/>
    <x v="0"/>
    <x v="0"/>
  </r>
  <r>
    <x v="0"/>
    <n v="864.41"/>
    <n v="59.00102301126693"/>
    <n v="805.408976988733"/>
    <n v="19194.591023011268"/>
    <n v="1"/>
    <x v="0"/>
    <x v="1"/>
  </r>
  <r>
    <x v="1"/>
    <n v="864.41"/>
    <n v="56.625025332027271"/>
    <n v="807.78497466797273"/>
    <n v="18386.806048343296"/>
    <n v="2"/>
    <x v="0"/>
    <x v="1"/>
  </r>
  <r>
    <x v="2"/>
    <n v="864.41"/>
    <n v="54.24201833810023"/>
    <n v="810.16798166189972"/>
    <n v="17576.638066681397"/>
    <n v="3"/>
    <x v="0"/>
    <x v="1"/>
  </r>
  <r>
    <x v="3"/>
    <n v="864.41"/>
    <n v="51.851981351648966"/>
    <n v="812.55801864835098"/>
    <n v="16764.080048033047"/>
    <n v="4"/>
    <x v="0"/>
    <x v="1"/>
  </r>
  <r>
    <x v="4"/>
    <n v="864.41"/>
    <n v="49.45489363383593"/>
    <n v="814.95510636616405"/>
    <n v="15949.124941666883"/>
    <n v="5"/>
    <x v="0"/>
    <x v="1"/>
  </r>
  <r>
    <x v="5"/>
    <n v="864.41"/>
    <n v="47.050734384642958"/>
    <n v="817.359265615357"/>
    <n v="15131.765676051526"/>
    <n v="6"/>
    <x v="0"/>
    <x v="1"/>
  </r>
  <r>
    <x v="6"/>
    <n v="864.41"/>
    <n v="44.639482742690753"/>
    <n v="819.77051725730917"/>
    <n v="14311.995158794216"/>
    <n v="7"/>
    <x v="0"/>
    <x v="1"/>
  </r>
  <r>
    <x v="7"/>
    <n v="864.41"/>
    <n v="42.22111778505792"/>
    <n v="822.18888221494205"/>
    <n v="13489.806276579275"/>
    <n v="8"/>
    <x v="0"/>
    <x v="1"/>
  </r>
  <r>
    <x v="8"/>
    <n v="864.41"/>
    <n v="39.795618527099343"/>
    <n v="824.61438147290062"/>
    <n v="12665.191895106374"/>
    <n v="9"/>
    <x v="0"/>
    <x v="1"/>
  </r>
  <r>
    <x v="9"/>
    <n v="864.41"/>
    <n v="37.362963922264129"/>
    <n v="827.04703607773581"/>
    <n v="11838.144859028638"/>
    <n v="10"/>
    <x v="0"/>
    <x v="1"/>
  </r>
  <r>
    <x v="10"/>
    <n v="864.41"/>
    <n v="34.923132861912997"/>
    <n v="829.48686713808695"/>
    <n v="11008.657991890552"/>
    <n v="11"/>
    <x v="0"/>
    <x v="1"/>
  </r>
  <r>
    <x v="11"/>
    <n v="864.41"/>
    <n v="32.476104175135099"/>
    <n v="831.93389582486486"/>
    <n v="10176.724096065687"/>
    <n v="12"/>
    <x v="0"/>
    <x v="1"/>
  </r>
  <r>
    <x v="12"/>
    <n v="864.41"/>
    <n v="30.021856628564311"/>
    <n v="834.3881433714356"/>
    <n v="9342.3359526942513"/>
    <n v="13"/>
    <x v="0"/>
    <x v="1"/>
  </r>
  <r>
    <x v="13"/>
    <n v="864.41"/>
    <n v="27.560368926194993"/>
    <n v="836.84963107380497"/>
    <n v="8505.4863216204467"/>
    <n v="14"/>
    <x v="0"/>
    <x v="1"/>
  </r>
  <r>
    <x v="14"/>
    <n v="864.41"/>
    <n v="25.091619709197204"/>
    <n v="839.31838029080279"/>
    <n v="7666.1679413296442"/>
    <n v="15"/>
    <x v="0"/>
    <x v="1"/>
  </r>
  <r>
    <x v="15"/>
    <n v="864.41"/>
    <n v="22.615587555731356"/>
    <n v="841.79441244426857"/>
    <n v="6824.3735288853759"/>
    <n v="16"/>
    <x v="0"/>
    <x v="1"/>
  </r>
  <r>
    <x v="16"/>
    <n v="864.41"/>
    <n v="20.132250980762347"/>
    <n v="844.2777490192376"/>
    <n v="5980.0957798661384"/>
    <n v="17"/>
    <x v="0"/>
    <x v="1"/>
  </r>
  <r>
    <x v="17"/>
    <n v="864.41"/>
    <n v="17.641588435873114"/>
    <n v="846.76841156412684"/>
    <n v="5133.3273683020116"/>
    <n v="18"/>
    <x v="0"/>
    <x v="1"/>
  </r>
  <r>
    <x v="18"/>
    <n v="864.41"/>
    <n v="15.143578309077663"/>
    <n v="849.26642169092236"/>
    <n v="4284.0609466110891"/>
    <n v="19"/>
    <x v="0"/>
    <x v="1"/>
  </r>
  <r>
    <x v="19"/>
    <n v="864.41"/>
    <n v="12.638198924633542"/>
    <n v="851.7718010753664"/>
    <n v="3432.2891455357226"/>
    <n v="20"/>
    <x v="0"/>
    <x v="1"/>
  </r>
  <r>
    <x v="20"/>
    <n v="864.41"/>
    <n v="10.125428542853744"/>
    <n v="854.28457145714617"/>
    <n v="2578.0045740785763"/>
    <n v="21"/>
    <x v="0"/>
    <x v="1"/>
  </r>
  <r>
    <x v="21"/>
    <n v="864.41"/>
    <n v="7.6052453599180732"/>
    <n v="856.80475464008191"/>
    <n v="1721.1998194384944"/>
    <n v="22"/>
    <x v="0"/>
    <x v="1"/>
  </r>
  <r>
    <x v="22"/>
    <n v="864.41"/>
    <n v="5.0776275076839541"/>
    <n v="859.33237249231604"/>
    <n v="861.86744694617835"/>
    <n v="23"/>
    <x v="0"/>
    <x v="1"/>
  </r>
  <r>
    <x v="23"/>
    <n v="864.41"/>
    <n v="2.5425530534966674"/>
    <n v="861.86744694650326"/>
    <n v="-3.2491698220837861E-10"/>
    <n v="24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m/>
    <x v="0"/>
    <m/>
    <m/>
    <m/>
  </r>
  <r>
    <x v="1"/>
    <s v="Charge commune"/>
    <x v="1"/>
    <s v="Pro"/>
    <s v="Facturation magasin"/>
    <s v="25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0DE03-F9F8-41EC-B659-316C1D634840}" name="Tableau croisé dynamique8" cacheId="5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D7" firstHeaderRow="1" firstDataRow="2" firstDataCol="1"/>
  <pivotFields count="6">
    <pivotField axis="axisCol" showAll="0">
      <items count="38">
        <item m="1" x="4"/>
        <item x="1"/>
        <item m="1" x="19"/>
        <item m="1" x="33"/>
        <item m="1" x="14"/>
        <item m="1" x="28"/>
        <item m="1" x="8"/>
        <item m="1" x="23"/>
        <item m="1" x="2"/>
        <item m="1" x="18"/>
        <item m="1" x="32"/>
        <item m="1" x="13"/>
        <item m="1" x="27"/>
        <item m="1" x="7"/>
        <item m="1" x="22"/>
        <item m="1" x="36"/>
        <item m="1" x="17"/>
        <item m="1" x="31"/>
        <item m="1" x="11"/>
        <item m="1" x="25"/>
        <item m="1" x="5"/>
        <item m="1" x="20"/>
        <item m="1" x="34"/>
        <item m="1" x="15"/>
        <item m="1" x="29"/>
        <item m="1" x="9"/>
        <item m="1" x="24"/>
        <item m="1" x="3"/>
        <item m="1" x="12"/>
        <item m="1" x="26"/>
        <item m="1" x="6"/>
        <item m="1" x="21"/>
        <item m="1" x="35"/>
        <item m="1" x="16"/>
        <item m="1" x="30"/>
        <item m="1" x="10"/>
        <item x="0"/>
        <item t="default"/>
      </items>
    </pivotField>
    <pivotField showAll="0"/>
    <pivotField axis="axisRow" showAll="0">
      <items count="5">
        <item m="1" x="2"/>
        <item m="1" x="3"/>
        <item x="0"/>
        <item x="1"/>
        <item t="default"/>
      </items>
    </pivotField>
    <pivotField showAll="0"/>
    <pivotField showAll="0"/>
    <pivotField dataField="1" showAll="0"/>
  </pivotFields>
  <rowFields count="1">
    <field x="2"/>
  </rowFields>
  <rowItems count="3">
    <i>
      <x v="2"/>
    </i>
    <i>
      <x v="3"/>
    </i>
    <i t="grand">
      <x/>
    </i>
  </rowItems>
  <colFields count="1">
    <field x="0"/>
  </colFields>
  <colItems count="3">
    <i>
      <x v="1"/>
    </i>
    <i>
      <x v="36"/>
    </i>
    <i t="grand">
      <x/>
    </i>
  </colItems>
  <dataFields count="1">
    <dataField name="Nombre de Montant" fld="5" subtotal="count" baseField="0" baseItem="0"/>
  </dataFields>
  <pivotTableStyleInfo name="Style de tableau croisé dynamiqu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46EB04-864B-4B81-83A7-F83BBECBFDE2}" name="Tableau croisé dynamique5" cacheId="3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Emprunts">
  <location ref="A3:E9" firstHeaderRow="1" firstDataRow="4" firstDataCol="1"/>
  <pivotFields count="9">
    <pivotField axis="axisCol" numFmtId="167" showAll="0" defaultSubtotal="0">
      <items count="14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</items>
    </pivotField>
    <pivotField dataField="1" numFmtId="8" showAll="0"/>
    <pivotField numFmtId="164" showAll="0"/>
    <pivotField numFmtId="164" showAll="0"/>
    <pivotField numFmtId="164" showAll="0"/>
    <pivotField showAll="0"/>
    <pivotField axis="axisCol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Fields count="3">
    <field x="6"/>
    <field x="0"/>
    <field x="8"/>
  </colFields>
  <colItems count="4">
    <i>
      <x/>
      <x v="7"/>
      <x v="1"/>
    </i>
    <i r="2">
      <x v="2"/>
    </i>
    <i t="default">
      <x/>
    </i>
    <i t="grand">
      <x/>
    </i>
  </colItems>
  <dataFields count="1">
    <dataField name="Somme de Mensualité" fld="1" baseField="0" baseItem="0"/>
  </dataFields>
  <formats count="1">
    <format dxfId="5">
      <pivotArea dataOnly="0" labelOnly="1" grandCol="1" outline="0" fieldPosition="0"/>
    </format>
  </formats>
  <pivotTableStyleInfo name="Style de tableau croisé dynamique 2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" xr10:uid="{B517169E-8073-4CB5-9AFD-ACAB4766B945}" sourceName="Date">
  <pivotTables>
    <pivotTable tabId="30" name="Tableau croisé dynamique5"/>
  </pivotTables>
  <data>
    <tabular pivotCacheId="1343421076">
      <items count="14">
        <i x="1"/>
        <i x="2"/>
        <i x="3"/>
        <i x="4"/>
        <i x="5"/>
        <i x="6"/>
        <i x="7" s="1"/>
        <i x="8"/>
        <i x="9"/>
        <i x="10"/>
        <i x="11"/>
        <i x="12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" xr10:uid="{59B73439-DCF4-4C87-808C-013096F83A5F}" cache="Segment_Date" caption="Dat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ableau2" displayName="Tableau2" ref="A4:F6" totalsRowShown="0" headerRowDxfId="31" tableBorderDxfId="30">
  <autoFilter ref="A4:F6" xr:uid="{D4A95B28-10FD-4EBA-9297-233B39BB8B9D}"/>
  <tableColumns count="6">
    <tableColumn id="1" xr3:uid="{3182FD92-538D-4644-B86A-08AFA5A750A7}" name="Date" dataDxfId="29"/>
    <tableColumn id="2" xr3:uid="{1F773D7D-2F99-47B9-B51A-32BF6DCB0E14}" name="Catégorie"/>
    <tableColumn id="3" xr3:uid="{64A6C184-1FF6-40CD-9881-CF66FE2E1919}" name="Sous catégorie"/>
    <tableColumn id="4" xr3:uid="{5E6A478E-47DF-4053-955A-9549252F2A59}" name="Fournisseur"/>
    <tableColumn id="5" xr3:uid="{D4F4F120-1DC1-42A3-B229-56A7E375BB9D}" name="Description"/>
    <tableColumn id="6" xr3:uid="{AA07AA64-0842-4D34-8D57-5B036ED20898}" name="Monta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ableau3" displayName="Tableau3" ref="E4:G5" totalsRowShown="0" headerRowDxfId="28" tableBorderDxfId="27">
  <autoFilter ref="E4:G5" xr:uid="{B60C612A-367F-42F4-9F65-C11E8C2C4873}"/>
  <tableColumns count="3">
    <tableColumn id="1" xr3:uid="{94A4C0D8-3C29-4C3A-9CD6-79650E07C941}" name="Date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ableau4" displayName="Tableau4" ref="E4:G5" totalsRowShown="0" headerRowDxfId="26" tableBorderDxfId="25">
  <autoFilter ref="E4:G5" xr:uid="{27CA3C78-3A3B-4C3D-A3AA-7F0CAB3E0A1F}"/>
  <tableColumns count="3">
    <tableColumn id="1" xr3:uid="{28FC4236-CAE4-4B55-95BF-1792D437228F}" name="Date"/>
    <tableColumn id="2" xr3:uid="{9EB0DC66-72AD-4003-A174-54F1527FDABA}" name="Libellé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ableau6" displayName="Tableau6" ref="E4:G5" totalsRowShown="0" headerRowDxfId="24" tableBorderDxfId="23">
  <autoFilter ref="E4:G5" xr:uid="{723E3087-752D-4C58-BBDC-D804A856F8D9}"/>
  <tableColumns count="3">
    <tableColumn id="1" xr3:uid="{CCEB1F28-E330-4A16-846D-C979AE1F3512}" name="Date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22" tableBorderDxfId="21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/>
    <tableColumn id="8" xr3:uid="{C228BB8A-6825-4912-A622-4E82DA855E58}" name="sol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61" totalsRowShown="0" headerRowDxfId="7" tableBorderDxfId="12">
  <autoFilter ref="J13:Q61" xr:uid="{16B3C518-F577-4B46-8737-F10742CFBF3E}"/>
  <tableColumns count="8">
    <tableColumn id="1" xr3:uid="{39FFDC18-FD8E-465C-ABA4-2F07F131136C}" name="Date" dataDxfId="6"/>
    <tableColumn id="2" xr3:uid="{BB340F40-2C03-402F-AA1D-DDCC214AE063}" name="Mensualité" dataDxfId="11"/>
    <tableColumn id="3" xr3:uid="{9D5D58E1-22BB-4373-8157-E8F47C8CAFB9}" name="Intérêts" dataDxfId="10"/>
    <tableColumn id="4" xr3:uid="{F80DDCBD-2C4F-4691-9365-4B607CCEF7FC}" name="Capital" dataDxfId="9"/>
    <tableColumn id="5" xr3:uid="{C66E8C2E-0DCE-4DBB-B0DF-EEC6B031B395}" name="Solde" dataDxfId="8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AAF08E3-6AED-486B-A176-AE43A817038E}" name="Tableau7" displayName="Tableau7" ref="B10:F1100" totalsRowCount="1">
  <autoFilter ref="B10:F1099" xr:uid="{0037DBA1-FEF0-49AA-B754-F07B1AED53B4}"/>
  <tableColumns count="5">
    <tableColumn id="1" xr3:uid="{94688C60-39EA-4743-9F27-5559E18715E4}" name="Date" dataDxfId="20" totalsRowDxfId="16">
      <calculatedColumnFormula>$D$4</calculatedColumnFormula>
    </tableColumn>
    <tableColumn id="2" xr3:uid="{52D3121D-A4F3-48EC-9299-D5D85C4FF850}" name="Mensualité">
      <calculatedColumnFormula>$H$4</calculatedColumnFormula>
    </tableColumn>
    <tableColumn id="3" xr3:uid="{02489E73-248E-483D-B1DE-5B8094F9E23C}" name="Intérêts" dataDxfId="19" totalsRowDxfId="15">
      <calculatedColumnFormula>G4*F4/12</calculatedColumnFormula>
    </tableColumn>
    <tableColumn id="4" xr3:uid="{D6C559D3-6975-4FD0-8C8E-B4111F8FEC01}" name="Capital" dataDxfId="18" totalsRowDxfId="14">
      <calculatedColumnFormula>Tableau7[[#This Row],[Mensualité]]-Tableau7[[#This Row],[Intérêts]]</calculatedColumnFormula>
    </tableColumn>
    <tableColumn id="5" xr3:uid="{5B408764-1958-40F7-AE1F-7DBFB9808837}" name="Solde" dataDxfId="17" totalsRowDxfId="13">
      <calculatedColumnFormula>$G$4-Tableau7[[#This Row],[Mensualité]]-Tableau7[[#This Row],[Intérêts]]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1:W29"/>
  <sheetViews>
    <sheetView workbookViewId="0">
      <selection activeCell="V18" sqref="V18"/>
    </sheetView>
  </sheetViews>
  <sheetFormatPr baseColWidth="10" defaultRowHeight="15" x14ac:dyDescent="0.25"/>
  <cols>
    <col min="1" max="2" width="11.42578125" style="41"/>
    <col min="3" max="3" width="14.7109375" style="41" customWidth="1"/>
    <col min="4" max="4" width="2.7109375" style="41" customWidth="1"/>
    <col min="5" max="5" width="14.85546875" style="41" customWidth="1"/>
    <col min="6" max="6" width="2.7109375" style="41" customWidth="1"/>
    <col min="7" max="7" width="16.28515625" style="41" customWidth="1"/>
    <col min="8" max="8" width="2.7109375" style="41" customWidth="1"/>
    <col min="9" max="9" width="14.5703125" style="41" customWidth="1"/>
    <col min="10" max="10" width="2.7109375" style="41" customWidth="1"/>
    <col min="11" max="11" width="11.42578125" style="41"/>
    <col min="12" max="12" width="6.140625" style="41" customWidth="1"/>
    <col min="13" max="13" width="11.42578125" style="41"/>
    <col min="14" max="14" width="7.28515625" style="41" customWidth="1"/>
    <col min="15" max="15" width="6.5703125" style="41" customWidth="1"/>
    <col min="16" max="16384" width="11.42578125" style="41"/>
  </cols>
  <sheetData>
    <row r="1" spans="2:19" ht="15.75" thickBot="1" x14ac:dyDescent="0.3"/>
    <row r="2" spans="2:19" ht="15" customHeight="1" x14ac:dyDescent="0.25">
      <c r="B2" s="71" t="s">
        <v>157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3"/>
    </row>
    <row r="3" spans="2:19" ht="15" customHeight="1" x14ac:dyDescent="0.25">
      <c r="B3" s="74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6"/>
    </row>
    <row r="4" spans="2:19" ht="15" customHeight="1" thickBot="1" x14ac:dyDescent="0.3">
      <c r="B4" s="77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</row>
    <row r="5" spans="2:19" ht="22.5" customHeight="1" x14ac:dyDescent="0.25"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2:19" ht="49.5" customHeight="1" x14ac:dyDescent="0.25">
      <c r="C6" s="42"/>
      <c r="D6" s="43"/>
      <c r="E6" s="44"/>
      <c r="F6" s="43"/>
      <c r="G6" s="44"/>
      <c r="H6" s="43"/>
      <c r="I6" s="44"/>
      <c r="J6" s="43"/>
      <c r="K6" s="45"/>
      <c r="L6" s="45"/>
      <c r="M6" s="45"/>
      <c r="O6" s="45"/>
    </row>
    <row r="7" spans="2:19" ht="5.25" customHeight="1" x14ac:dyDescent="0.25">
      <c r="E7" s="46"/>
    </row>
    <row r="8" spans="2:19" x14ac:dyDescent="0.25">
      <c r="S8" s="171">
        <v>44287</v>
      </c>
    </row>
    <row r="12" spans="2:19" ht="14.25" customHeight="1" x14ac:dyDescent="0.25"/>
    <row r="13" spans="2:19" ht="3.75" customHeight="1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21" spans="2:23" x14ac:dyDescent="0.25">
      <c r="W21" s="41" t="s">
        <v>160</v>
      </c>
    </row>
    <row r="29" spans="2:23" ht="22.5" customHeight="1" x14ac:dyDescent="0.25"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</row>
  </sheetData>
  <mergeCells count="1">
    <mergeCell ref="B2:O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A3DF-D43B-4002-AC00-A25AA9466805}">
  <sheetPr codeName="Feuil23"/>
  <dimension ref="A3:D7"/>
  <sheetViews>
    <sheetView workbookViewId="0">
      <selection activeCell="B4" sqref="B4"/>
    </sheetView>
  </sheetViews>
  <sheetFormatPr baseColWidth="10" defaultRowHeight="15" x14ac:dyDescent="0.25"/>
  <cols>
    <col min="1" max="1" width="29.5703125" bestFit="1" customWidth="1"/>
    <col min="2" max="2" width="23.85546875" bestFit="1" customWidth="1"/>
    <col min="3" max="3" width="6.28515625" bestFit="1" customWidth="1"/>
    <col min="4" max="4" width="12.5703125" bestFit="1" customWidth="1"/>
    <col min="5" max="36" width="10.7109375" bestFit="1" customWidth="1"/>
    <col min="37" max="37" width="12.5703125" bestFit="1" customWidth="1"/>
  </cols>
  <sheetData>
    <row r="3" spans="1:4" x14ac:dyDescent="0.25">
      <c r="A3" s="61" t="s">
        <v>188</v>
      </c>
      <c r="B3" s="61" t="s">
        <v>165</v>
      </c>
    </row>
    <row r="4" spans="1:4" x14ac:dyDescent="0.25">
      <c r="A4" s="61" t="s">
        <v>183</v>
      </c>
      <c r="B4" t="s">
        <v>189</v>
      </c>
      <c r="C4" t="s">
        <v>190</v>
      </c>
      <c r="D4" t="s">
        <v>162</v>
      </c>
    </row>
    <row r="5" spans="1:4" x14ac:dyDescent="0.25">
      <c r="A5" s="172" t="s">
        <v>190</v>
      </c>
      <c r="B5" s="173"/>
      <c r="C5" s="173"/>
      <c r="D5" s="173"/>
    </row>
    <row r="6" spans="1:4" x14ac:dyDescent="0.25">
      <c r="A6" s="172" t="s">
        <v>10</v>
      </c>
      <c r="B6" s="173">
        <v>1</v>
      </c>
      <c r="C6" s="173"/>
      <c r="D6" s="173">
        <v>1</v>
      </c>
    </row>
    <row r="7" spans="1:4" x14ac:dyDescent="0.25">
      <c r="A7" s="172" t="s">
        <v>162</v>
      </c>
      <c r="B7" s="173">
        <v>1</v>
      </c>
      <c r="C7" s="173"/>
      <c r="D7" s="17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L14"/>
  <sheetViews>
    <sheetView tabSelected="1" zoomScale="80" zoomScaleNormal="80" workbookViewId="0">
      <selection activeCell="D13" sqref="D13"/>
    </sheetView>
  </sheetViews>
  <sheetFormatPr baseColWidth="10" defaultRowHeight="15" x14ac:dyDescent="0.25"/>
  <cols>
    <col min="1" max="1" width="11.42578125" style="3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28.5703125" customWidth="1"/>
    <col min="10" max="10" width="35.5703125" bestFit="1" customWidth="1"/>
    <col min="11" max="11" width="24.140625" bestFit="1" customWidth="1"/>
    <col min="12" max="12" width="22.140625" bestFit="1" customWidth="1"/>
  </cols>
  <sheetData>
    <row r="2" spans="1:12" ht="26.25" x14ac:dyDescent="0.4">
      <c r="A2" s="81" t="s">
        <v>133</v>
      </c>
      <c r="B2" s="81"/>
      <c r="C2" s="81"/>
      <c r="D2" s="81"/>
      <c r="E2" s="81"/>
      <c r="F2" s="81"/>
      <c r="H2" s="80" t="s">
        <v>132</v>
      </c>
      <c r="I2" s="80"/>
      <c r="J2" s="80"/>
      <c r="K2" s="80"/>
      <c r="L2" s="80"/>
    </row>
    <row r="4" spans="1:12" ht="15.75" x14ac:dyDescent="0.25">
      <c r="A4" s="58" t="s">
        <v>130</v>
      </c>
      <c r="B4" s="59" t="s">
        <v>113</v>
      </c>
      <c r="C4" s="59" t="s">
        <v>114</v>
      </c>
      <c r="D4" s="59" t="s">
        <v>127</v>
      </c>
      <c r="E4" s="59" t="s">
        <v>112</v>
      </c>
      <c r="F4" s="60" t="s">
        <v>131</v>
      </c>
      <c r="H4" s="36" t="s">
        <v>116</v>
      </c>
      <c r="I4" s="37" t="s">
        <v>120</v>
      </c>
      <c r="J4" s="37" t="s">
        <v>126</v>
      </c>
      <c r="K4" s="37" t="s">
        <v>112</v>
      </c>
      <c r="L4" s="37" t="s">
        <v>128</v>
      </c>
    </row>
    <row r="5" spans="1:12" x14ac:dyDescent="0.25">
      <c r="A5" s="59"/>
      <c r="B5" s="59"/>
      <c r="C5" s="59"/>
      <c r="D5" s="59"/>
      <c r="E5" s="59"/>
      <c r="F5" s="59"/>
    </row>
    <row r="6" spans="1:12" x14ac:dyDescent="0.25">
      <c r="A6" s="59" t="s">
        <v>189</v>
      </c>
      <c r="B6" s="59" t="s">
        <v>123</v>
      </c>
      <c r="C6" s="59" t="s">
        <v>10</v>
      </c>
      <c r="D6" s="59" t="s">
        <v>117</v>
      </c>
      <c r="E6" s="59" t="s">
        <v>29</v>
      </c>
      <c r="F6" s="59" t="s">
        <v>191</v>
      </c>
      <c r="H6" t="s">
        <v>4</v>
      </c>
      <c r="I6" t="s">
        <v>98</v>
      </c>
      <c r="J6" s="54" t="s">
        <v>28</v>
      </c>
      <c r="K6" t="s">
        <v>0</v>
      </c>
      <c r="L6" t="s">
        <v>129</v>
      </c>
    </row>
    <row r="7" spans="1:12" x14ac:dyDescent="0.25">
      <c r="H7" t="s">
        <v>117</v>
      </c>
      <c r="I7" t="s">
        <v>121</v>
      </c>
      <c r="J7" s="54" t="s">
        <v>13</v>
      </c>
      <c r="K7" t="s">
        <v>1</v>
      </c>
    </row>
    <row r="8" spans="1:12" x14ac:dyDescent="0.25">
      <c r="H8" t="s">
        <v>118</v>
      </c>
      <c r="I8" t="s">
        <v>122</v>
      </c>
      <c r="J8" s="54" t="s">
        <v>10</v>
      </c>
      <c r="K8" t="s">
        <v>2</v>
      </c>
    </row>
    <row r="9" spans="1:12" x14ac:dyDescent="0.25">
      <c r="H9" t="s">
        <v>119</v>
      </c>
      <c r="I9" t="s">
        <v>123</v>
      </c>
      <c r="J9" s="54" t="s">
        <v>115</v>
      </c>
      <c r="K9" t="s">
        <v>29</v>
      </c>
    </row>
    <row r="10" spans="1:12" x14ac:dyDescent="0.25">
      <c r="H10" t="s">
        <v>8</v>
      </c>
      <c r="I10" t="s">
        <v>124</v>
      </c>
    </row>
    <row r="11" spans="1:12" x14ac:dyDescent="0.25">
      <c r="I11" t="s">
        <v>125</v>
      </c>
    </row>
    <row r="12" spans="1:12" x14ac:dyDescent="0.25">
      <c r="I12" t="s">
        <v>79</v>
      </c>
    </row>
    <row r="13" spans="1:12" x14ac:dyDescent="0.25">
      <c r="I13" t="s">
        <v>103</v>
      </c>
    </row>
    <row r="14" spans="1:12" x14ac:dyDescent="0.25">
      <c r="I14" t="s">
        <v>86</v>
      </c>
    </row>
  </sheetData>
  <mergeCells count="2">
    <mergeCell ref="H2:L2"/>
    <mergeCell ref="A2:F2"/>
  </mergeCells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G20"/>
  <sheetViews>
    <sheetView workbookViewId="0">
      <selection activeCell="E5" sqref="E5:G5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7" ht="18.75" x14ac:dyDescent="0.3">
      <c r="E2" s="82" t="s">
        <v>136</v>
      </c>
      <c r="F2" s="82"/>
      <c r="G2" s="82"/>
    </row>
    <row r="4" spans="1:7" ht="15.75" x14ac:dyDescent="0.25">
      <c r="A4" s="35" t="s">
        <v>134</v>
      </c>
      <c r="E4" s="55" t="s">
        <v>130</v>
      </c>
      <c r="F4" s="56" t="s">
        <v>135</v>
      </c>
      <c r="G4" s="57" t="s">
        <v>131</v>
      </c>
    </row>
    <row r="5" spans="1:7" x14ac:dyDescent="0.25">
      <c r="A5" s="32"/>
    </row>
    <row r="6" spans="1:7" x14ac:dyDescent="0.25">
      <c r="A6" s="30" t="s">
        <v>14</v>
      </c>
    </row>
    <row r="7" spans="1:7" x14ac:dyDescent="0.25">
      <c r="A7" s="30" t="s">
        <v>15</v>
      </c>
    </row>
    <row r="8" spans="1:7" x14ac:dyDescent="0.25">
      <c r="A8" s="30" t="s">
        <v>11</v>
      </c>
    </row>
    <row r="9" spans="1:7" x14ac:dyDescent="0.25">
      <c r="A9" s="30" t="s">
        <v>16</v>
      </c>
    </row>
    <row r="10" spans="1:7" x14ac:dyDescent="0.25">
      <c r="A10" s="30" t="s">
        <v>17</v>
      </c>
    </row>
    <row r="11" spans="1:7" x14ac:dyDescent="0.25">
      <c r="A11" s="30" t="s">
        <v>31</v>
      </c>
    </row>
    <row r="12" spans="1:7" x14ac:dyDescent="0.25">
      <c r="A12" s="30" t="s">
        <v>18</v>
      </c>
    </row>
    <row r="13" spans="1:7" x14ac:dyDescent="0.25">
      <c r="A13" s="29" t="s">
        <v>19</v>
      </c>
    </row>
    <row r="14" spans="1:7" x14ac:dyDescent="0.25">
      <c r="A14" s="29" t="s">
        <v>32</v>
      </c>
    </row>
    <row r="15" spans="1:7" x14ac:dyDescent="0.25">
      <c r="A15" s="29" t="s">
        <v>20</v>
      </c>
    </row>
    <row r="16" spans="1:7" x14ac:dyDescent="0.25">
      <c r="A16" s="29" t="s">
        <v>21</v>
      </c>
    </row>
    <row r="17" spans="1:1" x14ac:dyDescent="0.25">
      <c r="A17" s="29" t="s">
        <v>39</v>
      </c>
    </row>
    <row r="18" spans="1:1" x14ac:dyDescent="0.25">
      <c r="A18" s="29" t="s">
        <v>40</v>
      </c>
    </row>
    <row r="19" spans="1:1" x14ac:dyDescent="0.25">
      <c r="A19" s="29" t="s">
        <v>41</v>
      </c>
    </row>
    <row r="20" spans="1:1" x14ac:dyDescent="0.25">
      <c r="A20" s="29" t="s">
        <v>42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G23"/>
  <sheetViews>
    <sheetView workbookViewId="0">
      <selection activeCell="E5" sqref="E5:G5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7" ht="18.75" x14ac:dyDescent="0.3">
      <c r="E2" s="82" t="s">
        <v>136</v>
      </c>
      <c r="F2" s="82"/>
      <c r="G2" s="82"/>
    </row>
    <row r="4" spans="1:7" ht="15.75" x14ac:dyDescent="0.25">
      <c r="A4" s="35" t="s">
        <v>134</v>
      </c>
      <c r="E4" s="55" t="s">
        <v>130</v>
      </c>
      <c r="F4" s="56" t="s">
        <v>161</v>
      </c>
      <c r="G4" s="57" t="s">
        <v>131</v>
      </c>
    </row>
    <row r="5" spans="1:7" x14ac:dyDescent="0.25">
      <c r="A5" s="32"/>
    </row>
    <row r="6" spans="1:7" x14ac:dyDescent="0.25">
      <c r="A6" s="33" t="s">
        <v>34</v>
      </c>
    </row>
    <row r="7" spans="1:7" x14ac:dyDescent="0.25">
      <c r="A7" s="33" t="s">
        <v>11</v>
      </c>
    </row>
    <row r="8" spans="1:7" x14ac:dyDescent="0.25">
      <c r="A8" s="33" t="s">
        <v>35</v>
      </c>
    </row>
    <row r="9" spans="1:7" x14ac:dyDescent="0.25">
      <c r="A9" s="33" t="s">
        <v>16</v>
      </c>
    </row>
    <row r="10" spans="1:7" x14ac:dyDescent="0.25">
      <c r="A10" s="33" t="s">
        <v>44</v>
      </c>
    </row>
    <row r="11" spans="1:7" x14ac:dyDescent="0.25">
      <c r="A11" s="33" t="s">
        <v>36</v>
      </c>
    </row>
    <row r="12" spans="1:7" x14ac:dyDescent="0.25">
      <c r="A12" s="33" t="s">
        <v>22</v>
      </c>
    </row>
    <row r="13" spans="1:7" x14ac:dyDescent="0.25">
      <c r="A13" s="34" t="s">
        <v>32</v>
      </c>
    </row>
    <row r="14" spans="1:7" x14ac:dyDescent="0.25">
      <c r="A14" s="34" t="s">
        <v>20</v>
      </c>
    </row>
    <row r="15" spans="1:7" x14ac:dyDescent="0.25">
      <c r="A15" s="34" t="s">
        <v>37</v>
      </c>
    </row>
    <row r="16" spans="1:7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G23"/>
  <sheetViews>
    <sheetView workbookViewId="0">
      <selection activeCell="E5" sqref="E5:G5"/>
    </sheetView>
  </sheetViews>
  <sheetFormatPr baseColWidth="10" defaultRowHeight="15" x14ac:dyDescent="0.25"/>
  <cols>
    <col min="1" max="1" width="18.28515625" bestFit="1" customWidth="1"/>
  </cols>
  <sheetData>
    <row r="2" spans="1:7" ht="18.75" x14ac:dyDescent="0.3">
      <c r="E2" s="82" t="s">
        <v>136</v>
      </c>
      <c r="F2" s="82"/>
      <c r="G2" s="82"/>
    </row>
    <row r="4" spans="1:7" ht="15.75" x14ac:dyDescent="0.25">
      <c r="A4" s="35" t="s">
        <v>134</v>
      </c>
      <c r="E4" s="55" t="s">
        <v>130</v>
      </c>
      <c r="F4" s="56" t="s">
        <v>135</v>
      </c>
      <c r="G4" s="57" t="s">
        <v>131</v>
      </c>
    </row>
    <row r="5" spans="1:7" x14ac:dyDescent="0.25">
      <c r="A5" s="32"/>
    </row>
    <row r="6" spans="1:7" x14ac:dyDescent="0.25">
      <c r="A6" s="33" t="s">
        <v>34</v>
      </c>
    </row>
    <row r="7" spans="1:7" x14ac:dyDescent="0.25">
      <c r="A7" s="33" t="s">
        <v>11</v>
      </c>
    </row>
    <row r="8" spans="1:7" x14ac:dyDescent="0.25">
      <c r="A8" s="33" t="s">
        <v>35</v>
      </c>
    </row>
    <row r="9" spans="1:7" x14ac:dyDescent="0.25">
      <c r="A9" s="33" t="s">
        <v>16</v>
      </c>
    </row>
    <row r="10" spans="1:7" x14ac:dyDescent="0.25">
      <c r="A10" s="33" t="s">
        <v>44</v>
      </c>
    </row>
    <row r="11" spans="1:7" x14ac:dyDescent="0.25">
      <c r="A11" s="33" t="s">
        <v>36</v>
      </c>
    </row>
    <row r="12" spans="1:7" x14ac:dyDescent="0.25">
      <c r="A12" s="33" t="s">
        <v>22</v>
      </c>
    </row>
    <row r="13" spans="1:7" x14ac:dyDescent="0.25">
      <c r="A13" s="34" t="s">
        <v>32</v>
      </c>
    </row>
    <row r="14" spans="1:7" x14ac:dyDescent="0.25">
      <c r="A14" s="34" t="s">
        <v>20</v>
      </c>
    </row>
    <row r="15" spans="1:7" x14ac:dyDescent="0.25">
      <c r="A15" s="34" t="s">
        <v>37</v>
      </c>
    </row>
    <row r="16" spans="1:7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E245-40E3-4124-9F65-818F4F2A6406}">
  <sheetPr codeName="Feuil21"/>
  <dimension ref="A2:E9"/>
  <sheetViews>
    <sheetView workbookViewId="0">
      <selection activeCell="O22" sqref="O22"/>
    </sheetView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8" bestFit="1" customWidth="1"/>
    <col min="4" max="4" width="19.5703125" bestFit="1" customWidth="1"/>
    <col min="5" max="5" width="12.5703125" bestFit="1" customWidth="1"/>
    <col min="6" max="6" width="19.5703125" bestFit="1" customWidth="1"/>
    <col min="7" max="7" width="12.5703125" bestFit="1" customWidth="1"/>
    <col min="8" max="25" width="8" bestFit="1" customWidth="1"/>
    <col min="26" max="26" width="19.5703125" bestFit="1" customWidth="1"/>
    <col min="27" max="27" width="12.5703125" bestFit="1" customWidth="1"/>
    <col min="28" max="28" width="14.5703125" bestFit="1" customWidth="1"/>
    <col min="29" max="29" width="9.85546875" bestFit="1" customWidth="1"/>
    <col min="30" max="30" width="14.5703125" bestFit="1" customWidth="1"/>
    <col min="31" max="31" width="9.85546875" bestFit="1" customWidth="1"/>
    <col min="32" max="32" width="14.5703125" bestFit="1" customWidth="1"/>
    <col min="33" max="33" width="9.85546875" bestFit="1" customWidth="1"/>
    <col min="34" max="34" width="14.5703125" bestFit="1" customWidth="1"/>
    <col min="35" max="35" width="9.85546875" bestFit="1" customWidth="1"/>
    <col min="36" max="36" width="14.5703125" bestFit="1" customWidth="1"/>
    <col min="37" max="37" width="9.85546875" bestFit="1" customWidth="1"/>
    <col min="38" max="38" width="14.5703125" bestFit="1" customWidth="1"/>
    <col min="39" max="39" width="9.85546875" bestFit="1" customWidth="1"/>
    <col min="40" max="40" width="14.5703125" bestFit="1" customWidth="1"/>
    <col min="41" max="41" width="9.85546875" bestFit="1" customWidth="1"/>
    <col min="42" max="42" width="14.5703125" bestFit="1" customWidth="1"/>
    <col min="43" max="43" width="9.85546875" bestFit="1" customWidth="1"/>
    <col min="44" max="44" width="14.5703125" bestFit="1" customWidth="1"/>
    <col min="45" max="45" width="9.85546875" bestFit="1" customWidth="1"/>
    <col min="46" max="46" width="14.5703125" bestFit="1" customWidth="1"/>
    <col min="47" max="47" width="9.85546875" bestFit="1" customWidth="1"/>
    <col min="48" max="48" width="14.5703125" bestFit="1" customWidth="1"/>
    <col min="49" max="49" width="9.85546875" bestFit="1" customWidth="1"/>
    <col min="50" max="50" width="12.5703125" bestFit="1" customWidth="1"/>
  </cols>
  <sheetData>
    <row r="2" spans="1:5" x14ac:dyDescent="0.25">
      <c r="E2" s="178">
        <f ca="1">TODAY()</f>
        <v>43957</v>
      </c>
    </row>
    <row r="3" spans="1:5" x14ac:dyDescent="0.25">
      <c r="A3" s="61" t="s">
        <v>182</v>
      </c>
      <c r="B3" s="61" t="s">
        <v>165</v>
      </c>
    </row>
    <row r="4" spans="1:5" x14ac:dyDescent="0.25">
      <c r="B4" t="s">
        <v>140</v>
      </c>
      <c r="D4" t="s">
        <v>187</v>
      </c>
      <c r="E4" s="169" t="s">
        <v>162</v>
      </c>
    </row>
    <row r="5" spans="1:5" x14ac:dyDescent="0.25">
      <c r="B5" s="31" t="s">
        <v>185</v>
      </c>
      <c r="E5" s="169"/>
    </row>
    <row r="6" spans="1:5" x14ac:dyDescent="0.25">
      <c r="A6" s="61" t="s">
        <v>67</v>
      </c>
      <c r="B6" t="s">
        <v>184</v>
      </c>
      <c r="C6" t="s">
        <v>186</v>
      </c>
      <c r="E6" s="169"/>
    </row>
    <row r="7" spans="1:5" x14ac:dyDescent="0.25">
      <c r="A7" s="172" t="s">
        <v>181</v>
      </c>
      <c r="B7" s="173">
        <v>864.41</v>
      </c>
      <c r="C7" s="173">
        <v>864.41</v>
      </c>
      <c r="D7" s="173">
        <v>1728.82</v>
      </c>
      <c r="E7" s="173">
        <v>1728.82</v>
      </c>
    </row>
    <row r="8" spans="1:5" x14ac:dyDescent="0.25">
      <c r="A8" s="172" t="s">
        <v>163</v>
      </c>
      <c r="B8" s="173">
        <v>864.41</v>
      </c>
      <c r="C8" s="173">
        <v>864.41</v>
      </c>
      <c r="D8" s="173">
        <v>1728.82</v>
      </c>
      <c r="E8" s="173">
        <v>1728.82</v>
      </c>
    </row>
    <row r="9" spans="1:5" x14ac:dyDescent="0.25">
      <c r="A9" s="172" t="s">
        <v>162</v>
      </c>
      <c r="B9" s="173">
        <v>1728.82</v>
      </c>
      <c r="C9" s="173">
        <v>1728.82</v>
      </c>
      <c r="D9" s="173">
        <v>3457.64</v>
      </c>
      <c r="E9" s="173">
        <v>3457.64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topLeftCell="A9" workbookViewId="0">
      <selection activeCell="R6" sqref="R6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83" t="s">
        <v>179</v>
      </c>
      <c r="B3" s="83"/>
      <c r="C3" s="83"/>
      <c r="D3" s="83"/>
      <c r="E3" s="83"/>
      <c r="F3" s="83"/>
      <c r="G3" s="83"/>
      <c r="H3" s="83"/>
      <c r="M3" s="84" t="s">
        <v>132</v>
      </c>
      <c r="N3" s="84"/>
      <c r="O3" s="70"/>
      <c r="P3" s="70"/>
      <c r="Q3" s="70"/>
      <c r="R3" s="70"/>
      <c r="T3" s="68" t="s">
        <v>166</v>
      </c>
      <c r="U3" s="68" t="s">
        <v>173</v>
      </c>
      <c r="V3" s="68" t="s">
        <v>174</v>
      </c>
      <c r="W3" s="68" t="s">
        <v>175</v>
      </c>
      <c r="X3" s="68" t="s">
        <v>176</v>
      </c>
      <c r="Y3" s="68" t="s">
        <v>177</v>
      </c>
      <c r="Z3" s="68" t="s">
        <v>161</v>
      </c>
    </row>
    <row r="4" spans="1:27" ht="15.75" thickBot="1" x14ac:dyDescent="0.3">
      <c r="M4" s="38"/>
      <c r="N4" s="38"/>
      <c r="O4" s="38"/>
      <c r="P4" s="38"/>
      <c r="Q4" s="38"/>
      <c r="R4" s="38"/>
      <c r="T4" s="176" t="str">
        <f>_xlfn.XLOOKUP($Z$4,Tableau1[libellé],Tableau1[date de début],"NA",0)</f>
        <v>05/05/2020</v>
      </c>
      <c r="U4" s="177">
        <f>_xlfn.XLOOKUP($Z$4,Tableau1[libellé],Tableau1[Duree],"NA",0)</f>
        <v>24</v>
      </c>
      <c r="V4" s="66">
        <f>RATE(U4,-X4,W4,0,0)*12</f>
        <v>3.5400613806760156E-2</v>
      </c>
      <c r="W4" s="18">
        <f>_xlfn.XLOOKUP($Z$4,Tableau1[libellé],Tableau1[montant emprunté],"NA",0)</f>
        <v>20000</v>
      </c>
      <c r="X4" s="18">
        <f>_xlfn.XLOOKUP($Z$4,Tableau1[libellé],Tableau1[mensualité],"NA",0)</f>
        <v>864.41</v>
      </c>
      <c r="Y4" s="1" t="str">
        <f>_xlfn.XLOOKUP($Z$4,Tableau1[libellé],Tableau1[type de prêt],"NA",0)</f>
        <v>Investissement</v>
      </c>
      <c r="Z4" s="154" t="str">
        <f>LOOKUP("z",Tableau1[libellé])</f>
        <v>travaux magasin</v>
      </c>
    </row>
    <row r="5" spans="1:27" x14ac:dyDescent="0.25">
      <c r="A5" s="55" t="s">
        <v>145</v>
      </c>
      <c r="B5" s="56" t="s">
        <v>158</v>
      </c>
      <c r="C5" s="56" t="s">
        <v>137</v>
      </c>
      <c r="D5" s="56" t="s">
        <v>138</v>
      </c>
      <c r="E5" s="56" t="s">
        <v>142</v>
      </c>
      <c r="F5" s="56" t="s">
        <v>143</v>
      </c>
      <c r="G5" s="56" t="s">
        <v>144</v>
      </c>
      <c r="H5" s="57" t="s">
        <v>146</v>
      </c>
      <c r="I5" s="32"/>
      <c r="J5" s="32"/>
      <c r="M5" s="37" t="s">
        <v>138</v>
      </c>
      <c r="N5" s="62"/>
      <c r="O5" s="62"/>
      <c r="P5" s="62"/>
      <c r="Q5" s="62"/>
      <c r="R5" s="62"/>
    </row>
    <row r="6" spans="1:27" x14ac:dyDescent="0.25">
      <c r="A6" t="s">
        <v>159</v>
      </c>
      <c r="B6">
        <v>24</v>
      </c>
      <c r="C6" s="65">
        <v>44686</v>
      </c>
      <c r="D6" t="s">
        <v>140</v>
      </c>
      <c r="E6" t="s">
        <v>163</v>
      </c>
      <c r="F6">
        <v>20000</v>
      </c>
      <c r="G6">
        <v>864.41</v>
      </c>
      <c r="N6" s="63"/>
      <c r="O6" s="63"/>
      <c r="P6" s="63"/>
      <c r="Q6" s="63"/>
      <c r="R6" s="63"/>
    </row>
    <row r="7" spans="1:27" x14ac:dyDescent="0.25">
      <c r="M7" t="s">
        <v>140</v>
      </c>
      <c r="N7" s="29"/>
      <c r="O7" s="29"/>
      <c r="P7" s="29"/>
      <c r="Q7" s="29"/>
      <c r="R7" s="29"/>
      <c r="T7" s="51" t="s">
        <v>130</v>
      </c>
      <c r="U7" s="52" t="s">
        <v>168</v>
      </c>
      <c r="V7" s="52" t="s">
        <v>171</v>
      </c>
      <c r="W7" s="52" t="s">
        <v>172</v>
      </c>
      <c r="X7" s="53" t="s">
        <v>167</v>
      </c>
      <c r="Y7" s="56" t="s">
        <v>178</v>
      </c>
      <c r="Z7" s="56" t="s">
        <v>177</v>
      </c>
      <c r="AA7" s="56" t="s">
        <v>161</v>
      </c>
    </row>
    <row r="8" spans="1:27" x14ac:dyDescent="0.25">
      <c r="M8" t="s">
        <v>139</v>
      </c>
      <c r="N8" s="29"/>
      <c r="O8" s="29"/>
      <c r="P8" s="29"/>
      <c r="Q8" s="29"/>
      <c r="R8" s="29"/>
      <c r="T8" s="155" t="str">
        <f>T4</f>
        <v>05/05/2020</v>
      </c>
      <c r="U8" s="164">
        <f>$X$4</f>
        <v>864.41</v>
      </c>
      <c r="V8" s="156">
        <f>ROUND(W4*V4/12,2)</f>
        <v>59</v>
      </c>
      <c r="W8" s="156">
        <f>D_Emprunts!$U8-D_Emprunts!$V8</f>
        <v>805.41</v>
      </c>
      <c r="X8" s="157">
        <f>$W$4-D_Emprunts!$W8</f>
        <v>19194.59</v>
      </c>
      <c r="Y8">
        <v>1</v>
      </c>
      <c r="Z8" t="str">
        <f>$Y$4</f>
        <v>Investissement</v>
      </c>
      <c r="AA8" t="str">
        <f>$Z$4</f>
        <v>travaux magasin</v>
      </c>
    </row>
    <row r="9" spans="1:27" x14ac:dyDescent="0.25">
      <c r="M9" t="s">
        <v>141</v>
      </c>
      <c r="N9" s="29"/>
      <c r="O9" s="29"/>
      <c r="P9" s="29"/>
      <c r="Q9" s="29"/>
      <c r="R9" s="29"/>
      <c r="T9" s="158">
        <f t="shared" ref="T9:T71" si="0">EDATE(T8,1)</f>
        <v>43987</v>
      </c>
      <c r="U9" s="164">
        <f t="shared" ref="U9:U72" si="1">$X$4</f>
        <v>864.41</v>
      </c>
      <c r="V9" s="159">
        <f>ROUND(X8*$V$4/12,2)</f>
        <v>56.63</v>
      </c>
      <c r="W9" s="159">
        <f>D_Emprunts!$U9-D_Emprunts!$V9</f>
        <v>807.78</v>
      </c>
      <c r="X9" s="160">
        <f>X8-D_Emprunts!$W9</f>
        <v>18386.810000000001</v>
      </c>
      <c r="Y9">
        <v>2</v>
      </c>
      <c r="Z9" t="str">
        <f t="shared" ref="Z9:Z72" si="2">$Y$4</f>
        <v>Investissement</v>
      </c>
      <c r="AA9" t="str">
        <f t="shared" ref="AA9:AA72" si="3">$Z$4</f>
        <v>travaux magasin</v>
      </c>
    </row>
    <row r="10" spans="1:27" x14ac:dyDescent="0.25">
      <c r="N10" s="29"/>
      <c r="O10" s="29"/>
      <c r="P10" s="29"/>
      <c r="Q10" s="29"/>
      <c r="R10" s="29"/>
      <c r="T10" s="155">
        <f t="shared" si="0"/>
        <v>44017</v>
      </c>
      <c r="U10" s="164">
        <f t="shared" si="1"/>
        <v>864.41</v>
      </c>
      <c r="V10" s="159">
        <f t="shared" ref="V10:V73" si="4">ROUND(X9*$V$4/12,2)</f>
        <v>54.24</v>
      </c>
      <c r="W10" s="156">
        <f>D_Emprunts!$U10-D_Emprunts!$V10</f>
        <v>810.17</v>
      </c>
      <c r="X10" s="157">
        <f>X9-D_Emprunts!$W10</f>
        <v>17576.640000000003</v>
      </c>
      <c r="Y10">
        <v>3</v>
      </c>
      <c r="Z10" t="str">
        <f t="shared" si="2"/>
        <v>Investissement</v>
      </c>
      <c r="AA10" t="str">
        <f t="shared" si="3"/>
        <v>travaux magasin</v>
      </c>
    </row>
    <row r="11" spans="1:27" x14ac:dyDescent="0.25">
      <c r="N11" s="29"/>
      <c r="O11" s="29"/>
      <c r="P11" s="29"/>
      <c r="Q11" s="29"/>
      <c r="R11" s="29"/>
      <c r="T11" s="158">
        <f t="shared" si="0"/>
        <v>44048</v>
      </c>
      <c r="U11" s="164">
        <f t="shared" si="1"/>
        <v>864.41</v>
      </c>
      <c r="V11" s="159">
        <f t="shared" si="4"/>
        <v>51.85</v>
      </c>
      <c r="W11" s="159">
        <f>D_Emprunts!$U11-D_Emprunts!$V11</f>
        <v>812.56</v>
      </c>
      <c r="X11" s="160">
        <f>X10-D_Emprunts!$W11</f>
        <v>16764.080000000002</v>
      </c>
      <c r="Y11">
        <v>4</v>
      </c>
      <c r="Z11" t="str">
        <f t="shared" si="2"/>
        <v>Investissement</v>
      </c>
      <c r="AA11" t="str">
        <f t="shared" si="3"/>
        <v>travaux magasin</v>
      </c>
    </row>
    <row r="12" spans="1:27" x14ac:dyDescent="0.25">
      <c r="J12" s="170" t="s">
        <v>180</v>
      </c>
      <c r="K12" s="170"/>
      <c r="L12" s="170"/>
      <c r="M12" s="170"/>
      <c r="N12" s="170"/>
      <c r="O12" s="170"/>
      <c r="P12" s="170"/>
      <c r="Q12" s="170"/>
      <c r="R12" s="29"/>
      <c r="T12" s="155">
        <f t="shared" si="0"/>
        <v>44079</v>
      </c>
      <c r="U12" s="164">
        <f t="shared" si="1"/>
        <v>864.41</v>
      </c>
      <c r="V12" s="159">
        <f t="shared" si="4"/>
        <v>49.45</v>
      </c>
      <c r="W12" s="156">
        <f>D_Emprunts!$U12-D_Emprunts!$V12</f>
        <v>814.95999999999992</v>
      </c>
      <c r="X12" s="157">
        <f>X11-D_Emprunts!$W12</f>
        <v>15949.120000000003</v>
      </c>
      <c r="Y12">
        <v>5</v>
      </c>
      <c r="Z12" t="str">
        <f t="shared" si="2"/>
        <v>Investissement</v>
      </c>
      <c r="AA12" t="str">
        <f t="shared" si="3"/>
        <v>travaux magasin</v>
      </c>
    </row>
    <row r="13" spans="1:27" x14ac:dyDescent="0.25">
      <c r="J13" s="52" t="s">
        <v>130</v>
      </c>
      <c r="K13" s="52" t="s">
        <v>168</v>
      </c>
      <c r="L13" s="52" t="s">
        <v>171</v>
      </c>
      <c r="M13" s="52" t="s">
        <v>172</v>
      </c>
      <c r="N13" s="53" t="s">
        <v>167</v>
      </c>
      <c r="O13" s="56" t="s">
        <v>178</v>
      </c>
      <c r="P13" s="56" t="s">
        <v>177</v>
      </c>
      <c r="Q13" s="56" t="s">
        <v>161</v>
      </c>
      <c r="T13" s="158">
        <f t="shared" si="0"/>
        <v>44109</v>
      </c>
      <c r="U13" s="164">
        <f t="shared" si="1"/>
        <v>864.41</v>
      </c>
      <c r="V13" s="159">
        <f t="shared" si="4"/>
        <v>47.05</v>
      </c>
      <c r="W13" s="159">
        <f>D_Emprunts!$U13-D_Emprunts!$V13</f>
        <v>817.36</v>
      </c>
      <c r="X13" s="160">
        <f>X12-D_Emprunts!$W13</f>
        <v>15131.760000000002</v>
      </c>
      <c r="Y13">
        <v>6</v>
      </c>
      <c r="Z13" t="str">
        <f t="shared" si="2"/>
        <v>Investissement</v>
      </c>
      <c r="AA13" t="str">
        <f t="shared" si="3"/>
        <v>travaux magasin</v>
      </c>
    </row>
    <row r="14" spans="1:27" x14ac:dyDescent="0.25">
      <c r="J14" s="174">
        <v>43956</v>
      </c>
      <c r="K14" s="164">
        <v>864.41</v>
      </c>
      <c r="L14" s="156">
        <v>59</v>
      </c>
      <c r="M14" s="156">
        <v>805.408976988733</v>
      </c>
      <c r="N14" s="157">
        <v>19194.591023011268</v>
      </c>
      <c r="O14">
        <v>1</v>
      </c>
      <c r="P14" t="s">
        <v>140</v>
      </c>
      <c r="Q14" t="s">
        <v>163</v>
      </c>
      <c r="R14" s="63"/>
      <c r="T14" s="155">
        <f t="shared" si="0"/>
        <v>44140</v>
      </c>
      <c r="U14" s="164">
        <f t="shared" si="1"/>
        <v>864.41</v>
      </c>
      <c r="V14" s="159">
        <f t="shared" si="4"/>
        <v>44.64</v>
      </c>
      <c r="W14" s="156">
        <f>D_Emprunts!$U14-D_Emprunts!$V14</f>
        <v>819.77</v>
      </c>
      <c r="X14" s="157">
        <f>X13-D_Emprunts!$W14</f>
        <v>14311.990000000002</v>
      </c>
      <c r="Y14">
        <v>7</v>
      </c>
      <c r="Z14" t="str">
        <f t="shared" si="2"/>
        <v>Investissement</v>
      </c>
      <c r="AA14" t="str">
        <f t="shared" si="3"/>
        <v>travaux magasin</v>
      </c>
    </row>
    <row r="15" spans="1:27" x14ac:dyDescent="0.25">
      <c r="J15" s="175">
        <v>43987</v>
      </c>
      <c r="K15" s="164">
        <v>864.41</v>
      </c>
      <c r="L15" s="159">
        <v>56.63</v>
      </c>
      <c r="M15" s="159">
        <v>807.78497466797273</v>
      </c>
      <c r="N15" s="160">
        <v>18386.806048343296</v>
      </c>
      <c r="O15">
        <v>2</v>
      </c>
      <c r="P15" t="s">
        <v>140</v>
      </c>
      <c r="Q15" t="s">
        <v>163</v>
      </c>
      <c r="R15" s="63"/>
      <c r="T15" s="158">
        <f t="shared" si="0"/>
        <v>44170</v>
      </c>
      <c r="U15" s="164">
        <f t="shared" si="1"/>
        <v>864.41</v>
      </c>
      <c r="V15" s="159">
        <f t="shared" si="4"/>
        <v>42.22</v>
      </c>
      <c r="W15" s="159">
        <f>D_Emprunts!$U15-D_Emprunts!$V15</f>
        <v>822.18999999999994</v>
      </c>
      <c r="X15" s="160">
        <f>X14-D_Emprunts!$W15</f>
        <v>13489.800000000001</v>
      </c>
      <c r="Y15">
        <v>8</v>
      </c>
      <c r="Z15" t="str">
        <f t="shared" si="2"/>
        <v>Investissement</v>
      </c>
      <c r="AA15" t="str">
        <f t="shared" si="3"/>
        <v>travaux magasin</v>
      </c>
    </row>
    <row r="16" spans="1:27" x14ac:dyDescent="0.25">
      <c r="J16" s="174">
        <v>44017</v>
      </c>
      <c r="K16" s="164">
        <v>864.41</v>
      </c>
      <c r="L16" s="159">
        <v>54.24201833810023</v>
      </c>
      <c r="M16" s="156">
        <v>810.16798166189972</v>
      </c>
      <c r="N16" s="157">
        <v>17576.638066681397</v>
      </c>
      <c r="O16">
        <v>3</v>
      </c>
      <c r="P16" t="s">
        <v>140</v>
      </c>
      <c r="Q16" t="s">
        <v>163</v>
      </c>
      <c r="R16" s="63"/>
      <c r="T16" s="155">
        <f t="shared" si="0"/>
        <v>44201</v>
      </c>
      <c r="U16" s="164">
        <f t="shared" si="1"/>
        <v>864.41</v>
      </c>
      <c r="V16" s="159">
        <f t="shared" si="4"/>
        <v>39.799999999999997</v>
      </c>
      <c r="W16" s="156">
        <f>D_Emprunts!$U16-D_Emprunts!$V16</f>
        <v>824.61</v>
      </c>
      <c r="X16" s="157">
        <f>X15-D_Emprunts!$W16</f>
        <v>12665.19</v>
      </c>
      <c r="Y16">
        <v>9</v>
      </c>
      <c r="Z16" t="str">
        <f t="shared" si="2"/>
        <v>Investissement</v>
      </c>
      <c r="AA16" t="str">
        <f t="shared" si="3"/>
        <v>travaux magasin</v>
      </c>
    </row>
    <row r="17" spans="10:27" x14ac:dyDescent="0.25">
      <c r="J17" s="175">
        <v>44048</v>
      </c>
      <c r="K17" s="164">
        <v>864.41</v>
      </c>
      <c r="L17" s="159">
        <v>51.851981351648966</v>
      </c>
      <c r="M17" s="159">
        <v>812.55801864835098</v>
      </c>
      <c r="N17" s="160">
        <v>16764.080048033047</v>
      </c>
      <c r="O17">
        <v>4</v>
      </c>
      <c r="P17" t="s">
        <v>140</v>
      </c>
      <c r="Q17" t="s">
        <v>163</v>
      </c>
      <c r="R17" s="63"/>
      <c r="T17" s="158">
        <f t="shared" si="0"/>
        <v>44232</v>
      </c>
      <c r="U17" s="164">
        <f t="shared" si="1"/>
        <v>864.41</v>
      </c>
      <c r="V17" s="159">
        <f t="shared" si="4"/>
        <v>37.36</v>
      </c>
      <c r="W17" s="159">
        <f>D_Emprunts!$U17-D_Emprunts!$V17</f>
        <v>827.05</v>
      </c>
      <c r="X17" s="160">
        <f>X16-D_Emprunts!$W17</f>
        <v>11838.140000000001</v>
      </c>
      <c r="Y17">
        <v>10</v>
      </c>
      <c r="Z17" t="str">
        <f t="shared" si="2"/>
        <v>Investissement</v>
      </c>
      <c r="AA17" t="str">
        <f t="shared" si="3"/>
        <v>travaux magasin</v>
      </c>
    </row>
    <row r="18" spans="10:27" x14ac:dyDescent="0.25">
      <c r="J18" s="174">
        <v>44079</v>
      </c>
      <c r="K18" s="164">
        <v>864.41</v>
      </c>
      <c r="L18" s="159">
        <v>49.45489363383593</v>
      </c>
      <c r="M18" s="156">
        <v>814.95510636616405</v>
      </c>
      <c r="N18" s="157">
        <v>15949.124941666883</v>
      </c>
      <c r="O18">
        <v>5</v>
      </c>
      <c r="P18" t="s">
        <v>140</v>
      </c>
      <c r="Q18" t="s">
        <v>163</v>
      </c>
      <c r="R18" s="63"/>
      <c r="T18" s="155">
        <f t="shared" si="0"/>
        <v>44260</v>
      </c>
      <c r="U18" s="164">
        <f t="shared" si="1"/>
        <v>864.41</v>
      </c>
      <c r="V18" s="159">
        <f t="shared" si="4"/>
        <v>34.92</v>
      </c>
      <c r="W18" s="156">
        <f>D_Emprunts!$U18-D_Emprunts!$V18</f>
        <v>829.49</v>
      </c>
      <c r="X18" s="157">
        <f>X17-D_Emprunts!$W18</f>
        <v>11008.650000000001</v>
      </c>
      <c r="Y18">
        <v>11</v>
      </c>
      <c r="Z18" t="str">
        <f t="shared" si="2"/>
        <v>Investissement</v>
      </c>
      <c r="AA18" t="str">
        <f t="shared" si="3"/>
        <v>travaux magasin</v>
      </c>
    </row>
    <row r="19" spans="10:27" x14ac:dyDescent="0.25">
      <c r="J19" s="175">
        <v>44109</v>
      </c>
      <c r="K19" s="164">
        <v>864.41</v>
      </c>
      <c r="L19" s="159">
        <v>47.050734384642958</v>
      </c>
      <c r="M19" s="159">
        <v>817.359265615357</v>
      </c>
      <c r="N19" s="160">
        <v>15131.765676051526</v>
      </c>
      <c r="O19">
        <v>6</v>
      </c>
      <c r="P19" t="s">
        <v>140</v>
      </c>
      <c r="Q19" t="s">
        <v>163</v>
      </c>
      <c r="R19" s="63"/>
      <c r="T19" s="158">
        <f t="shared" si="0"/>
        <v>44291</v>
      </c>
      <c r="U19" s="164">
        <f t="shared" si="1"/>
        <v>864.41</v>
      </c>
      <c r="V19" s="159">
        <f t="shared" si="4"/>
        <v>32.479999999999997</v>
      </c>
      <c r="W19" s="159">
        <f>D_Emprunts!$U19-D_Emprunts!$V19</f>
        <v>831.93</v>
      </c>
      <c r="X19" s="160">
        <f>X18-D_Emprunts!$W19</f>
        <v>10176.720000000001</v>
      </c>
      <c r="Y19">
        <v>12</v>
      </c>
      <c r="Z19" t="str">
        <f t="shared" si="2"/>
        <v>Investissement</v>
      </c>
      <c r="AA19" t="str">
        <f t="shared" si="3"/>
        <v>travaux magasin</v>
      </c>
    </row>
    <row r="20" spans="10:27" x14ac:dyDescent="0.25">
      <c r="J20" s="174">
        <v>44140</v>
      </c>
      <c r="K20" s="164">
        <v>864.41</v>
      </c>
      <c r="L20" s="159">
        <v>44.639482742690753</v>
      </c>
      <c r="M20" s="156">
        <v>819.77051725730917</v>
      </c>
      <c r="N20" s="157">
        <v>14311.995158794216</v>
      </c>
      <c r="O20">
        <v>7</v>
      </c>
      <c r="P20" t="s">
        <v>140</v>
      </c>
      <c r="Q20" t="s">
        <v>163</v>
      </c>
      <c r="R20" s="63"/>
      <c r="T20" s="155">
        <f t="shared" si="0"/>
        <v>44321</v>
      </c>
      <c r="U20" s="164">
        <f t="shared" si="1"/>
        <v>864.41</v>
      </c>
      <c r="V20" s="159">
        <f t="shared" si="4"/>
        <v>30.02</v>
      </c>
      <c r="W20" s="156">
        <f>D_Emprunts!$U20-D_Emprunts!$V20</f>
        <v>834.39</v>
      </c>
      <c r="X20" s="157">
        <f>X19-D_Emprunts!$W20</f>
        <v>9342.3300000000017</v>
      </c>
      <c r="Y20">
        <v>13</v>
      </c>
      <c r="Z20" t="str">
        <f t="shared" si="2"/>
        <v>Investissement</v>
      </c>
      <c r="AA20" t="str">
        <f t="shared" si="3"/>
        <v>travaux magasin</v>
      </c>
    </row>
    <row r="21" spans="10:27" x14ac:dyDescent="0.25">
      <c r="J21" s="175">
        <v>44170</v>
      </c>
      <c r="K21" s="164">
        <v>864.41</v>
      </c>
      <c r="L21" s="159">
        <v>42.22111778505792</v>
      </c>
      <c r="M21" s="159">
        <v>822.18888221494205</v>
      </c>
      <c r="N21" s="160">
        <v>13489.806276579275</v>
      </c>
      <c r="O21">
        <v>8</v>
      </c>
      <c r="P21" t="s">
        <v>140</v>
      </c>
      <c r="Q21" t="s">
        <v>163</v>
      </c>
      <c r="R21" s="63"/>
      <c r="T21" s="158">
        <f t="shared" si="0"/>
        <v>44352</v>
      </c>
      <c r="U21" s="164">
        <f t="shared" si="1"/>
        <v>864.41</v>
      </c>
      <c r="V21" s="159">
        <f t="shared" si="4"/>
        <v>27.56</v>
      </c>
      <c r="W21" s="159">
        <f>D_Emprunts!$U21-D_Emprunts!$V21</f>
        <v>836.85</v>
      </c>
      <c r="X21" s="160">
        <f>X20-D_Emprunts!$W21</f>
        <v>8505.4800000000014</v>
      </c>
      <c r="Y21">
        <v>14</v>
      </c>
      <c r="Z21" t="str">
        <f t="shared" si="2"/>
        <v>Investissement</v>
      </c>
      <c r="AA21" t="str">
        <f t="shared" si="3"/>
        <v>travaux magasin</v>
      </c>
    </row>
    <row r="22" spans="10:27" x14ac:dyDescent="0.25">
      <c r="J22" s="174">
        <v>44201</v>
      </c>
      <c r="K22" s="164">
        <v>864.41</v>
      </c>
      <c r="L22" s="159">
        <v>39.795618527099343</v>
      </c>
      <c r="M22" s="156">
        <v>824.61438147290062</v>
      </c>
      <c r="N22" s="157">
        <v>12665.191895106374</v>
      </c>
      <c r="O22">
        <v>9</v>
      </c>
      <c r="P22" t="s">
        <v>140</v>
      </c>
      <c r="Q22" t="s">
        <v>163</v>
      </c>
      <c r="R22" s="63"/>
      <c r="T22" s="155">
        <f t="shared" si="0"/>
        <v>44382</v>
      </c>
      <c r="U22" s="164">
        <f t="shared" si="1"/>
        <v>864.41</v>
      </c>
      <c r="V22" s="159">
        <f t="shared" si="4"/>
        <v>25.09</v>
      </c>
      <c r="W22" s="156">
        <f>D_Emprunts!$U22-D_Emprunts!$V22</f>
        <v>839.31999999999994</v>
      </c>
      <c r="X22" s="157">
        <f>X21-D_Emprunts!$W22</f>
        <v>7666.1600000000017</v>
      </c>
      <c r="Y22">
        <v>15</v>
      </c>
      <c r="Z22" t="str">
        <f t="shared" si="2"/>
        <v>Investissement</v>
      </c>
      <c r="AA22" t="str">
        <f t="shared" si="3"/>
        <v>travaux magasin</v>
      </c>
    </row>
    <row r="23" spans="10:27" x14ac:dyDescent="0.25">
      <c r="J23" s="175">
        <v>44232</v>
      </c>
      <c r="K23" s="164">
        <v>864.41</v>
      </c>
      <c r="L23" s="159">
        <v>37.362963922264129</v>
      </c>
      <c r="M23" s="159">
        <v>827.04703607773581</v>
      </c>
      <c r="N23" s="160">
        <v>11838.144859028638</v>
      </c>
      <c r="O23">
        <v>10</v>
      </c>
      <c r="P23" t="s">
        <v>140</v>
      </c>
      <c r="Q23" t="s">
        <v>163</v>
      </c>
      <c r="R23" s="63"/>
      <c r="T23" s="158">
        <f t="shared" si="0"/>
        <v>44413</v>
      </c>
      <c r="U23" s="164">
        <f t="shared" si="1"/>
        <v>864.41</v>
      </c>
      <c r="V23" s="159">
        <f t="shared" si="4"/>
        <v>22.62</v>
      </c>
      <c r="W23" s="159">
        <f>D_Emprunts!$U23-D_Emprunts!$V23</f>
        <v>841.79</v>
      </c>
      <c r="X23" s="160">
        <f>X22-D_Emprunts!$W23</f>
        <v>6824.3700000000017</v>
      </c>
      <c r="Y23">
        <v>16</v>
      </c>
      <c r="Z23" t="str">
        <f t="shared" si="2"/>
        <v>Investissement</v>
      </c>
      <c r="AA23" t="str">
        <f t="shared" si="3"/>
        <v>travaux magasin</v>
      </c>
    </row>
    <row r="24" spans="10:27" x14ac:dyDescent="0.25">
      <c r="J24" s="174">
        <v>44260</v>
      </c>
      <c r="K24" s="164">
        <v>864.41</v>
      </c>
      <c r="L24" s="159">
        <v>34.923132861912997</v>
      </c>
      <c r="M24" s="156">
        <v>829.48686713808695</v>
      </c>
      <c r="N24" s="157">
        <v>11008.657991890552</v>
      </c>
      <c r="O24">
        <v>11</v>
      </c>
      <c r="P24" t="s">
        <v>140</v>
      </c>
      <c r="Q24" t="s">
        <v>163</v>
      </c>
      <c r="R24" s="63"/>
      <c r="T24" s="155">
        <f t="shared" si="0"/>
        <v>44444</v>
      </c>
      <c r="U24" s="164">
        <f t="shared" si="1"/>
        <v>864.41</v>
      </c>
      <c r="V24" s="159">
        <f t="shared" si="4"/>
        <v>20.13</v>
      </c>
      <c r="W24" s="156">
        <f>D_Emprunts!$U24-D_Emprunts!$V24</f>
        <v>844.28</v>
      </c>
      <c r="X24" s="157">
        <f>X23-D_Emprunts!$W24</f>
        <v>5980.090000000002</v>
      </c>
      <c r="Y24">
        <v>17</v>
      </c>
      <c r="Z24" t="str">
        <f t="shared" si="2"/>
        <v>Investissement</v>
      </c>
      <c r="AA24" t="str">
        <f t="shared" si="3"/>
        <v>travaux magasin</v>
      </c>
    </row>
    <row r="25" spans="10:27" x14ac:dyDescent="0.25">
      <c r="J25" s="175">
        <v>44291</v>
      </c>
      <c r="K25" s="164">
        <v>864.41</v>
      </c>
      <c r="L25" s="159">
        <v>32.476104175135099</v>
      </c>
      <c r="M25" s="159">
        <v>831.93389582486486</v>
      </c>
      <c r="N25" s="160">
        <v>10176.724096065687</v>
      </c>
      <c r="O25">
        <v>12</v>
      </c>
      <c r="P25" t="s">
        <v>140</v>
      </c>
      <c r="Q25" t="s">
        <v>163</v>
      </c>
      <c r="R25" s="63"/>
      <c r="T25" s="158">
        <f t="shared" si="0"/>
        <v>44474</v>
      </c>
      <c r="U25" s="164">
        <f t="shared" si="1"/>
        <v>864.41</v>
      </c>
      <c r="V25" s="159">
        <f t="shared" si="4"/>
        <v>17.64</v>
      </c>
      <c r="W25" s="159">
        <f>D_Emprunts!$U25-D_Emprunts!$V25</f>
        <v>846.77</v>
      </c>
      <c r="X25" s="160">
        <f>X24-D_Emprunts!$W25</f>
        <v>5133.3200000000015</v>
      </c>
      <c r="Y25">
        <v>18</v>
      </c>
      <c r="Z25" t="str">
        <f t="shared" si="2"/>
        <v>Investissement</v>
      </c>
      <c r="AA25" t="str">
        <f t="shared" si="3"/>
        <v>travaux magasin</v>
      </c>
    </row>
    <row r="26" spans="10:27" x14ac:dyDescent="0.25">
      <c r="J26" s="174">
        <v>44321</v>
      </c>
      <c r="K26" s="164">
        <v>864.41</v>
      </c>
      <c r="L26" s="159">
        <v>30.021856628564311</v>
      </c>
      <c r="M26" s="156">
        <v>834.3881433714356</v>
      </c>
      <c r="N26" s="157">
        <v>9342.3359526942513</v>
      </c>
      <c r="O26">
        <v>13</v>
      </c>
      <c r="P26" t="s">
        <v>140</v>
      </c>
      <c r="Q26" t="s">
        <v>163</v>
      </c>
      <c r="R26" s="63"/>
      <c r="T26" s="155">
        <f t="shared" si="0"/>
        <v>44505</v>
      </c>
      <c r="U26" s="164">
        <f t="shared" si="1"/>
        <v>864.41</v>
      </c>
      <c r="V26" s="159">
        <f t="shared" si="4"/>
        <v>15.14</v>
      </c>
      <c r="W26" s="156">
        <f>D_Emprunts!$U26-D_Emprunts!$V26</f>
        <v>849.27</v>
      </c>
      <c r="X26" s="157">
        <f>X25-D_Emprunts!$W26</f>
        <v>4284.0500000000011</v>
      </c>
      <c r="Y26">
        <v>19</v>
      </c>
      <c r="Z26" t="str">
        <f t="shared" si="2"/>
        <v>Investissement</v>
      </c>
      <c r="AA26" t="str">
        <f t="shared" si="3"/>
        <v>travaux magasin</v>
      </c>
    </row>
    <row r="27" spans="10:27" x14ac:dyDescent="0.25">
      <c r="J27" s="175">
        <v>44352</v>
      </c>
      <c r="K27" s="164">
        <v>864.41</v>
      </c>
      <c r="L27" s="159">
        <v>27.560368926194993</v>
      </c>
      <c r="M27" s="159">
        <v>836.84963107380497</v>
      </c>
      <c r="N27" s="160">
        <v>8505.4863216204467</v>
      </c>
      <c r="O27">
        <v>14</v>
      </c>
      <c r="P27" t="s">
        <v>140</v>
      </c>
      <c r="Q27" t="s">
        <v>163</v>
      </c>
      <c r="R27" s="63"/>
      <c r="T27" s="158">
        <f t="shared" si="0"/>
        <v>44535</v>
      </c>
      <c r="U27" s="164">
        <f t="shared" si="1"/>
        <v>864.41</v>
      </c>
      <c r="V27" s="159">
        <f t="shared" si="4"/>
        <v>12.64</v>
      </c>
      <c r="W27" s="159">
        <f>D_Emprunts!$U27-D_Emprunts!$V27</f>
        <v>851.77</v>
      </c>
      <c r="X27" s="160">
        <f>X26-D_Emprunts!$W27</f>
        <v>3432.2800000000011</v>
      </c>
      <c r="Y27">
        <v>20</v>
      </c>
      <c r="Z27" t="str">
        <f t="shared" si="2"/>
        <v>Investissement</v>
      </c>
      <c r="AA27" t="str">
        <f t="shared" si="3"/>
        <v>travaux magasin</v>
      </c>
    </row>
    <row r="28" spans="10:27" x14ac:dyDescent="0.25">
      <c r="J28" s="174">
        <v>44382</v>
      </c>
      <c r="K28" s="164">
        <v>864.41</v>
      </c>
      <c r="L28" s="159">
        <v>25.091619709197204</v>
      </c>
      <c r="M28" s="156">
        <v>839.31838029080279</v>
      </c>
      <c r="N28" s="157">
        <v>7666.1679413296442</v>
      </c>
      <c r="O28">
        <v>15</v>
      </c>
      <c r="P28" t="s">
        <v>140</v>
      </c>
      <c r="Q28" t="s">
        <v>163</v>
      </c>
      <c r="R28" s="63"/>
      <c r="T28" s="155">
        <f t="shared" si="0"/>
        <v>44566</v>
      </c>
      <c r="U28" s="164">
        <f t="shared" si="1"/>
        <v>864.41</v>
      </c>
      <c r="V28" s="159">
        <f t="shared" si="4"/>
        <v>10.130000000000001</v>
      </c>
      <c r="W28" s="156">
        <f>D_Emprunts!$U28-D_Emprunts!$V28</f>
        <v>854.28</v>
      </c>
      <c r="X28" s="157">
        <f>X27-D_Emprunts!$W28</f>
        <v>2578.0000000000009</v>
      </c>
      <c r="Y28">
        <v>21</v>
      </c>
      <c r="Z28" t="str">
        <f t="shared" si="2"/>
        <v>Investissement</v>
      </c>
      <c r="AA28" t="str">
        <f t="shared" si="3"/>
        <v>travaux magasin</v>
      </c>
    </row>
    <row r="29" spans="10:27" x14ac:dyDescent="0.25">
      <c r="J29" s="175">
        <v>44413</v>
      </c>
      <c r="K29" s="164">
        <v>864.41</v>
      </c>
      <c r="L29" s="159">
        <v>22.615587555731356</v>
      </c>
      <c r="M29" s="159">
        <v>841.79441244426857</v>
      </c>
      <c r="N29" s="160">
        <v>6824.3735288853759</v>
      </c>
      <c r="O29">
        <v>16</v>
      </c>
      <c r="P29" t="s">
        <v>140</v>
      </c>
      <c r="Q29" t="s">
        <v>163</v>
      </c>
      <c r="R29" s="63"/>
      <c r="T29" s="158">
        <f t="shared" si="0"/>
        <v>44597</v>
      </c>
      <c r="U29" s="164">
        <f t="shared" si="1"/>
        <v>864.41</v>
      </c>
      <c r="V29" s="159">
        <f t="shared" si="4"/>
        <v>7.61</v>
      </c>
      <c r="W29" s="159">
        <f>D_Emprunts!$U29-D_Emprunts!$V29</f>
        <v>856.8</v>
      </c>
      <c r="X29" s="160">
        <f>X28-D_Emprunts!$W29</f>
        <v>1721.200000000001</v>
      </c>
      <c r="Y29">
        <v>22</v>
      </c>
      <c r="Z29" t="str">
        <f t="shared" si="2"/>
        <v>Investissement</v>
      </c>
      <c r="AA29" t="str">
        <f t="shared" si="3"/>
        <v>travaux magasin</v>
      </c>
    </row>
    <row r="30" spans="10:27" x14ac:dyDescent="0.25">
      <c r="J30" s="174">
        <v>44444</v>
      </c>
      <c r="K30" s="164">
        <v>864.41</v>
      </c>
      <c r="L30" s="159">
        <v>20.132250980762347</v>
      </c>
      <c r="M30" s="156">
        <v>844.2777490192376</v>
      </c>
      <c r="N30" s="157">
        <v>5980.0957798661384</v>
      </c>
      <c r="O30">
        <v>17</v>
      </c>
      <c r="P30" t="s">
        <v>140</v>
      </c>
      <c r="Q30" t="s">
        <v>163</v>
      </c>
      <c r="R30" s="63"/>
      <c r="T30" s="155">
        <f t="shared" si="0"/>
        <v>44625</v>
      </c>
      <c r="U30" s="164">
        <f t="shared" si="1"/>
        <v>864.41</v>
      </c>
      <c r="V30" s="159">
        <f t="shared" si="4"/>
        <v>5.08</v>
      </c>
      <c r="W30" s="156">
        <f>D_Emprunts!$U30-D_Emprunts!$V30</f>
        <v>859.32999999999993</v>
      </c>
      <c r="X30" s="157">
        <f>X29-D_Emprunts!$W30</f>
        <v>861.87000000000103</v>
      </c>
      <c r="Y30">
        <v>23</v>
      </c>
      <c r="Z30" t="str">
        <f t="shared" si="2"/>
        <v>Investissement</v>
      </c>
      <c r="AA30" t="str">
        <f t="shared" si="3"/>
        <v>travaux magasin</v>
      </c>
    </row>
    <row r="31" spans="10:27" x14ac:dyDescent="0.25">
      <c r="J31" s="175">
        <v>44474</v>
      </c>
      <c r="K31" s="164">
        <v>864.41</v>
      </c>
      <c r="L31" s="159">
        <v>17.641588435873114</v>
      </c>
      <c r="M31" s="159">
        <v>846.76841156412684</v>
      </c>
      <c r="N31" s="160">
        <v>5133.3273683020116</v>
      </c>
      <c r="O31">
        <v>18</v>
      </c>
      <c r="P31" t="s">
        <v>140</v>
      </c>
      <c r="Q31" t="s">
        <v>163</v>
      </c>
      <c r="R31" s="63"/>
      <c r="T31" s="158">
        <f t="shared" si="0"/>
        <v>44656</v>
      </c>
      <c r="U31" s="164">
        <f t="shared" si="1"/>
        <v>864.41</v>
      </c>
      <c r="V31" s="159">
        <f t="shared" si="4"/>
        <v>2.54</v>
      </c>
      <c r="W31" s="159">
        <f>D_Emprunts!$U31-D_Emprunts!$V31</f>
        <v>861.87</v>
      </c>
      <c r="X31" s="160">
        <f>X30-D_Emprunts!$W31</f>
        <v>1.0231815394945443E-12</v>
      </c>
      <c r="Y31">
        <v>24</v>
      </c>
      <c r="Z31" t="str">
        <f t="shared" si="2"/>
        <v>Investissement</v>
      </c>
      <c r="AA31" t="str">
        <f t="shared" si="3"/>
        <v>travaux magasin</v>
      </c>
    </row>
    <row r="32" spans="10:27" x14ac:dyDescent="0.25">
      <c r="J32" s="174">
        <v>44505</v>
      </c>
      <c r="K32" s="164">
        <v>864.41</v>
      </c>
      <c r="L32" s="159">
        <v>15.143578309077663</v>
      </c>
      <c r="M32" s="156">
        <v>849.26642169092236</v>
      </c>
      <c r="N32" s="157">
        <v>4284.0609466110891</v>
      </c>
      <c r="O32">
        <v>19</v>
      </c>
      <c r="P32" t="s">
        <v>140</v>
      </c>
      <c r="Q32" t="s">
        <v>163</v>
      </c>
      <c r="R32" s="63"/>
      <c r="T32" s="155">
        <f t="shared" si="0"/>
        <v>44686</v>
      </c>
      <c r="U32" s="164">
        <f t="shared" si="1"/>
        <v>864.41</v>
      </c>
      <c r="V32" s="159">
        <f t="shared" si="4"/>
        <v>0</v>
      </c>
      <c r="W32" s="156">
        <f>D_Emprunts!$U32-D_Emprunts!$V32</f>
        <v>864.41</v>
      </c>
      <c r="X32" s="157">
        <f>X31-D_Emprunts!$W32</f>
        <v>-864.40999999999894</v>
      </c>
      <c r="Y32">
        <v>25</v>
      </c>
      <c r="Z32" t="str">
        <f t="shared" si="2"/>
        <v>Investissement</v>
      </c>
      <c r="AA32" t="str">
        <f t="shared" si="3"/>
        <v>travaux magasin</v>
      </c>
    </row>
    <row r="33" spans="10:27" x14ac:dyDescent="0.25">
      <c r="J33" s="175">
        <v>44535</v>
      </c>
      <c r="K33" s="164">
        <v>864.41</v>
      </c>
      <c r="L33" s="159">
        <v>12.638198924633542</v>
      </c>
      <c r="M33" s="159">
        <v>851.7718010753664</v>
      </c>
      <c r="N33" s="160">
        <v>3432.2891455357226</v>
      </c>
      <c r="O33">
        <v>20</v>
      </c>
      <c r="P33" t="s">
        <v>140</v>
      </c>
      <c r="Q33" t="s">
        <v>163</v>
      </c>
      <c r="R33" s="63"/>
      <c r="T33" s="158">
        <f t="shared" si="0"/>
        <v>44717</v>
      </c>
      <c r="U33" s="164">
        <f t="shared" si="1"/>
        <v>864.41</v>
      </c>
      <c r="V33" s="159">
        <f t="shared" si="4"/>
        <v>-2.5499999999999998</v>
      </c>
      <c r="W33" s="159">
        <f>D_Emprunts!$U33-D_Emprunts!$V33</f>
        <v>866.95999999999992</v>
      </c>
      <c r="X33" s="160">
        <f>X32-D_Emprunts!$W33</f>
        <v>-1731.369999999999</v>
      </c>
      <c r="Y33">
        <v>26</v>
      </c>
      <c r="Z33" t="str">
        <f t="shared" si="2"/>
        <v>Investissement</v>
      </c>
      <c r="AA33" t="str">
        <f t="shared" si="3"/>
        <v>travaux magasin</v>
      </c>
    </row>
    <row r="34" spans="10:27" x14ac:dyDescent="0.25">
      <c r="J34" s="174">
        <v>44566</v>
      </c>
      <c r="K34" s="164">
        <v>864.41</v>
      </c>
      <c r="L34" s="159">
        <v>10.125428542853744</v>
      </c>
      <c r="M34" s="156">
        <v>854.28457145714617</v>
      </c>
      <c r="N34" s="157">
        <v>2578.0045740785763</v>
      </c>
      <c r="O34">
        <v>21</v>
      </c>
      <c r="P34" t="s">
        <v>140</v>
      </c>
      <c r="Q34" t="s">
        <v>163</v>
      </c>
      <c r="R34" s="63"/>
      <c r="T34" s="155">
        <f t="shared" si="0"/>
        <v>44747</v>
      </c>
      <c r="U34" s="164">
        <f t="shared" si="1"/>
        <v>864.41</v>
      </c>
      <c r="V34" s="159">
        <f t="shared" si="4"/>
        <v>-5.1100000000000003</v>
      </c>
      <c r="W34" s="156">
        <f>D_Emprunts!$U34-D_Emprunts!$V34</f>
        <v>869.52</v>
      </c>
      <c r="X34" s="157">
        <f>X33-D_Emprunts!$W34</f>
        <v>-2600.889999999999</v>
      </c>
      <c r="Y34">
        <v>27</v>
      </c>
      <c r="Z34" t="str">
        <f t="shared" si="2"/>
        <v>Investissement</v>
      </c>
      <c r="AA34" t="str">
        <f t="shared" si="3"/>
        <v>travaux magasin</v>
      </c>
    </row>
    <row r="35" spans="10:27" x14ac:dyDescent="0.25">
      <c r="J35" s="175">
        <v>44597</v>
      </c>
      <c r="K35" s="164">
        <v>864.41</v>
      </c>
      <c r="L35" s="159">
        <v>7.6052453599180732</v>
      </c>
      <c r="M35" s="159">
        <v>856.80475464008191</v>
      </c>
      <c r="N35" s="160">
        <v>1721.1998194384944</v>
      </c>
      <c r="O35">
        <v>22</v>
      </c>
      <c r="P35" t="s">
        <v>140</v>
      </c>
      <c r="Q35" t="s">
        <v>163</v>
      </c>
      <c r="R35" s="63"/>
      <c r="T35" s="158">
        <f t="shared" si="0"/>
        <v>44778</v>
      </c>
      <c r="U35" s="164">
        <f t="shared" si="1"/>
        <v>864.41</v>
      </c>
      <c r="V35" s="159">
        <f t="shared" si="4"/>
        <v>-7.67</v>
      </c>
      <c r="W35" s="159">
        <f>D_Emprunts!$U35-D_Emprunts!$V35</f>
        <v>872.07999999999993</v>
      </c>
      <c r="X35" s="160">
        <f>X34-D_Emprunts!$W35</f>
        <v>-3472.9699999999989</v>
      </c>
      <c r="Y35">
        <v>28</v>
      </c>
      <c r="Z35" t="str">
        <f t="shared" si="2"/>
        <v>Investissement</v>
      </c>
      <c r="AA35" t="str">
        <f t="shared" si="3"/>
        <v>travaux magasin</v>
      </c>
    </row>
    <row r="36" spans="10:27" x14ac:dyDescent="0.25">
      <c r="J36" s="174">
        <v>44625</v>
      </c>
      <c r="K36" s="164">
        <v>864.41</v>
      </c>
      <c r="L36" s="159">
        <v>5.0776275076839541</v>
      </c>
      <c r="M36" s="156">
        <v>859.33237249231604</v>
      </c>
      <c r="N36" s="157">
        <v>861.86744694617835</v>
      </c>
      <c r="O36">
        <v>23</v>
      </c>
      <c r="P36" t="s">
        <v>140</v>
      </c>
      <c r="Q36" t="s">
        <v>163</v>
      </c>
      <c r="R36" s="63"/>
      <c r="T36" s="155">
        <f t="shared" si="0"/>
        <v>44809</v>
      </c>
      <c r="U36" s="164">
        <f t="shared" si="1"/>
        <v>864.41</v>
      </c>
      <c r="V36" s="159">
        <f t="shared" si="4"/>
        <v>-10.25</v>
      </c>
      <c r="W36" s="156">
        <f>D_Emprunts!$U36-D_Emprunts!$V36</f>
        <v>874.66</v>
      </c>
      <c r="X36" s="157">
        <f>X35-D_Emprunts!$W36</f>
        <v>-4347.6299999999992</v>
      </c>
      <c r="Y36">
        <v>29</v>
      </c>
      <c r="Z36" t="str">
        <f t="shared" si="2"/>
        <v>Investissement</v>
      </c>
      <c r="AA36" t="str">
        <f t="shared" si="3"/>
        <v>travaux magasin</v>
      </c>
    </row>
    <row r="37" spans="10:27" x14ac:dyDescent="0.25">
      <c r="J37" s="175">
        <v>44656</v>
      </c>
      <c r="K37" s="164">
        <v>864.41</v>
      </c>
      <c r="L37" s="159">
        <v>2.5425530534966674</v>
      </c>
      <c r="M37" s="159">
        <v>861.86744694650326</v>
      </c>
      <c r="N37" s="160">
        <v>-3.2491698220837861E-10</v>
      </c>
      <c r="O37">
        <v>24</v>
      </c>
      <c r="P37" t="s">
        <v>140</v>
      </c>
      <c r="Q37" t="s">
        <v>163</v>
      </c>
      <c r="R37" s="63"/>
      <c r="T37" s="158">
        <f t="shared" si="0"/>
        <v>44839</v>
      </c>
      <c r="U37" s="164">
        <f t="shared" si="1"/>
        <v>864.41</v>
      </c>
      <c r="V37" s="159">
        <f t="shared" si="4"/>
        <v>-12.83</v>
      </c>
      <c r="W37" s="159">
        <f>D_Emprunts!$U37-D_Emprunts!$V37</f>
        <v>877.24</v>
      </c>
      <c r="X37" s="160">
        <f>X36-D_Emprunts!$W37</f>
        <v>-5224.869999999999</v>
      </c>
      <c r="Y37">
        <v>30</v>
      </c>
      <c r="Z37" t="str">
        <f t="shared" si="2"/>
        <v>Investissement</v>
      </c>
      <c r="AA37" t="str">
        <f t="shared" si="3"/>
        <v>travaux magasin</v>
      </c>
    </row>
    <row r="38" spans="10:27" x14ac:dyDescent="0.25">
      <c r="J38" s="174">
        <v>43956</v>
      </c>
      <c r="K38" s="164">
        <v>864.41</v>
      </c>
      <c r="L38" s="156">
        <v>59.00102301126693</v>
      </c>
      <c r="M38" s="156">
        <v>805.408976988733</v>
      </c>
      <c r="N38" s="157">
        <v>19194.591023011268</v>
      </c>
      <c r="O38">
        <v>1</v>
      </c>
      <c r="P38" t="s">
        <v>140</v>
      </c>
      <c r="Q38" t="s">
        <v>181</v>
      </c>
      <c r="R38" s="63"/>
      <c r="T38" s="155">
        <f t="shared" si="0"/>
        <v>44870</v>
      </c>
      <c r="U38" s="164">
        <f t="shared" si="1"/>
        <v>864.41</v>
      </c>
      <c r="V38" s="159">
        <f t="shared" si="4"/>
        <v>-15.41</v>
      </c>
      <c r="W38" s="156">
        <f>D_Emprunts!$U38-D_Emprunts!$V38</f>
        <v>879.81999999999994</v>
      </c>
      <c r="X38" s="157">
        <f>X37-D_Emprunts!$W38</f>
        <v>-6104.6899999999987</v>
      </c>
      <c r="Y38">
        <v>31</v>
      </c>
      <c r="Z38" t="str">
        <f t="shared" si="2"/>
        <v>Investissement</v>
      </c>
      <c r="AA38" t="str">
        <f t="shared" si="3"/>
        <v>travaux magasin</v>
      </c>
    </row>
    <row r="39" spans="10:27" x14ac:dyDescent="0.25">
      <c r="J39" s="175">
        <v>43987</v>
      </c>
      <c r="K39" s="164">
        <v>864.41</v>
      </c>
      <c r="L39" s="159">
        <v>56.625025332027271</v>
      </c>
      <c r="M39" s="159">
        <v>807.78497466797273</v>
      </c>
      <c r="N39" s="160">
        <v>18386.806048343296</v>
      </c>
      <c r="O39">
        <v>2</v>
      </c>
      <c r="P39" t="s">
        <v>140</v>
      </c>
      <c r="Q39" t="s">
        <v>181</v>
      </c>
      <c r="R39" s="63"/>
      <c r="T39" s="158">
        <f t="shared" si="0"/>
        <v>44900</v>
      </c>
      <c r="U39" s="164">
        <f t="shared" si="1"/>
        <v>864.41</v>
      </c>
      <c r="V39" s="159">
        <f t="shared" si="4"/>
        <v>-18.010000000000002</v>
      </c>
      <c r="W39" s="159">
        <f>D_Emprunts!$U39-D_Emprunts!$V39</f>
        <v>882.42</v>
      </c>
      <c r="X39" s="160">
        <f>X38-D_Emprunts!$W39</f>
        <v>-6987.1099999999988</v>
      </c>
      <c r="Y39">
        <v>32</v>
      </c>
      <c r="Z39" t="str">
        <f t="shared" si="2"/>
        <v>Investissement</v>
      </c>
      <c r="AA39" t="str">
        <f t="shared" si="3"/>
        <v>travaux magasin</v>
      </c>
    </row>
    <row r="40" spans="10:27" x14ac:dyDescent="0.25">
      <c r="J40" s="174">
        <v>44017</v>
      </c>
      <c r="K40" s="164">
        <v>864.41</v>
      </c>
      <c r="L40" s="159">
        <v>54.24201833810023</v>
      </c>
      <c r="M40" s="156">
        <v>810.16798166189972</v>
      </c>
      <c r="N40" s="157">
        <v>17576.638066681397</v>
      </c>
      <c r="O40">
        <v>3</v>
      </c>
      <c r="P40" t="s">
        <v>140</v>
      </c>
      <c r="Q40" t="s">
        <v>181</v>
      </c>
      <c r="R40" s="63"/>
      <c r="T40" s="155">
        <f t="shared" si="0"/>
        <v>44931</v>
      </c>
      <c r="U40" s="164">
        <f t="shared" si="1"/>
        <v>864.41</v>
      </c>
      <c r="V40" s="159">
        <f t="shared" si="4"/>
        <v>-20.61</v>
      </c>
      <c r="W40" s="156">
        <f>D_Emprunts!$U40-D_Emprunts!$V40</f>
        <v>885.02</v>
      </c>
      <c r="X40" s="157">
        <f>X39-D_Emprunts!$W40</f>
        <v>-7872.1299999999992</v>
      </c>
      <c r="Y40">
        <v>33</v>
      </c>
      <c r="Z40" t="str">
        <f t="shared" si="2"/>
        <v>Investissement</v>
      </c>
      <c r="AA40" t="str">
        <f t="shared" si="3"/>
        <v>travaux magasin</v>
      </c>
    </row>
    <row r="41" spans="10:27" x14ac:dyDescent="0.25">
      <c r="J41" s="175">
        <v>44048</v>
      </c>
      <c r="K41" s="164">
        <v>864.41</v>
      </c>
      <c r="L41" s="159">
        <v>51.851981351648966</v>
      </c>
      <c r="M41" s="159">
        <v>812.55801864835098</v>
      </c>
      <c r="N41" s="160">
        <v>16764.080048033047</v>
      </c>
      <c r="O41">
        <v>4</v>
      </c>
      <c r="P41" t="s">
        <v>140</v>
      </c>
      <c r="Q41" t="s">
        <v>181</v>
      </c>
      <c r="R41" s="63"/>
      <c r="T41" s="158">
        <f t="shared" si="0"/>
        <v>44962</v>
      </c>
      <c r="U41" s="164">
        <f t="shared" si="1"/>
        <v>864.41</v>
      </c>
      <c r="V41" s="159">
        <f t="shared" si="4"/>
        <v>-23.22</v>
      </c>
      <c r="W41" s="159">
        <f>D_Emprunts!$U41-D_Emprunts!$V41</f>
        <v>887.63</v>
      </c>
      <c r="X41" s="160">
        <f>X40-D_Emprunts!$W41</f>
        <v>-8759.7599999999984</v>
      </c>
      <c r="Y41">
        <v>34</v>
      </c>
      <c r="Z41" t="str">
        <f t="shared" si="2"/>
        <v>Investissement</v>
      </c>
      <c r="AA41" t="str">
        <f t="shared" si="3"/>
        <v>travaux magasin</v>
      </c>
    </row>
    <row r="42" spans="10:27" x14ac:dyDescent="0.25">
      <c r="J42" s="174">
        <v>44079</v>
      </c>
      <c r="K42" s="164">
        <v>864.41</v>
      </c>
      <c r="L42" s="159">
        <v>49.45489363383593</v>
      </c>
      <c r="M42" s="156">
        <v>814.95510636616405</v>
      </c>
      <c r="N42" s="157">
        <v>15949.124941666883</v>
      </c>
      <c r="O42">
        <v>5</v>
      </c>
      <c r="P42" t="s">
        <v>140</v>
      </c>
      <c r="Q42" t="s">
        <v>181</v>
      </c>
      <c r="R42" s="63"/>
      <c r="T42" s="155">
        <f t="shared" si="0"/>
        <v>44990</v>
      </c>
      <c r="U42" s="164">
        <f t="shared" si="1"/>
        <v>864.41</v>
      </c>
      <c r="V42" s="159">
        <f t="shared" si="4"/>
        <v>-25.84</v>
      </c>
      <c r="W42" s="156">
        <f>D_Emprunts!$U42-D_Emprunts!$V42</f>
        <v>890.25</v>
      </c>
      <c r="X42" s="157">
        <f>X41-D_Emprunts!$W42</f>
        <v>-9650.0099999999984</v>
      </c>
      <c r="Y42">
        <v>35</v>
      </c>
      <c r="Z42" t="str">
        <f t="shared" si="2"/>
        <v>Investissement</v>
      </c>
      <c r="AA42" t="str">
        <f t="shared" si="3"/>
        <v>travaux magasin</v>
      </c>
    </row>
    <row r="43" spans="10:27" x14ac:dyDescent="0.25">
      <c r="J43" s="175">
        <v>44109</v>
      </c>
      <c r="K43" s="164">
        <v>864.41</v>
      </c>
      <c r="L43" s="159">
        <v>47.050734384642958</v>
      </c>
      <c r="M43" s="159">
        <v>817.359265615357</v>
      </c>
      <c r="N43" s="160">
        <v>15131.765676051526</v>
      </c>
      <c r="O43">
        <v>6</v>
      </c>
      <c r="P43" t="s">
        <v>140</v>
      </c>
      <c r="Q43" t="s">
        <v>181</v>
      </c>
      <c r="R43" s="63"/>
      <c r="T43" s="158">
        <f t="shared" si="0"/>
        <v>45021</v>
      </c>
      <c r="U43" s="164">
        <f t="shared" si="1"/>
        <v>864.41</v>
      </c>
      <c r="V43" s="159">
        <f t="shared" si="4"/>
        <v>-28.47</v>
      </c>
      <c r="W43" s="159">
        <f>D_Emprunts!$U43-D_Emprunts!$V43</f>
        <v>892.88</v>
      </c>
      <c r="X43" s="160">
        <f>X42-D_Emprunts!$W43</f>
        <v>-10542.889999999998</v>
      </c>
      <c r="Y43">
        <v>36</v>
      </c>
      <c r="Z43" t="str">
        <f t="shared" si="2"/>
        <v>Investissement</v>
      </c>
      <c r="AA43" t="str">
        <f t="shared" si="3"/>
        <v>travaux magasin</v>
      </c>
    </row>
    <row r="44" spans="10:27" x14ac:dyDescent="0.25">
      <c r="J44" s="174">
        <v>44140</v>
      </c>
      <c r="K44" s="164">
        <v>864.41</v>
      </c>
      <c r="L44" s="159">
        <v>44.639482742690753</v>
      </c>
      <c r="M44" s="156">
        <v>819.77051725730917</v>
      </c>
      <c r="N44" s="157">
        <v>14311.995158794216</v>
      </c>
      <c r="O44">
        <v>7</v>
      </c>
      <c r="P44" t="s">
        <v>140</v>
      </c>
      <c r="Q44" t="s">
        <v>181</v>
      </c>
      <c r="R44" s="63"/>
      <c r="T44" s="155">
        <f t="shared" si="0"/>
        <v>45051</v>
      </c>
      <c r="U44" s="164">
        <f t="shared" si="1"/>
        <v>864.41</v>
      </c>
      <c r="V44" s="159">
        <f t="shared" si="4"/>
        <v>-31.1</v>
      </c>
      <c r="W44" s="156">
        <f>D_Emprunts!$U44-D_Emprunts!$V44</f>
        <v>895.51</v>
      </c>
      <c r="X44" s="157">
        <f>X43-D_Emprunts!$W44</f>
        <v>-11438.399999999998</v>
      </c>
      <c r="Y44">
        <v>37</v>
      </c>
      <c r="Z44" t="str">
        <f t="shared" si="2"/>
        <v>Investissement</v>
      </c>
      <c r="AA44" t="str">
        <f t="shared" si="3"/>
        <v>travaux magasin</v>
      </c>
    </row>
    <row r="45" spans="10:27" x14ac:dyDescent="0.25">
      <c r="J45" s="175">
        <v>44170</v>
      </c>
      <c r="K45" s="164">
        <v>864.41</v>
      </c>
      <c r="L45" s="159">
        <v>42.22111778505792</v>
      </c>
      <c r="M45" s="159">
        <v>822.18888221494205</v>
      </c>
      <c r="N45" s="160">
        <v>13489.806276579275</v>
      </c>
      <c r="O45">
        <v>8</v>
      </c>
      <c r="P45" t="s">
        <v>140</v>
      </c>
      <c r="Q45" t="s">
        <v>181</v>
      </c>
      <c r="R45" s="63"/>
      <c r="T45" s="158">
        <f t="shared" si="0"/>
        <v>45082</v>
      </c>
      <c r="U45" s="164">
        <f t="shared" si="1"/>
        <v>864.41</v>
      </c>
      <c r="V45" s="159">
        <f t="shared" si="4"/>
        <v>-33.74</v>
      </c>
      <c r="W45" s="159">
        <f>D_Emprunts!$U45-D_Emprunts!$V45</f>
        <v>898.15</v>
      </c>
      <c r="X45" s="160">
        <f>X44-D_Emprunts!$W45</f>
        <v>-12336.549999999997</v>
      </c>
      <c r="Y45">
        <v>38</v>
      </c>
      <c r="Z45" t="str">
        <f t="shared" si="2"/>
        <v>Investissement</v>
      </c>
      <c r="AA45" t="str">
        <f t="shared" si="3"/>
        <v>travaux magasin</v>
      </c>
    </row>
    <row r="46" spans="10:27" x14ac:dyDescent="0.25">
      <c r="J46" s="174">
        <v>44201</v>
      </c>
      <c r="K46" s="164">
        <v>864.41</v>
      </c>
      <c r="L46" s="159">
        <v>39.795618527099343</v>
      </c>
      <c r="M46" s="156">
        <v>824.61438147290062</v>
      </c>
      <c r="N46" s="157">
        <v>12665.191895106374</v>
      </c>
      <c r="O46">
        <v>9</v>
      </c>
      <c r="P46" t="s">
        <v>140</v>
      </c>
      <c r="Q46" t="s">
        <v>181</v>
      </c>
      <c r="R46" s="63"/>
      <c r="T46" s="155">
        <f t="shared" si="0"/>
        <v>45112</v>
      </c>
      <c r="U46" s="164">
        <f t="shared" si="1"/>
        <v>864.41</v>
      </c>
      <c r="V46" s="159">
        <f t="shared" si="4"/>
        <v>-36.39</v>
      </c>
      <c r="W46" s="156">
        <f>D_Emprunts!$U46-D_Emprunts!$V46</f>
        <v>900.8</v>
      </c>
      <c r="X46" s="157">
        <f>X45-D_Emprunts!$W46</f>
        <v>-13237.349999999997</v>
      </c>
      <c r="Y46">
        <v>39</v>
      </c>
      <c r="Z46" t="str">
        <f t="shared" si="2"/>
        <v>Investissement</v>
      </c>
      <c r="AA46" t="str">
        <f t="shared" si="3"/>
        <v>travaux magasin</v>
      </c>
    </row>
    <row r="47" spans="10:27" x14ac:dyDescent="0.25">
      <c r="J47" s="175">
        <v>44232</v>
      </c>
      <c r="K47" s="164">
        <v>864.41</v>
      </c>
      <c r="L47" s="159">
        <v>37.362963922264129</v>
      </c>
      <c r="M47" s="159">
        <v>827.04703607773581</v>
      </c>
      <c r="N47" s="160">
        <v>11838.144859028638</v>
      </c>
      <c r="O47">
        <v>10</v>
      </c>
      <c r="P47" t="s">
        <v>140</v>
      </c>
      <c r="Q47" t="s">
        <v>181</v>
      </c>
      <c r="R47" s="63"/>
      <c r="T47" s="158">
        <f t="shared" si="0"/>
        <v>45143</v>
      </c>
      <c r="U47" s="164">
        <f t="shared" si="1"/>
        <v>864.41</v>
      </c>
      <c r="V47" s="159">
        <f t="shared" si="4"/>
        <v>-39.049999999999997</v>
      </c>
      <c r="W47" s="159">
        <f>D_Emprunts!$U47-D_Emprunts!$V47</f>
        <v>903.45999999999992</v>
      </c>
      <c r="X47" s="160">
        <f>X46-D_Emprunts!$W47</f>
        <v>-14140.809999999996</v>
      </c>
      <c r="Y47">
        <v>40</v>
      </c>
      <c r="Z47" t="str">
        <f t="shared" si="2"/>
        <v>Investissement</v>
      </c>
      <c r="AA47" t="str">
        <f t="shared" si="3"/>
        <v>travaux magasin</v>
      </c>
    </row>
    <row r="48" spans="10:27" x14ac:dyDescent="0.25">
      <c r="J48" s="174">
        <v>44260</v>
      </c>
      <c r="K48" s="164">
        <v>864.41</v>
      </c>
      <c r="L48" s="159">
        <v>34.923132861912997</v>
      </c>
      <c r="M48" s="156">
        <v>829.48686713808695</v>
      </c>
      <c r="N48" s="157">
        <v>11008.657991890552</v>
      </c>
      <c r="O48">
        <v>11</v>
      </c>
      <c r="P48" t="s">
        <v>140</v>
      </c>
      <c r="Q48" t="s">
        <v>181</v>
      </c>
      <c r="R48" s="63"/>
      <c r="T48" s="155">
        <f t="shared" si="0"/>
        <v>45174</v>
      </c>
      <c r="U48" s="164">
        <f t="shared" si="1"/>
        <v>864.41</v>
      </c>
      <c r="V48" s="159">
        <f t="shared" si="4"/>
        <v>-41.72</v>
      </c>
      <c r="W48" s="156">
        <f>D_Emprunts!$U48-D_Emprunts!$V48</f>
        <v>906.13</v>
      </c>
      <c r="X48" s="157">
        <f>X47-D_Emprunts!$W48</f>
        <v>-15046.939999999995</v>
      </c>
      <c r="Y48">
        <v>41</v>
      </c>
      <c r="Z48" t="str">
        <f t="shared" si="2"/>
        <v>Investissement</v>
      </c>
      <c r="AA48" t="str">
        <f t="shared" si="3"/>
        <v>travaux magasin</v>
      </c>
    </row>
    <row r="49" spans="10:27" x14ac:dyDescent="0.25">
      <c r="J49" s="175">
        <v>44291</v>
      </c>
      <c r="K49" s="164">
        <v>864.41</v>
      </c>
      <c r="L49" s="159">
        <v>32.476104175135099</v>
      </c>
      <c r="M49" s="159">
        <v>831.93389582486486</v>
      </c>
      <c r="N49" s="160">
        <v>10176.724096065687</v>
      </c>
      <c r="O49">
        <v>12</v>
      </c>
      <c r="P49" t="s">
        <v>140</v>
      </c>
      <c r="Q49" t="s">
        <v>181</v>
      </c>
      <c r="R49" s="63"/>
      <c r="T49" s="158">
        <f t="shared" si="0"/>
        <v>45204</v>
      </c>
      <c r="U49" s="164">
        <f t="shared" si="1"/>
        <v>864.41</v>
      </c>
      <c r="V49" s="159">
        <f t="shared" si="4"/>
        <v>-44.39</v>
      </c>
      <c r="W49" s="159">
        <f>D_Emprunts!$U49-D_Emprunts!$V49</f>
        <v>908.8</v>
      </c>
      <c r="X49" s="160">
        <f>X48-D_Emprunts!$W49</f>
        <v>-15955.739999999994</v>
      </c>
      <c r="Y49">
        <v>42</v>
      </c>
      <c r="Z49" t="str">
        <f t="shared" si="2"/>
        <v>Investissement</v>
      </c>
      <c r="AA49" t="str">
        <f t="shared" si="3"/>
        <v>travaux magasin</v>
      </c>
    </row>
    <row r="50" spans="10:27" x14ac:dyDescent="0.25">
      <c r="J50" s="174">
        <v>44321</v>
      </c>
      <c r="K50" s="164">
        <v>864.41</v>
      </c>
      <c r="L50" s="159">
        <v>30.021856628564311</v>
      </c>
      <c r="M50" s="156">
        <v>834.3881433714356</v>
      </c>
      <c r="N50" s="157">
        <v>9342.3359526942513</v>
      </c>
      <c r="O50">
        <v>13</v>
      </c>
      <c r="P50" t="s">
        <v>140</v>
      </c>
      <c r="Q50" t="s">
        <v>181</v>
      </c>
      <c r="R50" s="63"/>
      <c r="T50" s="155">
        <f t="shared" si="0"/>
        <v>45235</v>
      </c>
      <c r="U50" s="164">
        <f t="shared" si="1"/>
        <v>864.41</v>
      </c>
      <c r="V50" s="159">
        <f t="shared" si="4"/>
        <v>-47.07</v>
      </c>
      <c r="W50" s="156">
        <f>D_Emprunts!$U50-D_Emprunts!$V50</f>
        <v>911.48</v>
      </c>
      <c r="X50" s="157">
        <f>X49-D_Emprunts!$W50</f>
        <v>-16867.219999999994</v>
      </c>
      <c r="Y50">
        <v>43</v>
      </c>
      <c r="Z50" t="str">
        <f t="shared" si="2"/>
        <v>Investissement</v>
      </c>
      <c r="AA50" t="str">
        <f t="shared" si="3"/>
        <v>travaux magasin</v>
      </c>
    </row>
    <row r="51" spans="10:27" x14ac:dyDescent="0.25">
      <c r="J51" s="175">
        <v>44352</v>
      </c>
      <c r="K51" s="164">
        <v>864.41</v>
      </c>
      <c r="L51" s="159">
        <v>27.560368926194993</v>
      </c>
      <c r="M51" s="159">
        <v>836.84963107380497</v>
      </c>
      <c r="N51" s="160">
        <v>8505.4863216204467</v>
      </c>
      <c r="O51">
        <v>14</v>
      </c>
      <c r="P51" t="s">
        <v>140</v>
      </c>
      <c r="Q51" t="s">
        <v>181</v>
      </c>
      <c r="R51" s="63"/>
      <c r="T51" s="158">
        <f t="shared" si="0"/>
        <v>45265</v>
      </c>
      <c r="U51" s="164">
        <f t="shared" si="1"/>
        <v>864.41</v>
      </c>
      <c r="V51" s="159">
        <f t="shared" si="4"/>
        <v>-49.76</v>
      </c>
      <c r="W51" s="159">
        <f>D_Emprunts!$U51-D_Emprunts!$V51</f>
        <v>914.17</v>
      </c>
      <c r="X51" s="160">
        <f>X50-D_Emprunts!$W51</f>
        <v>-17781.389999999992</v>
      </c>
      <c r="Y51">
        <v>44</v>
      </c>
      <c r="Z51" t="str">
        <f t="shared" si="2"/>
        <v>Investissement</v>
      </c>
      <c r="AA51" t="str">
        <f t="shared" si="3"/>
        <v>travaux magasin</v>
      </c>
    </row>
    <row r="52" spans="10:27" x14ac:dyDescent="0.25">
      <c r="J52" s="174">
        <v>44382</v>
      </c>
      <c r="K52" s="164">
        <v>864.41</v>
      </c>
      <c r="L52" s="159">
        <v>25.091619709197204</v>
      </c>
      <c r="M52" s="156">
        <v>839.31838029080279</v>
      </c>
      <c r="N52" s="157">
        <v>7666.1679413296442</v>
      </c>
      <c r="O52">
        <v>15</v>
      </c>
      <c r="P52" t="s">
        <v>140</v>
      </c>
      <c r="Q52" t="s">
        <v>181</v>
      </c>
      <c r="R52" s="63"/>
      <c r="T52" s="155">
        <f t="shared" si="0"/>
        <v>45296</v>
      </c>
      <c r="U52" s="164">
        <f t="shared" si="1"/>
        <v>864.41</v>
      </c>
      <c r="V52" s="159">
        <f t="shared" si="4"/>
        <v>-52.46</v>
      </c>
      <c r="W52" s="156">
        <f>D_Emprunts!$U52-D_Emprunts!$V52</f>
        <v>916.87</v>
      </c>
      <c r="X52" s="157">
        <f>X51-D_Emprunts!$W52</f>
        <v>-18698.259999999991</v>
      </c>
      <c r="Y52">
        <v>45</v>
      </c>
      <c r="Z52" t="str">
        <f t="shared" si="2"/>
        <v>Investissement</v>
      </c>
      <c r="AA52" t="str">
        <f t="shared" si="3"/>
        <v>travaux magasin</v>
      </c>
    </row>
    <row r="53" spans="10:27" x14ac:dyDescent="0.25">
      <c r="J53" s="175">
        <v>44413</v>
      </c>
      <c r="K53" s="164">
        <v>864.41</v>
      </c>
      <c r="L53" s="159">
        <v>22.615587555731356</v>
      </c>
      <c r="M53" s="159">
        <v>841.79441244426857</v>
      </c>
      <c r="N53" s="160">
        <v>6824.3735288853759</v>
      </c>
      <c r="O53">
        <v>16</v>
      </c>
      <c r="P53" t="s">
        <v>140</v>
      </c>
      <c r="Q53" t="s">
        <v>181</v>
      </c>
      <c r="R53" s="63"/>
      <c r="T53" s="158">
        <f t="shared" si="0"/>
        <v>45327</v>
      </c>
      <c r="U53" s="164">
        <f t="shared" si="1"/>
        <v>864.41</v>
      </c>
      <c r="V53" s="159">
        <f t="shared" si="4"/>
        <v>-55.16</v>
      </c>
      <c r="W53" s="159">
        <f>D_Emprunts!$U53-D_Emprunts!$V53</f>
        <v>919.56999999999994</v>
      </c>
      <c r="X53" s="160">
        <f>X52-D_Emprunts!$W53</f>
        <v>-19617.829999999991</v>
      </c>
      <c r="Y53">
        <v>46</v>
      </c>
      <c r="Z53" t="str">
        <f t="shared" si="2"/>
        <v>Investissement</v>
      </c>
      <c r="AA53" t="str">
        <f t="shared" si="3"/>
        <v>travaux magasin</v>
      </c>
    </row>
    <row r="54" spans="10:27" x14ac:dyDescent="0.25">
      <c r="J54" s="174">
        <v>44444</v>
      </c>
      <c r="K54" s="164">
        <v>864.41</v>
      </c>
      <c r="L54" s="159">
        <v>20.132250980762347</v>
      </c>
      <c r="M54" s="156">
        <v>844.2777490192376</v>
      </c>
      <c r="N54" s="157">
        <v>5980.0957798661384</v>
      </c>
      <c r="O54">
        <v>17</v>
      </c>
      <c r="P54" t="s">
        <v>140</v>
      </c>
      <c r="Q54" t="s">
        <v>181</v>
      </c>
      <c r="R54" s="63"/>
      <c r="T54" s="155">
        <f t="shared" si="0"/>
        <v>45356</v>
      </c>
      <c r="U54" s="164">
        <f t="shared" si="1"/>
        <v>864.41</v>
      </c>
      <c r="V54" s="159">
        <f t="shared" si="4"/>
        <v>-57.87</v>
      </c>
      <c r="W54" s="156">
        <f>D_Emprunts!$U54-D_Emprunts!$V54</f>
        <v>922.28</v>
      </c>
      <c r="X54" s="157">
        <f>X53-D_Emprunts!$W54</f>
        <v>-20540.10999999999</v>
      </c>
      <c r="Y54">
        <v>47</v>
      </c>
      <c r="Z54" t="str">
        <f t="shared" si="2"/>
        <v>Investissement</v>
      </c>
      <c r="AA54" t="str">
        <f t="shared" si="3"/>
        <v>travaux magasin</v>
      </c>
    </row>
    <row r="55" spans="10:27" x14ac:dyDescent="0.25">
      <c r="J55" s="175">
        <v>44474</v>
      </c>
      <c r="K55" s="164">
        <v>864.41</v>
      </c>
      <c r="L55" s="159">
        <v>17.641588435873114</v>
      </c>
      <c r="M55" s="159">
        <v>846.76841156412684</v>
      </c>
      <c r="N55" s="160">
        <v>5133.3273683020116</v>
      </c>
      <c r="O55">
        <v>18</v>
      </c>
      <c r="P55" t="s">
        <v>140</v>
      </c>
      <c r="Q55" t="s">
        <v>181</v>
      </c>
      <c r="R55" s="63"/>
      <c r="T55" s="158">
        <f t="shared" si="0"/>
        <v>45387</v>
      </c>
      <c r="U55" s="164">
        <f t="shared" si="1"/>
        <v>864.41</v>
      </c>
      <c r="V55" s="159">
        <f t="shared" si="4"/>
        <v>-60.59</v>
      </c>
      <c r="W55" s="159">
        <f>D_Emprunts!$U55-D_Emprunts!$V55</f>
        <v>925</v>
      </c>
      <c r="X55" s="160">
        <f>X54-D_Emprunts!$W55</f>
        <v>-21465.10999999999</v>
      </c>
      <c r="Y55">
        <v>48</v>
      </c>
      <c r="Z55" t="str">
        <f t="shared" si="2"/>
        <v>Investissement</v>
      </c>
      <c r="AA55" t="str">
        <f t="shared" si="3"/>
        <v>travaux magasin</v>
      </c>
    </row>
    <row r="56" spans="10:27" x14ac:dyDescent="0.25">
      <c r="J56" s="174">
        <v>44505</v>
      </c>
      <c r="K56" s="164">
        <v>864.41</v>
      </c>
      <c r="L56" s="159">
        <v>15.143578309077663</v>
      </c>
      <c r="M56" s="156">
        <v>849.26642169092236</v>
      </c>
      <c r="N56" s="157">
        <v>4284.0609466110891</v>
      </c>
      <c r="O56">
        <v>19</v>
      </c>
      <c r="P56" t="s">
        <v>140</v>
      </c>
      <c r="Q56" t="s">
        <v>181</v>
      </c>
      <c r="R56" s="63"/>
      <c r="T56" s="155">
        <f t="shared" si="0"/>
        <v>45417</v>
      </c>
      <c r="U56" s="164">
        <f t="shared" si="1"/>
        <v>864.41</v>
      </c>
      <c r="V56" s="159">
        <f t="shared" si="4"/>
        <v>-63.32</v>
      </c>
      <c r="W56" s="156">
        <f>D_Emprunts!$U56-D_Emprunts!$V56</f>
        <v>927.73</v>
      </c>
      <c r="X56" s="157">
        <f>X55-D_Emprunts!$W56</f>
        <v>-22392.839999999989</v>
      </c>
      <c r="Y56">
        <v>49</v>
      </c>
      <c r="Z56" t="str">
        <f t="shared" si="2"/>
        <v>Investissement</v>
      </c>
      <c r="AA56" t="str">
        <f t="shared" si="3"/>
        <v>travaux magasin</v>
      </c>
    </row>
    <row r="57" spans="10:27" x14ac:dyDescent="0.25">
      <c r="J57" s="175">
        <v>44535</v>
      </c>
      <c r="K57" s="164">
        <v>864.41</v>
      </c>
      <c r="L57" s="159">
        <v>12.638198924633542</v>
      </c>
      <c r="M57" s="159">
        <v>851.7718010753664</v>
      </c>
      <c r="N57" s="160">
        <v>3432.2891455357226</v>
      </c>
      <c r="O57">
        <v>20</v>
      </c>
      <c r="P57" t="s">
        <v>140</v>
      </c>
      <c r="Q57" t="s">
        <v>181</v>
      </c>
      <c r="R57" s="63"/>
      <c r="T57" s="158">
        <f t="shared" si="0"/>
        <v>45448</v>
      </c>
      <c r="U57" s="164">
        <f t="shared" si="1"/>
        <v>864.41</v>
      </c>
      <c r="V57" s="159">
        <f t="shared" si="4"/>
        <v>-66.06</v>
      </c>
      <c r="W57" s="159">
        <f>D_Emprunts!$U57-D_Emprunts!$V57</f>
        <v>930.47</v>
      </c>
      <c r="X57" s="160">
        <f>X56-D_Emprunts!$W57</f>
        <v>-23323.30999999999</v>
      </c>
      <c r="Y57">
        <v>50</v>
      </c>
      <c r="Z57" t="str">
        <f t="shared" si="2"/>
        <v>Investissement</v>
      </c>
      <c r="AA57" t="str">
        <f t="shared" si="3"/>
        <v>travaux magasin</v>
      </c>
    </row>
    <row r="58" spans="10:27" x14ac:dyDescent="0.25">
      <c r="J58" s="174">
        <v>44566</v>
      </c>
      <c r="K58" s="164">
        <v>864.41</v>
      </c>
      <c r="L58" s="159">
        <v>10.125428542853744</v>
      </c>
      <c r="M58" s="156">
        <v>854.28457145714617</v>
      </c>
      <c r="N58" s="157">
        <v>2578.0045740785763</v>
      </c>
      <c r="O58">
        <v>21</v>
      </c>
      <c r="P58" t="s">
        <v>140</v>
      </c>
      <c r="Q58" t="s">
        <v>181</v>
      </c>
      <c r="R58" s="63"/>
      <c r="T58" s="155">
        <f t="shared" si="0"/>
        <v>45478</v>
      </c>
      <c r="U58" s="164">
        <f t="shared" si="1"/>
        <v>864.41</v>
      </c>
      <c r="V58" s="159">
        <f t="shared" si="4"/>
        <v>-68.8</v>
      </c>
      <c r="W58" s="156">
        <f>D_Emprunts!$U58-D_Emprunts!$V58</f>
        <v>933.20999999999992</v>
      </c>
      <c r="X58" s="157">
        <f>X57-D_Emprunts!$W58</f>
        <v>-24256.51999999999</v>
      </c>
      <c r="Y58">
        <v>51</v>
      </c>
      <c r="Z58" t="str">
        <f t="shared" si="2"/>
        <v>Investissement</v>
      </c>
      <c r="AA58" t="str">
        <f t="shared" si="3"/>
        <v>travaux magasin</v>
      </c>
    </row>
    <row r="59" spans="10:27" x14ac:dyDescent="0.25">
      <c r="J59" s="175">
        <v>44597</v>
      </c>
      <c r="K59" s="164">
        <v>864.41</v>
      </c>
      <c r="L59" s="159">
        <v>7.6052453599180732</v>
      </c>
      <c r="M59" s="159">
        <v>856.80475464008191</v>
      </c>
      <c r="N59" s="160">
        <v>1721.1998194384944</v>
      </c>
      <c r="O59">
        <v>22</v>
      </c>
      <c r="P59" t="s">
        <v>140</v>
      </c>
      <c r="Q59" t="s">
        <v>181</v>
      </c>
      <c r="R59" s="63"/>
      <c r="T59" s="158">
        <f t="shared" si="0"/>
        <v>45509</v>
      </c>
      <c r="U59" s="164">
        <f t="shared" si="1"/>
        <v>864.41</v>
      </c>
      <c r="V59" s="159">
        <f t="shared" si="4"/>
        <v>-71.56</v>
      </c>
      <c r="W59" s="159">
        <f>D_Emprunts!$U59-D_Emprunts!$V59</f>
        <v>935.97</v>
      </c>
      <c r="X59" s="160">
        <f>X58-D_Emprunts!$W59</f>
        <v>-25192.489999999991</v>
      </c>
      <c r="Y59">
        <v>52</v>
      </c>
      <c r="Z59" t="str">
        <f t="shared" si="2"/>
        <v>Investissement</v>
      </c>
      <c r="AA59" t="str">
        <f t="shared" si="3"/>
        <v>travaux magasin</v>
      </c>
    </row>
    <row r="60" spans="10:27" x14ac:dyDescent="0.25">
      <c r="J60" s="174">
        <v>44625</v>
      </c>
      <c r="K60" s="164">
        <v>864.41</v>
      </c>
      <c r="L60" s="159">
        <v>5.0776275076839541</v>
      </c>
      <c r="M60" s="156">
        <v>859.33237249231604</v>
      </c>
      <c r="N60" s="157">
        <v>861.86744694617835</v>
      </c>
      <c r="O60">
        <v>23</v>
      </c>
      <c r="P60" t="s">
        <v>140</v>
      </c>
      <c r="Q60" t="s">
        <v>181</v>
      </c>
      <c r="R60" s="63"/>
      <c r="T60" s="155">
        <f t="shared" si="0"/>
        <v>45540</v>
      </c>
      <c r="U60" s="164">
        <f t="shared" si="1"/>
        <v>864.41</v>
      </c>
      <c r="V60" s="159">
        <f t="shared" si="4"/>
        <v>-74.319999999999993</v>
      </c>
      <c r="W60" s="156">
        <f>D_Emprunts!$U60-D_Emprunts!$V60</f>
        <v>938.73</v>
      </c>
      <c r="X60" s="157">
        <f>X59-D_Emprunts!$W60</f>
        <v>-26131.21999999999</v>
      </c>
      <c r="Y60">
        <v>53</v>
      </c>
      <c r="Z60" t="str">
        <f t="shared" si="2"/>
        <v>Investissement</v>
      </c>
      <c r="AA60" t="str">
        <f t="shared" si="3"/>
        <v>travaux magasin</v>
      </c>
    </row>
    <row r="61" spans="10:27" x14ac:dyDescent="0.25">
      <c r="J61" s="175">
        <v>44656</v>
      </c>
      <c r="K61" s="164">
        <v>864.41</v>
      </c>
      <c r="L61" s="159">
        <v>2.5425530534966674</v>
      </c>
      <c r="M61" s="159">
        <v>861.86744694650326</v>
      </c>
      <c r="N61" s="160">
        <v>-3.2491698220837861E-10</v>
      </c>
      <c r="O61">
        <v>24</v>
      </c>
      <c r="P61" t="s">
        <v>140</v>
      </c>
      <c r="Q61" t="s">
        <v>181</v>
      </c>
      <c r="R61" s="63"/>
      <c r="T61" s="158">
        <f t="shared" si="0"/>
        <v>45570</v>
      </c>
      <c r="U61" s="164">
        <f t="shared" si="1"/>
        <v>864.41</v>
      </c>
      <c r="V61" s="159">
        <f t="shared" si="4"/>
        <v>-77.09</v>
      </c>
      <c r="W61" s="159">
        <f>D_Emprunts!$U61-D_Emprunts!$V61</f>
        <v>941.5</v>
      </c>
      <c r="X61" s="160">
        <f>X60-D_Emprunts!$W61</f>
        <v>-27072.71999999999</v>
      </c>
      <c r="Y61">
        <v>54</v>
      </c>
      <c r="Z61" t="str">
        <f t="shared" si="2"/>
        <v>Investissement</v>
      </c>
      <c r="AA61" t="str">
        <f t="shared" si="3"/>
        <v>travaux magasin</v>
      </c>
    </row>
    <row r="62" spans="10:27" x14ac:dyDescent="0.25">
      <c r="J62" s="165"/>
      <c r="K62" s="166"/>
      <c r="L62" s="167"/>
      <c r="M62" s="167"/>
      <c r="N62" s="168"/>
      <c r="O62" s="63"/>
      <c r="P62" s="63"/>
      <c r="Q62" s="63"/>
      <c r="R62" s="63"/>
      <c r="T62" s="155">
        <f t="shared" si="0"/>
        <v>45601</v>
      </c>
      <c r="U62" s="164">
        <f t="shared" si="1"/>
        <v>864.41</v>
      </c>
      <c r="V62" s="159">
        <f t="shared" si="4"/>
        <v>-79.87</v>
      </c>
      <c r="W62" s="156">
        <f>D_Emprunts!$U62-D_Emprunts!$V62</f>
        <v>944.28</v>
      </c>
      <c r="X62" s="157">
        <f>X61-D_Emprunts!$W62</f>
        <v>-28016.999999999989</v>
      </c>
      <c r="Y62">
        <v>55</v>
      </c>
      <c r="Z62" t="str">
        <f t="shared" si="2"/>
        <v>Investissement</v>
      </c>
      <c r="AA62" t="str">
        <f t="shared" si="3"/>
        <v>travaux magasin</v>
      </c>
    </row>
    <row r="63" spans="10:27" x14ac:dyDescent="0.25">
      <c r="J63" s="63"/>
      <c r="K63" s="63"/>
      <c r="L63" s="63"/>
      <c r="M63" s="63"/>
      <c r="N63" s="63"/>
      <c r="O63" s="63"/>
      <c r="P63" s="63"/>
      <c r="Q63" s="63"/>
      <c r="R63" s="63"/>
      <c r="T63" s="158">
        <f t="shared" si="0"/>
        <v>45631</v>
      </c>
      <c r="U63" s="164">
        <f t="shared" si="1"/>
        <v>864.41</v>
      </c>
      <c r="V63" s="159">
        <f t="shared" si="4"/>
        <v>-82.65</v>
      </c>
      <c r="W63" s="159">
        <f>D_Emprunts!$U63-D_Emprunts!$V63</f>
        <v>947.06</v>
      </c>
      <c r="X63" s="160">
        <f>X62-D_Emprunts!$W63</f>
        <v>-28964.05999999999</v>
      </c>
      <c r="Y63">
        <v>56</v>
      </c>
      <c r="Z63" t="str">
        <f t="shared" si="2"/>
        <v>Investissement</v>
      </c>
      <c r="AA63" t="str">
        <f t="shared" si="3"/>
        <v>travaux magasin</v>
      </c>
    </row>
    <row r="64" spans="10:27" x14ac:dyDescent="0.25">
      <c r="T64" s="155">
        <f t="shared" si="0"/>
        <v>45662</v>
      </c>
      <c r="U64" s="164">
        <f t="shared" si="1"/>
        <v>864.41</v>
      </c>
      <c r="V64" s="159">
        <f t="shared" si="4"/>
        <v>-85.45</v>
      </c>
      <c r="W64" s="156">
        <f>D_Emprunts!$U64-D_Emprunts!$V64</f>
        <v>949.86</v>
      </c>
      <c r="X64" s="157">
        <f>X63-D_Emprunts!$W64</f>
        <v>-29913.919999999991</v>
      </c>
      <c r="Y64">
        <v>57</v>
      </c>
      <c r="Z64" t="str">
        <f t="shared" si="2"/>
        <v>Investissement</v>
      </c>
      <c r="AA64" t="str">
        <f t="shared" si="3"/>
        <v>travaux magasin</v>
      </c>
    </row>
    <row r="65" spans="20:27" x14ac:dyDescent="0.25">
      <c r="T65" s="158">
        <f t="shared" si="0"/>
        <v>45693</v>
      </c>
      <c r="U65" s="164">
        <f t="shared" si="1"/>
        <v>864.41</v>
      </c>
      <c r="V65" s="159">
        <f t="shared" si="4"/>
        <v>-88.25</v>
      </c>
      <c r="W65" s="159">
        <f>D_Emprunts!$U65-D_Emprunts!$V65</f>
        <v>952.66</v>
      </c>
      <c r="X65" s="160">
        <f>X64-D_Emprunts!$W65</f>
        <v>-30866.579999999991</v>
      </c>
      <c r="Y65">
        <v>58</v>
      </c>
      <c r="Z65" t="str">
        <f t="shared" si="2"/>
        <v>Investissement</v>
      </c>
      <c r="AA65" t="str">
        <f t="shared" si="3"/>
        <v>travaux magasin</v>
      </c>
    </row>
    <row r="66" spans="20:27" x14ac:dyDescent="0.25">
      <c r="T66" s="155">
        <f t="shared" si="0"/>
        <v>45721</v>
      </c>
      <c r="U66" s="164">
        <f t="shared" si="1"/>
        <v>864.41</v>
      </c>
      <c r="V66" s="159">
        <f t="shared" si="4"/>
        <v>-91.06</v>
      </c>
      <c r="W66" s="156">
        <f>D_Emprunts!$U66-D_Emprunts!$V66</f>
        <v>955.47</v>
      </c>
      <c r="X66" s="157">
        <f>X65-D_Emprunts!$W66</f>
        <v>-31822.049999999992</v>
      </c>
      <c r="Y66">
        <v>59</v>
      </c>
      <c r="Z66" t="str">
        <f t="shared" si="2"/>
        <v>Investissement</v>
      </c>
      <c r="AA66" t="str">
        <f t="shared" si="3"/>
        <v>travaux magasin</v>
      </c>
    </row>
    <row r="67" spans="20:27" x14ac:dyDescent="0.25">
      <c r="T67" s="158">
        <f t="shared" si="0"/>
        <v>45752</v>
      </c>
      <c r="U67" s="164">
        <f t="shared" si="1"/>
        <v>864.41</v>
      </c>
      <c r="V67" s="159">
        <f t="shared" si="4"/>
        <v>-93.88</v>
      </c>
      <c r="W67" s="159">
        <f>D_Emprunts!$U67-D_Emprunts!$V67</f>
        <v>958.29</v>
      </c>
      <c r="X67" s="160">
        <f>X66-D_Emprunts!$W67</f>
        <v>-32780.339999999989</v>
      </c>
      <c r="Y67">
        <v>60</v>
      </c>
      <c r="Z67" t="str">
        <f t="shared" si="2"/>
        <v>Investissement</v>
      </c>
      <c r="AA67" t="str">
        <f t="shared" si="3"/>
        <v>travaux magasin</v>
      </c>
    </row>
    <row r="68" spans="20:27" x14ac:dyDescent="0.25">
      <c r="T68" s="155">
        <f t="shared" si="0"/>
        <v>45782</v>
      </c>
      <c r="U68" s="164">
        <f t="shared" si="1"/>
        <v>864.41</v>
      </c>
      <c r="V68" s="159">
        <f t="shared" si="4"/>
        <v>-96.7</v>
      </c>
      <c r="W68" s="156">
        <f>D_Emprunts!$U68-D_Emprunts!$V68</f>
        <v>961.11</v>
      </c>
      <c r="X68" s="157">
        <f>X67-D_Emprunts!$W68</f>
        <v>-33741.44999999999</v>
      </c>
      <c r="Y68">
        <v>61</v>
      </c>
      <c r="Z68" t="str">
        <f t="shared" si="2"/>
        <v>Investissement</v>
      </c>
      <c r="AA68" t="str">
        <f t="shared" si="3"/>
        <v>travaux magasin</v>
      </c>
    </row>
    <row r="69" spans="20:27" x14ac:dyDescent="0.25">
      <c r="T69" s="158">
        <f t="shared" si="0"/>
        <v>45813</v>
      </c>
      <c r="U69" s="164">
        <f t="shared" si="1"/>
        <v>864.41</v>
      </c>
      <c r="V69" s="159">
        <f t="shared" si="4"/>
        <v>-99.54</v>
      </c>
      <c r="W69" s="159">
        <f>D_Emprunts!$U69-D_Emprunts!$V69</f>
        <v>963.94999999999993</v>
      </c>
      <c r="X69" s="160">
        <f>X68-D_Emprunts!$W69</f>
        <v>-34705.399999999987</v>
      </c>
      <c r="Y69">
        <v>62</v>
      </c>
      <c r="Z69" t="str">
        <f t="shared" si="2"/>
        <v>Investissement</v>
      </c>
      <c r="AA69" t="str">
        <f t="shared" si="3"/>
        <v>travaux magasin</v>
      </c>
    </row>
    <row r="70" spans="20:27" x14ac:dyDescent="0.25">
      <c r="T70" s="155">
        <f t="shared" si="0"/>
        <v>45843</v>
      </c>
      <c r="U70" s="164">
        <f t="shared" si="1"/>
        <v>864.41</v>
      </c>
      <c r="V70" s="159">
        <f t="shared" si="4"/>
        <v>-102.38</v>
      </c>
      <c r="W70" s="156">
        <f>D_Emprunts!$U70-D_Emprunts!$V70</f>
        <v>966.79</v>
      </c>
      <c r="X70" s="157">
        <f>X69-D_Emprunts!$W70</f>
        <v>-35672.189999999988</v>
      </c>
      <c r="Y70">
        <v>63</v>
      </c>
      <c r="Z70" t="str">
        <f t="shared" si="2"/>
        <v>Investissement</v>
      </c>
      <c r="AA70" t="str">
        <f t="shared" si="3"/>
        <v>travaux magasin</v>
      </c>
    </row>
    <row r="71" spans="20:27" x14ac:dyDescent="0.25">
      <c r="T71" s="158">
        <f t="shared" si="0"/>
        <v>45874</v>
      </c>
      <c r="U71" s="164">
        <f t="shared" si="1"/>
        <v>864.41</v>
      </c>
      <c r="V71" s="159">
        <f t="shared" si="4"/>
        <v>-105.23</v>
      </c>
      <c r="W71" s="159">
        <f>D_Emprunts!$U71-D_Emprunts!$V71</f>
        <v>969.64</v>
      </c>
      <c r="X71" s="160">
        <f>X70-D_Emprunts!$W71</f>
        <v>-36641.829999999987</v>
      </c>
      <c r="Y71">
        <v>64</v>
      </c>
      <c r="Z71" t="str">
        <f t="shared" si="2"/>
        <v>Investissement</v>
      </c>
      <c r="AA71" t="str">
        <f t="shared" si="3"/>
        <v>travaux magasin</v>
      </c>
    </row>
    <row r="72" spans="20:27" x14ac:dyDescent="0.25">
      <c r="T72" s="155">
        <f t="shared" ref="T72:T135" si="5">EDATE(T71,1)</f>
        <v>45905</v>
      </c>
      <c r="U72" s="164">
        <f t="shared" si="1"/>
        <v>864.41</v>
      </c>
      <c r="V72" s="159">
        <f t="shared" si="4"/>
        <v>-108.1</v>
      </c>
      <c r="W72" s="156">
        <f>D_Emprunts!$U72-D_Emprunts!$V72</f>
        <v>972.51</v>
      </c>
      <c r="X72" s="157">
        <f>X71-D_Emprunts!$W72</f>
        <v>-37614.339999999989</v>
      </c>
      <c r="Y72">
        <v>65</v>
      </c>
      <c r="Z72" t="str">
        <f t="shared" si="2"/>
        <v>Investissement</v>
      </c>
      <c r="AA72" t="str">
        <f t="shared" si="3"/>
        <v>travaux magasin</v>
      </c>
    </row>
    <row r="73" spans="20:27" x14ac:dyDescent="0.25">
      <c r="T73" s="158">
        <f t="shared" si="5"/>
        <v>45935</v>
      </c>
      <c r="U73" s="164">
        <f t="shared" ref="U73:U136" si="6">$X$4</f>
        <v>864.41</v>
      </c>
      <c r="V73" s="159">
        <f t="shared" si="4"/>
        <v>-110.96</v>
      </c>
      <c r="W73" s="159">
        <f>D_Emprunts!$U73-D_Emprunts!$V73</f>
        <v>975.37</v>
      </c>
      <c r="X73" s="160">
        <f>X72-D_Emprunts!$W73</f>
        <v>-38589.709999999992</v>
      </c>
      <c r="Y73">
        <v>66</v>
      </c>
      <c r="Z73" t="str">
        <f t="shared" ref="Z73:Z136" si="7">$Y$4</f>
        <v>Investissement</v>
      </c>
      <c r="AA73" t="str">
        <f t="shared" ref="AA73:AA136" si="8">$Z$4</f>
        <v>travaux magasin</v>
      </c>
    </row>
    <row r="74" spans="20:27" x14ac:dyDescent="0.25">
      <c r="T74" s="155">
        <f t="shared" si="5"/>
        <v>45966</v>
      </c>
      <c r="U74" s="164">
        <f t="shared" si="6"/>
        <v>864.41</v>
      </c>
      <c r="V74" s="159">
        <f t="shared" ref="V74:V137" si="9">ROUND(X73*$V$4/12,2)</f>
        <v>-113.84</v>
      </c>
      <c r="W74" s="156">
        <f>D_Emprunts!$U74-D_Emprunts!$V74</f>
        <v>978.25</v>
      </c>
      <c r="X74" s="157">
        <f>X73-D_Emprunts!$W74</f>
        <v>-39567.959999999992</v>
      </c>
      <c r="Y74">
        <v>67</v>
      </c>
      <c r="Z74" t="str">
        <f t="shared" si="7"/>
        <v>Investissement</v>
      </c>
      <c r="AA74" t="str">
        <f t="shared" si="8"/>
        <v>travaux magasin</v>
      </c>
    </row>
    <row r="75" spans="20:27" x14ac:dyDescent="0.25">
      <c r="T75" s="158">
        <f t="shared" si="5"/>
        <v>45996</v>
      </c>
      <c r="U75" s="164">
        <f t="shared" si="6"/>
        <v>864.41</v>
      </c>
      <c r="V75" s="159">
        <f t="shared" si="9"/>
        <v>-116.73</v>
      </c>
      <c r="W75" s="159">
        <f>D_Emprunts!$U75-D_Emprunts!$V75</f>
        <v>981.14</v>
      </c>
      <c r="X75" s="160">
        <f>X74-D_Emprunts!$W75</f>
        <v>-40549.099999999991</v>
      </c>
      <c r="Y75">
        <v>68</v>
      </c>
      <c r="Z75" t="str">
        <f t="shared" si="7"/>
        <v>Investissement</v>
      </c>
      <c r="AA75" t="str">
        <f t="shared" si="8"/>
        <v>travaux magasin</v>
      </c>
    </row>
    <row r="76" spans="20:27" x14ac:dyDescent="0.25">
      <c r="T76" s="155">
        <f t="shared" si="5"/>
        <v>46027</v>
      </c>
      <c r="U76" s="164">
        <f t="shared" si="6"/>
        <v>864.41</v>
      </c>
      <c r="V76" s="159">
        <f t="shared" si="9"/>
        <v>-119.62</v>
      </c>
      <c r="W76" s="156">
        <f>D_Emprunts!$U76-D_Emprunts!$V76</f>
        <v>984.03</v>
      </c>
      <c r="X76" s="157">
        <f>X75-D_Emprunts!$W76</f>
        <v>-41533.12999999999</v>
      </c>
      <c r="Y76">
        <v>69</v>
      </c>
      <c r="Z76" t="str">
        <f t="shared" si="7"/>
        <v>Investissement</v>
      </c>
      <c r="AA76" t="str">
        <f t="shared" si="8"/>
        <v>travaux magasin</v>
      </c>
    </row>
    <row r="77" spans="20:27" x14ac:dyDescent="0.25">
      <c r="T77" s="158">
        <f t="shared" si="5"/>
        <v>46058</v>
      </c>
      <c r="U77" s="164">
        <f t="shared" si="6"/>
        <v>864.41</v>
      </c>
      <c r="V77" s="159">
        <f t="shared" si="9"/>
        <v>-122.52</v>
      </c>
      <c r="W77" s="159">
        <f>D_Emprunts!$U77-D_Emprunts!$V77</f>
        <v>986.93</v>
      </c>
      <c r="X77" s="160">
        <f>X76-D_Emprunts!$W77</f>
        <v>-42520.05999999999</v>
      </c>
      <c r="Y77">
        <v>70</v>
      </c>
      <c r="Z77" t="str">
        <f t="shared" si="7"/>
        <v>Investissement</v>
      </c>
      <c r="AA77" t="str">
        <f t="shared" si="8"/>
        <v>travaux magasin</v>
      </c>
    </row>
    <row r="78" spans="20:27" x14ac:dyDescent="0.25">
      <c r="T78" s="155">
        <f t="shared" si="5"/>
        <v>46086</v>
      </c>
      <c r="U78" s="164">
        <f t="shared" si="6"/>
        <v>864.41</v>
      </c>
      <c r="V78" s="159">
        <f t="shared" si="9"/>
        <v>-125.44</v>
      </c>
      <c r="W78" s="156">
        <f>D_Emprunts!$U78-D_Emprunts!$V78</f>
        <v>989.84999999999991</v>
      </c>
      <c r="X78" s="157">
        <f>X77-D_Emprunts!$W78</f>
        <v>-43509.909999999989</v>
      </c>
      <c r="Y78">
        <v>71</v>
      </c>
      <c r="Z78" t="str">
        <f t="shared" si="7"/>
        <v>Investissement</v>
      </c>
      <c r="AA78" t="str">
        <f t="shared" si="8"/>
        <v>travaux magasin</v>
      </c>
    </row>
    <row r="79" spans="20:27" x14ac:dyDescent="0.25">
      <c r="T79" s="158">
        <f t="shared" si="5"/>
        <v>46117</v>
      </c>
      <c r="U79" s="164">
        <f t="shared" si="6"/>
        <v>864.41</v>
      </c>
      <c r="V79" s="159">
        <f t="shared" si="9"/>
        <v>-128.36000000000001</v>
      </c>
      <c r="W79" s="159">
        <f>D_Emprunts!$U79-D_Emprunts!$V79</f>
        <v>992.77</v>
      </c>
      <c r="X79" s="160">
        <f>X78-D_Emprunts!$W79</f>
        <v>-44502.679999999986</v>
      </c>
      <c r="Y79">
        <v>72</v>
      </c>
      <c r="Z79" t="str">
        <f t="shared" si="7"/>
        <v>Investissement</v>
      </c>
      <c r="AA79" t="str">
        <f t="shared" si="8"/>
        <v>travaux magasin</v>
      </c>
    </row>
    <row r="80" spans="20:27" x14ac:dyDescent="0.25">
      <c r="T80" s="155">
        <f t="shared" si="5"/>
        <v>46147</v>
      </c>
      <c r="U80" s="164">
        <f t="shared" si="6"/>
        <v>864.41</v>
      </c>
      <c r="V80" s="159">
        <f t="shared" si="9"/>
        <v>-131.29</v>
      </c>
      <c r="W80" s="156">
        <f>D_Emprunts!$U80-D_Emprunts!$V80</f>
        <v>995.69999999999993</v>
      </c>
      <c r="X80" s="157">
        <f>X79-D_Emprunts!$W80</f>
        <v>-45498.379999999983</v>
      </c>
      <c r="Y80">
        <v>73</v>
      </c>
      <c r="Z80" t="str">
        <f t="shared" si="7"/>
        <v>Investissement</v>
      </c>
      <c r="AA80" t="str">
        <f t="shared" si="8"/>
        <v>travaux magasin</v>
      </c>
    </row>
    <row r="81" spans="20:27" x14ac:dyDescent="0.25">
      <c r="T81" s="158">
        <f t="shared" si="5"/>
        <v>46178</v>
      </c>
      <c r="U81" s="164">
        <f t="shared" si="6"/>
        <v>864.41</v>
      </c>
      <c r="V81" s="159">
        <f t="shared" si="9"/>
        <v>-134.22</v>
      </c>
      <c r="W81" s="159">
        <f>D_Emprunts!$U81-D_Emprunts!$V81</f>
        <v>998.63</v>
      </c>
      <c r="X81" s="160">
        <f>X80-D_Emprunts!$W81</f>
        <v>-46497.00999999998</v>
      </c>
      <c r="Y81">
        <v>74</v>
      </c>
      <c r="Z81" t="str">
        <f t="shared" si="7"/>
        <v>Investissement</v>
      </c>
      <c r="AA81" t="str">
        <f t="shared" si="8"/>
        <v>travaux magasin</v>
      </c>
    </row>
    <row r="82" spans="20:27" x14ac:dyDescent="0.25">
      <c r="T82" s="155">
        <f t="shared" si="5"/>
        <v>46208</v>
      </c>
      <c r="U82" s="164">
        <f t="shared" si="6"/>
        <v>864.41</v>
      </c>
      <c r="V82" s="159">
        <f t="shared" si="9"/>
        <v>-137.16999999999999</v>
      </c>
      <c r="W82" s="156">
        <f>D_Emprunts!$U82-D_Emprunts!$V82</f>
        <v>1001.5799999999999</v>
      </c>
      <c r="X82" s="157">
        <f>X81-D_Emprunts!$W82</f>
        <v>-47498.589999999982</v>
      </c>
      <c r="Y82">
        <v>75</v>
      </c>
      <c r="Z82" t="str">
        <f t="shared" si="7"/>
        <v>Investissement</v>
      </c>
      <c r="AA82" t="str">
        <f t="shared" si="8"/>
        <v>travaux magasin</v>
      </c>
    </row>
    <row r="83" spans="20:27" x14ac:dyDescent="0.25">
      <c r="T83" s="158">
        <f t="shared" si="5"/>
        <v>46239</v>
      </c>
      <c r="U83" s="164">
        <f t="shared" si="6"/>
        <v>864.41</v>
      </c>
      <c r="V83" s="159">
        <f t="shared" si="9"/>
        <v>-140.12</v>
      </c>
      <c r="W83" s="159">
        <f>D_Emprunts!$U83-D_Emprunts!$V83</f>
        <v>1004.53</v>
      </c>
      <c r="X83" s="160">
        <f>X82-D_Emprunts!$W83</f>
        <v>-48503.119999999981</v>
      </c>
      <c r="Y83">
        <v>76</v>
      </c>
      <c r="Z83" t="str">
        <f t="shared" si="7"/>
        <v>Investissement</v>
      </c>
      <c r="AA83" t="str">
        <f t="shared" si="8"/>
        <v>travaux magasin</v>
      </c>
    </row>
    <row r="84" spans="20:27" x14ac:dyDescent="0.25">
      <c r="T84" s="155">
        <f t="shared" si="5"/>
        <v>46270</v>
      </c>
      <c r="U84" s="164">
        <f t="shared" si="6"/>
        <v>864.41</v>
      </c>
      <c r="V84" s="159">
        <f t="shared" si="9"/>
        <v>-143.09</v>
      </c>
      <c r="W84" s="156">
        <f>D_Emprunts!$U84-D_Emprunts!$V84</f>
        <v>1007.5</v>
      </c>
      <c r="X84" s="157">
        <f>X83-D_Emprunts!$W84</f>
        <v>-49510.619999999981</v>
      </c>
      <c r="Y84">
        <v>77</v>
      </c>
      <c r="Z84" t="str">
        <f t="shared" si="7"/>
        <v>Investissement</v>
      </c>
      <c r="AA84" t="str">
        <f t="shared" si="8"/>
        <v>travaux magasin</v>
      </c>
    </row>
    <row r="85" spans="20:27" x14ac:dyDescent="0.25">
      <c r="T85" s="158">
        <f t="shared" si="5"/>
        <v>46300</v>
      </c>
      <c r="U85" s="164">
        <f t="shared" si="6"/>
        <v>864.41</v>
      </c>
      <c r="V85" s="159">
        <f t="shared" si="9"/>
        <v>-146.06</v>
      </c>
      <c r="W85" s="159">
        <f>D_Emprunts!$U85-D_Emprunts!$V85</f>
        <v>1010.47</v>
      </c>
      <c r="X85" s="160">
        <f>X84-D_Emprunts!$W85</f>
        <v>-50521.089999999982</v>
      </c>
      <c r="Y85">
        <v>78</v>
      </c>
      <c r="Z85" t="str">
        <f t="shared" si="7"/>
        <v>Investissement</v>
      </c>
      <c r="AA85" t="str">
        <f t="shared" si="8"/>
        <v>travaux magasin</v>
      </c>
    </row>
    <row r="86" spans="20:27" x14ac:dyDescent="0.25">
      <c r="T86" s="155">
        <f t="shared" si="5"/>
        <v>46331</v>
      </c>
      <c r="U86" s="164">
        <f t="shared" si="6"/>
        <v>864.41</v>
      </c>
      <c r="V86" s="159">
        <f t="shared" si="9"/>
        <v>-149.04</v>
      </c>
      <c r="W86" s="156">
        <f>D_Emprunts!$U86-D_Emprunts!$V86</f>
        <v>1013.4499999999999</v>
      </c>
      <c r="X86" s="157">
        <f>X85-D_Emprunts!$W86</f>
        <v>-51534.539999999979</v>
      </c>
      <c r="Y86">
        <v>79</v>
      </c>
      <c r="Z86" t="str">
        <f t="shared" si="7"/>
        <v>Investissement</v>
      </c>
      <c r="AA86" t="str">
        <f t="shared" si="8"/>
        <v>travaux magasin</v>
      </c>
    </row>
    <row r="87" spans="20:27" x14ac:dyDescent="0.25">
      <c r="T87" s="158">
        <f t="shared" si="5"/>
        <v>46361</v>
      </c>
      <c r="U87" s="164">
        <f t="shared" si="6"/>
        <v>864.41</v>
      </c>
      <c r="V87" s="159">
        <f t="shared" si="9"/>
        <v>-152.03</v>
      </c>
      <c r="W87" s="159">
        <f>D_Emprunts!$U87-D_Emprunts!$V87</f>
        <v>1016.4399999999999</v>
      </c>
      <c r="X87" s="160">
        <f>X86-D_Emprunts!$W87</f>
        <v>-52550.979999999981</v>
      </c>
      <c r="Y87">
        <v>80</v>
      </c>
      <c r="Z87" t="str">
        <f t="shared" si="7"/>
        <v>Investissement</v>
      </c>
      <c r="AA87" t="str">
        <f t="shared" si="8"/>
        <v>travaux magasin</v>
      </c>
    </row>
    <row r="88" spans="20:27" x14ac:dyDescent="0.25">
      <c r="T88" s="155">
        <f t="shared" si="5"/>
        <v>46392</v>
      </c>
      <c r="U88" s="164">
        <f t="shared" si="6"/>
        <v>864.41</v>
      </c>
      <c r="V88" s="159">
        <f t="shared" si="9"/>
        <v>-155.03</v>
      </c>
      <c r="W88" s="156">
        <f>D_Emprunts!$U88-D_Emprunts!$V88</f>
        <v>1019.4399999999999</v>
      </c>
      <c r="X88" s="157">
        <f>X87-D_Emprunts!$W88</f>
        <v>-53570.419999999984</v>
      </c>
      <c r="Y88">
        <v>81</v>
      </c>
      <c r="Z88" t="str">
        <f t="shared" si="7"/>
        <v>Investissement</v>
      </c>
      <c r="AA88" t="str">
        <f t="shared" si="8"/>
        <v>travaux magasin</v>
      </c>
    </row>
    <row r="89" spans="20:27" x14ac:dyDescent="0.25">
      <c r="T89" s="158">
        <f t="shared" si="5"/>
        <v>46423</v>
      </c>
      <c r="U89" s="164">
        <f t="shared" si="6"/>
        <v>864.41</v>
      </c>
      <c r="V89" s="159">
        <f t="shared" si="9"/>
        <v>-158.04</v>
      </c>
      <c r="W89" s="159">
        <f>D_Emprunts!$U89-D_Emprunts!$V89</f>
        <v>1022.4499999999999</v>
      </c>
      <c r="X89" s="160">
        <f>X88-D_Emprunts!$W89</f>
        <v>-54592.869999999981</v>
      </c>
      <c r="Y89">
        <v>82</v>
      </c>
      <c r="Z89" t="str">
        <f t="shared" si="7"/>
        <v>Investissement</v>
      </c>
      <c r="AA89" t="str">
        <f t="shared" si="8"/>
        <v>travaux magasin</v>
      </c>
    </row>
    <row r="90" spans="20:27" x14ac:dyDescent="0.25">
      <c r="T90" s="155">
        <f t="shared" si="5"/>
        <v>46451</v>
      </c>
      <c r="U90" s="164">
        <f t="shared" si="6"/>
        <v>864.41</v>
      </c>
      <c r="V90" s="159">
        <f t="shared" si="9"/>
        <v>-161.05000000000001</v>
      </c>
      <c r="W90" s="156">
        <f>D_Emprunts!$U90-D_Emprunts!$V90</f>
        <v>1025.46</v>
      </c>
      <c r="X90" s="157">
        <f>X89-D_Emprunts!$W90</f>
        <v>-55618.32999999998</v>
      </c>
      <c r="Y90">
        <v>83</v>
      </c>
      <c r="Z90" t="str">
        <f t="shared" si="7"/>
        <v>Investissement</v>
      </c>
      <c r="AA90" t="str">
        <f t="shared" si="8"/>
        <v>travaux magasin</v>
      </c>
    </row>
    <row r="91" spans="20:27" x14ac:dyDescent="0.25">
      <c r="T91" s="158">
        <f t="shared" si="5"/>
        <v>46482</v>
      </c>
      <c r="U91" s="164">
        <f t="shared" si="6"/>
        <v>864.41</v>
      </c>
      <c r="V91" s="159">
        <f t="shared" si="9"/>
        <v>-164.08</v>
      </c>
      <c r="W91" s="159">
        <f>D_Emprunts!$U91-D_Emprunts!$V91</f>
        <v>1028.49</v>
      </c>
      <c r="X91" s="160">
        <f>X90-D_Emprunts!$W91</f>
        <v>-56646.819999999978</v>
      </c>
      <c r="Y91">
        <v>84</v>
      </c>
      <c r="Z91" t="str">
        <f t="shared" si="7"/>
        <v>Investissement</v>
      </c>
      <c r="AA91" t="str">
        <f t="shared" si="8"/>
        <v>travaux magasin</v>
      </c>
    </row>
    <row r="92" spans="20:27" x14ac:dyDescent="0.25">
      <c r="T92" s="155">
        <f t="shared" si="5"/>
        <v>46512</v>
      </c>
      <c r="U92" s="164">
        <f t="shared" si="6"/>
        <v>864.41</v>
      </c>
      <c r="V92" s="159">
        <f t="shared" si="9"/>
        <v>-167.11</v>
      </c>
      <c r="W92" s="156">
        <f>D_Emprunts!$U92-D_Emprunts!$V92</f>
        <v>1031.52</v>
      </c>
      <c r="X92" s="157">
        <f>X91-D_Emprunts!$W92</f>
        <v>-57678.339999999975</v>
      </c>
      <c r="Y92">
        <v>85</v>
      </c>
      <c r="Z92" t="str">
        <f t="shared" si="7"/>
        <v>Investissement</v>
      </c>
      <c r="AA92" t="str">
        <f t="shared" si="8"/>
        <v>travaux magasin</v>
      </c>
    </row>
    <row r="93" spans="20:27" x14ac:dyDescent="0.25">
      <c r="T93" s="158">
        <f t="shared" si="5"/>
        <v>46543</v>
      </c>
      <c r="U93" s="164">
        <f t="shared" si="6"/>
        <v>864.41</v>
      </c>
      <c r="V93" s="159">
        <f t="shared" si="9"/>
        <v>-170.15</v>
      </c>
      <c r="W93" s="159">
        <f>D_Emprunts!$U93-D_Emprunts!$V93</f>
        <v>1034.56</v>
      </c>
      <c r="X93" s="160">
        <f>X92-D_Emprunts!$W93</f>
        <v>-58712.899999999972</v>
      </c>
      <c r="Y93">
        <v>86</v>
      </c>
      <c r="Z93" t="str">
        <f t="shared" si="7"/>
        <v>Investissement</v>
      </c>
      <c r="AA93" t="str">
        <f t="shared" si="8"/>
        <v>travaux magasin</v>
      </c>
    </row>
    <row r="94" spans="20:27" x14ac:dyDescent="0.25">
      <c r="T94" s="155">
        <f t="shared" si="5"/>
        <v>46573</v>
      </c>
      <c r="U94" s="164">
        <f t="shared" si="6"/>
        <v>864.41</v>
      </c>
      <c r="V94" s="159">
        <f t="shared" si="9"/>
        <v>-173.21</v>
      </c>
      <c r="W94" s="156">
        <f>D_Emprunts!$U94-D_Emprunts!$V94</f>
        <v>1037.6199999999999</v>
      </c>
      <c r="X94" s="157">
        <f>X93-D_Emprunts!$W94</f>
        <v>-59750.519999999975</v>
      </c>
      <c r="Y94">
        <v>87</v>
      </c>
      <c r="Z94" t="str">
        <f t="shared" si="7"/>
        <v>Investissement</v>
      </c>
      <c r="AA94" t="str">
        <f t="shared" si="8"/>
        <v>travaux magasin</v>
      </c>
    </row>
    <row r="95" spans="20:27" x14ac:dyDescent="0.25">
      <c r="T95" s="158">
        <f t="shared" si="5"/>
        <v>46604</v>
      </c>
      <c r="U95" s="164">
        <f t="shared" si="6"/>
        <v>864.41</v>
      </c>
      <c r="V95" s="159">
        <f t="shared" si="9"/>
        <v>-176.27</v>
      </c>
      <c r="W95" s="159">
        <f>D_Emprunts!$U95-D_Emprunts!$V95</f>
        <v>1040.68</v>
      </c>
      <c r="X95" s="160">
        <f>X94-D_Emprunts!$W95</f>
        <v>-60791.199999999975</v>
      </c>
      <c r="Y95">
        <v>88</v>
      </c>
      <c r="Z95" t="str">
        <f t="shared" si="7"/>
        <v>Investissement</v>
      </c>
      <c r="AA95" t="str">
        <f t="shared" si="8"/>
        <v>travaux magasin</v>
      </c>
    </row>
    <row r="96" spans="20:27" x14ac:dyDescent="0.25">
      <c r="T96" s="155">
        <f t="shared" si="5"/>
        <v>46635</v>
      </c>
      <c r="U96" s="164">
        <f t="shared" si="6"/>
        <v>864.41</v>
      </c>
      <c r="V96" s="159">
        <f t="shared" si="9"/>
        <v>-179.34</v>
      </c>
      <c r="W96" s="156">
        <f>D_Emprunts!$U96-D_Emprunts!$V96</f>
        <v>1043.75</v>
      </c>
      <c r="X96" s="157">
        <f>X95-D_Emprunts!$W96</f>
        <v>-61834.949999999975</v>
      </c>
      <c r="Y96">
        <v>89</v>
      </c>
      <c r="Z96" t="str">
        <f t="shared" si="7"/>
        <v>Investissement</v>
      </c>
      <c r="AA96" t="str">
        <f t="shared" si="8"/>
        <v>travaux magasin</v>
      </c>
    </row>
    <row r="97" spans="20:27" x14ac:dyDescent="0.25">
      <c r="T97" s="158">
        <f t="shared" si="5"/>
        <v>46665</v>
      </c>
      <c r="U97" s="164">
        <f t="shared" si="6"/>
        <v>864.41</v>
      </c>
      <c r="V97" s="159">
        <f t="shared" si="9"/>
        <v>-182.42</v>
      </c>
      <c r="W97" s="159">
        <f>D_Emprunts!$U97-D_Emprunts!$V97</f>
        <v>1046.83</v>
      </c>
      <c r="X97" s="160">
        <f>X96-D_Emprunts!$W97</f>
        <v>-62881.779999999977</v>
      </c>
      <c r="Y97">
        <v>90</v>
      </c>
      <c r="Z97" t="str">
        <f t="shared" si="7"/>
        <v>Investissement</v>
      </c>
      <c r="AA97" t="str">
        <f t="shared" si="8"/>
        <v>travaux magasin</v>
      </c>
    </row>
    <row r="98" spans="20:27" x14ac:dyDescent="0.25">
      <c r="T98" s="155">
        <f t="shared" si="5"/>
        <v>46696</v>
      </c>
      <c r="U98" s="164">
        <f t="shared" si="6"/>
        <v>864.41</v>
      </c>
      <c r="V98" s="159">
        <f t="shared" si="9"/>
        <v>-185.5</v>
      </c>
      <c r="W98" s="156">
        <f>D_Emprunts!$U98-D_Emprunts!$V98</f>
        <v>1049.9099999999999</v>
      </c>
      <c r="X98" s="157">
        <f>X97-D_Emprunts!$W98</f>
        <v>-63931.689999999973</v>
      </c>
      <c r="Y98">
        <v>91</v>
      </c>
      <c r="Z98" t="str">
        <f t="shared" si="7"/>
        <v>Investissement</v>
      </c>
      <c r="AA98" t="str">
        <f t="shared" si="8"/>
        <v>travaux magasin</v>
      </c>
    </row>
    <row r="99" spans="20:27" x14ac:dyDescent="0.25">
      <c r="T99" s="158">
        <f t="shared" si="5"/>
        <v>46726</v>
      </c>
      <c r="U99" s="164">
        <f t="shared" si="6"/>
        <v>864.41</v>
      </c>
      <c r="V99" s="159">
        <f t="shared" si="9"/>
        <v>-188.6</v>
      </c>
      <c r="W99" s="159">
        <f>D_Emprunts!$U99-D_Emprunts!$V99</f>
        <v>1053.01</v>
      </c>
      <c r="X99" s="160">
        <f>X98-D_Emprunts!$W99</f>
        <v>-64984.699999999975</v>
      </c>
      <c r="Y99">
        <v>92</v>
      </c>
      <c r="Z99" t="str">
        <f t="shared" si="7"/>
        <v>Investissement</v>
      </c>
      <c r="AA99" t="str">
        <f t="shared" si="8"/>
        <v>travaux magasin</v>
      </c>
    </row>
    <row r="100" spans="20:27" x14ac:dyDescent="0.25">
      <c r="T100" s="155">
        <f t="shared" si="5"/>
        <v>46757</v>
      </c>
      <c r="U100" s="164">
        <f t="shared" si="6"/>
        <v>864.41</v>
      </c>
      <c r="V100" s="159">
        <f t="shared" si="9"/>
        <v>-191.71</v>
      </c>
      <c r="W100" s="156">
        <f>D_Emprunts!$U100-D_Emprunts!$V100</f>
        <v>1056.1199999999999</v>
      </c>
      <c r="X100" s="157">
        <f>X99-D_Emprunts!$W100</f>
        <v>-66040.819999999978</v>
      </c>
      <c r="Y100">
        <v>93</v>
      </c>
      <c r="Z100" t="str">
        <f t="shared" si="7"/>
        <v>Investissement</v>
      </c>
      <c r="AA100" t="str">
        <f t="shared" si="8"/>
        <v>travaux magasin</v>
      </c>
    </row>
    <row r="101" spans="20:27" x14ac:dyDescent="0.25">
      <c r="T101" s="158">
        <f t="shared" si="5"/>
        <v>46788</v>
      </c>
      <c r="U101" s="164">
        <f t="shared" si="6"/>
        <v>864.41</v>
      </c>
      <c r="V101" s="159">
        <f t="shared" si="9"/>
        <v>-194.82</v>
      </c>
      <c r="W101" s="159">
        <f>D_Emprunts!$U101-D_Emprunts!$V101</f>
        <v>1059.23</v>
      </c>
      <c r="X101" s="160">
        <f>X100-D_Emprunts!$W101</f>
        <v>-67100.049999999974</v>
      </c>
      <c r="Y101">
        <v>94</v>
      </c>
      <c r="Z101" t="str">
        <f t="shared" si="7"/>
        <v>Investissement</v>
      </c>
      <c r="AA101" t="str">
        <f t="shared" si="8"/>
        <v>travaux magasin</v>
      </c>
    </row>
    <row r="102" spans="20:27" x14ac:dyDescent="0.25">
      <c r="T102" s="155">
        <f t="shared" si="5"/>
        <v>46817</v>
      </c>
      <c r="U102" s="164">
        <f t="shared" si="6"/>
        <v>864.41</v>
      </c>
      <c r="V102" s="159">
        <f t="shared" si="9"/>
        <v>-197.95</v>
      </c>
      <c r="W102" s="156">
        <f>D_Emprunts!$U102-D_Emprunts!$V102</f>
        <v>1062.3599999999999</v>
      </c>
      <c r="X102" s="157">
        <f>X101-D_Emprunts!$W102</f>
        <v>-68162.409999999974</v>
      </c>
      <c r="Y102">
        <v>95</v>
      </c>
      <c r="Z102" t="str">
        <f t="shared" si="7"/>
        <v>Investissement</v>
      </c>
      <c r="AA102" t="str">
        <f t="shared" si="8"/>
        <v>travaux magasin</v>
      </c>
    </row>
    <row r="103" spans="20:27" x14ac:dyDescent="0.25">
      <c r="T103" s="158">
        <f t="shared" si="5"/>
        <v>46848</v>
      </c>
      <c r="U103" s="164">
        <f t="shared" si="6"/>
        <v>864.41</v>
      </c>
      <c r="V103" s="159">
        <f t="shared" si="9"/>
        <v>-201.08</v>
      </c>
      <c r="W103" s="159">
        <f>D_Emprunts!$U103-D_Emprunts!$V103</f>
        <v>1065.49</v>
      </c>
      <c r="X103" s="160">
        <f>X102-D_Emprunts!$W103</f>
        <v>-69227.89999999998</v>
      </c>
      <c r="Y103">
        <v>96</v>
      </c>
      <c r="Z103" t="str">
        <f t="shared" si="7"/>
        <v>Investissement</v>
      </c>
      <c r="AA103" t="str">
        <f t="shared" si="8"/>
        <v>travaux magasin</v>
      </c>
    </row>
    <row r="104" spans="20:27" x14ac:dyDescent="0.25">
      <c r="T104" s="155">
        <f t="shared" si="5"/>
        <v>46878</v>
      </c>
      <c r="U104" s="164">
        <f t="shared" si="6"/>
        <v>864.41</v>
      </c>
      <c r="V104" s="159">
        <f t="shared" si="9"/>
        <v>-204.23</v>
      </c>
      <c r="W104" s="156">
        <f>D_Emprunts!$U104-D_Emprunts!$V104</f>
        <v>1068.6399999999999</v>
      </c>
      <c r="X104" s="157">
        <f>X103-D_Emprunts!$W104</f>
        <v>-70296.539999999979</v>
      </c>
      <c r="Y104">
        <v>97</v>
      </c>
      <c r="Z104" t="str">
        <f t="shared" si="7"/>
        <v>Investissement</v>
      </c>
      <c r="AA104" t="str">
        <f t="shared" si="8"/>
        <v>travaux magasin</v>
      </c>
    </row>
    <row r="105" spans="20:27" x14ac:dyDescent="0.25">
      <c r="T105" s="158">
        <f t="shared" si="5"/>
        <v>46909</v>
      </c>
      <c r="U105" s="164">
        <f t="shared" si="6"/>
        <v>864.41</v>
      </c>
      <c r="V105" s="159">
        <f t="shared" si="9"/>
        <v>-207.38</v>
      </c>
      <c r="W105" s="159">
        <f>D_Emprunts!$U105-D_Emprunts!$V105</f>
        <v>1071.79</v>
      </c>
      <c r="X105" s="160">
        <f>X104-D_Emprunts!$W105</f>
        <v>-71368.329999999973</v>
      </c>
      <c r="Y105">
        <v>98</v>
      </c>
      <c r="Z105" t="str">
        <f t="shared" si="7"/>
        <v>Investissement</v>
      </c>
      <c r="AA105" t="str">
        <f t="shared" si="8"/>
        <v>travaux magasin</v>
      </c>
    </row>
    <row r="106" spans="20:27" x14ac:dyDescent="0.25">
      <c r="T106" s="155">
        <f t="shared" si="5"/>
        <v>46939</v>
      </c>
      <c r="U106" s="164">
        <f t="shared" si="6"/>
        <v>864.41</v>
      </c>
      <c r="V106" s="159">
        <f t="shared" si="9"/>
        <v>-210.54</v>
      </c>
      <c r="W106" s="156">
        <f>D_Emprunts!$U106-D_Emprunts!$V106</f>
        <v>1074.95</v>
      </c>
      <c r="X106" s="157">
        <f>X105-D_Emprunts!$W106</f>
        <v>-72443.27999999997</v>
      </c>
      <c r="Y106">
        <v>99</v>
      </c>
      <c r="Z106" t="str">
        <f t="shared" si="7"/>
        <v>Investissement</v>
      </c>
      <c r="AA106" t="str">
        <f t="shared" si="8"/>
        <v>travaux magasin</v>
      </c>
    </row>
    <row r="107" spans="20:27" x14ac:dyDescent="0.25">
      <c r="T107" s="158">
        <f t="shared" si="5"/>
        <v>46970</v>
      </c>
      <c r="U107" s="164">
        <f t="shared" si="6"/>
        <v>864.41</v>
      </c>
      <c r="V107" s="159">
        <f t="shared" si="9"/>
        <v>-213.71</v>
      </c>
      <c r="W107" s="159">
        <f>D_Emprunts!$U107-D_Emprunts!$V107</f>
        <v>1078.1199999999999</v>
      </c>
      <c r="X107" s="160">
        <f>X106-D_Emprunts!$W107</f>
        <v>-73521.399999999965</v>
      </c>
      <c r="Y107">
        <v>100</v>
      </c>
      <c r="Z107" t="str">
        <f t="shared" si="7"/>
        <v>Investissement</v>
      </c>
      <c r="AA107" t="str">
        <f t="shared" si="8"/>
        <v>travaux magasin</v>
      </c>
    </row>
    <row r="108" spans="20:27" x14ac:dyDescent="0.25">
      <c r="T108" s="155">
        <f t="shared" si="5"/>
        <v>47001</v>
      </c>
      <c r="U108" s="164">
        <f t="shared" si="6"/>
        <v>864.41</v>
      </c>
      <c r="V108" s="159">
        <f t="shared" si="9"/>
        <v>-216.89</v>
      </c>
      <c r="W108" s="156">
        <f>D_Emprunts!$U108-D_Emprunts!$V108</f>
        <v>1081.3</v>
      </c>
      <c r="X108" s="157">
        <f>X107-D_Emprunts!$W108</f>
        <v>-74602.699999999968</v>
      </c>
      <c r="Y108">
        <v>101</v>
      </c>
      <c r="Z108" t="str">
        <f t="shared" si="7"/>
        <v>Investissement</v>
      </c>
      <c r="AA108" t="str">
        <f t="shared" si="8"/>
        <v>travaux magasin</v>
      </c>
    </row>
    <row r="109" spans="20:27" x14ac:dyDescent="0.25">
      <c r="T109" s="158">
        <f t="shared" si="5"/>
        <v>47031</v>
      </c>
      <c r="U109" s="164">
        <f t="shared" si="6"/>
        <v>864.41</v>
      </c>
      <c r="V109" s="159">
        <f t="shared" si="9"/>
        <v>-220.08</v>
      </c>
      <c r="W109" s="159">
        <f>D_Emprunts!$U109-D_Emprunts!$V109</f>
        <v>1084.49</v>
      </c>
      <c r="X109" s="160">
        <f>X108-D_Emprunts!$W109</f>
        <v>-75687.189999999973</v>
      </c>
      <c r="Y109">
        <v>102</v>
      </c>
      <c r="Z109" t="str">
        <f t="shared" si="7"/>
        <v>Investissement</v>
      </c>
      <c r="AA109" t="str">
        <f t="shared" si="8"/>
        <v>travaux magasin</v>
      </c>
    </row>
    <row r="110" spans="20:27" x14ac:dyDescent="0.25">
      <c r="T110" s="155">
        <f t="shared" si="5"/>
        <v>47062</v>
      </c>
      <c r="U110" s="164">
        <f t="shared" si="6"/>
        <v>864.41</v>
      </c>
      <c r="V110" s="159">
        <f t="shared" si="9"/>
        <v>-223.28</v>
      </c>
      <c r="W110" s="156">
        <f>D_Emprunts!$U110-D_Emprunts!$V110</f>
        <v>1087.69</v>
      </c>
      <c r="X110" s="157">
        <f>X109-D_Emprunts!$W110</f>
        <v>-76774.879999999976</v>
      </c>
      <c r="Y110">
        <v>103</v>
      </c>
      <c r="Z110" t="str">
        <f t="shared" si="7"/>
        <v>Investissement</v>
      </c>
      <c r="AA110" t="str">
        <f t="shared" si="8"/>
        <v>travaux magasin</v>
      </c>
    </row>
    <row r="111" spans="20:27" x14ac:dyDescent="0.25">
      <c r="T111" s="158">
        <f t="shared" si="5"/>
        <v>47092</v>
      </c>
      <c r="U111" s="164">
        <f t="shared" si="6"/>
        <v>864.41</v>
      </c>
      <c r="V111" s="159">
        <f t="shared" si="9"/>
        <v>-226.49</v>
      </c>
      <c r="W111" s="159">
        <f>D_Emprunts!$U111-D_Emprunts!$V111</f>
        <v>1090.9000000000001</v>
      </c>
      <c r="X111" s="160">
        <f>X110-D_Emprunts!$W111</f>
        <v>-77865.77999999997</v>
      </c>
      <c r="Y111">
        <v>104</v>
      </c>
      <c r="Z111" t="str">
        <f t="shared" si="7"/>
        <v>Investissement</v>
      </c>
      <c r="AA111" t="str">
        <f t="shared" si="8"/>
        <v>travaux magasin</v>
      </c>
    </row>
    <row r="112" spans="20:27" x14ac:dyDescent="0.25">
      <c r="T112" s="155">
        <f t="shared" si="5"/>
        <v>47123</v>
      </c>
      <c r="U112" s="164">
        <f t="shared" si="6"/>
        <v>864.41</v>
      </c>
      <c r="V112" s="159">
        <f t="shared" si="9"/>
        <v>-229.71</v>
      </c>
      <c r="W112" s="156">
        <f>D_Emprunts!$U112-D_Emprunts!$V112</f>
        <v>1094.1199999999999</v>
      </c>
      <c r="X112" s="157">
        <f>X111-D_Emprunts!$W112</f>
        <v>-78959.899999999965</v>
      </c>
      <c r="Y112">
        <v>105</v>
      </c>
      <c r="Z112" t="str">
        <f t="shared" si="7"/>
        <v>Investissement</v>
      </c>
      <c r="AA112" t="str">
        <f t="shared" si="8"/>
        <v>travaux magasin</v>
      </c>
    </row>
    <row r="113" spans="20:27" x14ac:dyDescent="0.25">
      <c r="T113" s="158">
        <f t="shared" si="5"/>
        <v>47154</v>
      </c>
      <c r="U113" s="164">
        <f t="shared" si="6"/>
        <v>864.41</v>
      </c>
      <c r="V113" s="159">
        <f t="shared" si="9"/>
        <v>-232.94</v>
      </c>
      <c r="W113" s="159">
        <f>D_Emprunts!$U113-D_Emprunts!$V113</f>
        <v>1097.3499999999999</v>
      </c>
      <c r="X113" s="160">
        <f>X112-D_Emprunts!$W113</f>
        <v>-80057.249999999971</v>
      </c>
      <c r="Y113">
        <v>106</v>
      </c>
      <c r="Z113" t="str">
        <f t="shared" si="7"/>
        <v>Investissement</v>
      </c>
      <c r="AA113" t="str">
        <f t="shared" si="8"/>
        <v>travaux magasin</v>
      </c>
    </row>
    <row r="114" spans="20:27" x14ac:dyDescent="0.25">
      <c r="T114" s="155">
        <f t="shared" si="5"/>
        <v>47182</v>
      </c>
      <c r="U114" s="164">
        <f t="shared" si="6"/>
        <v>864.41</v>
      </c>
      <c r="V114" s="159">
        <f t="shared" si="9"/>
        <v>-236.17</v>
      </c>
      <c r="W114" s="156">
        <f>D_Emprunts!$U114-D_Emprunts!$V114</f>
        <v>1100.58</v>
      </c>
      <c r="X114" s="157">
        <f>X113-D_Emprunts!$W114</f>
        <v>-81157.829999999973</v>
      </c>
      <c r="Y114">
        <v>107</v>
      </c>
      <c r="Z114" t="str">
        <f t="shared" si="7"/>
        <v>Investissement</v>
      </c>
      <c r="AA114" t="str">
        <f t="shared" si="8"/>
        <v>travaux magasin</v>
      </c>
    </row>
    <row r="115" spans="20:27" x14ac:dyDescent="0.25">
      <c r="T115" s="158">
        <f t="shared" si="5"/>
        <v>47213</v>
      </c>
      <c r="U115" s="164">
        <f t="shared" si="6"/>
        <v>864.41</v>
      </c>
      <c r="V115" s="159">
        <f t="shared" si="9"/>
        <v>-239.42</v>
      </c>
      <c r="W115" s="159">
        <f>D_Emprunts!$U115-D_Emprunts!$V115</f>
        <v>1103.83</v>
      </c>
      <c r="X115" s="160">
        <f>X114-D_Emprunts!$W115</f>
        <v>-82261.659999999974</v>
      </c>
      <c r="Y115">
        <v>108</v>
      </c>
      <c r="Z115" t="str">
        <f t="shared" si="7"/>
        <v>Investissement</v>
      </c>
      <c r="AA115" t="str">
        <f t="shared" si="8"/>
        <v>travaux magasin</v>
      </c>
    </row>
    <row r="116" spans="20:27" x14ac:dyDescent="0.25">
      <c r="T116" s="155">
        <f t="shared" si="5"/>
        <v>47243</v>
      </c>
      <c r="U116" s="164">
        <f t="shared" si="6"/>
        <v>864.41</v>
      </c>
      <c r="V116" s="159">
        <f t="shared" si="9"/>
        <v>-242.68</v>
      </c>
      <c r="W116" s="156">
        <f>D_Emprunts!$U116-D_Emprunts!$V116</f>
        <v>1107.0899999999999</v>
      </c>
      <c r="X116" s="157">
        <f>X115-D_Emprunts!$W116</f>
        <v>-83368.749999999971</v>
      </c>
      <c r="Y116">
        <v>109</v>
      </c>
      <c r="Z116" t="str">
        <f t="shared" si="7"/>
        <v>Investissement</v>
      </c>
      <c r="AA116" t="str">
        <f t="shared" si="8"/>
        <v>travaux magasin</v>
      </c>
    </row>
    <row r="117" spans="20:27" x14ac:dyDescent="0.25">
      <c r="T117" s="158">
        <f t="shared" si="5"/>
        <v>47274</v>
      </c>
      <c r="U117" s="164">
        <f t="shared" si="6"/>
        <v>864.41</v>
      </c>
      <c r="V117" s="159">
        <f t="shared" si="9"/>
        <v>-245.94</v>
      </c>
      <c r="W117" s="159">
        <f>D_Emprunts!$U117-D_Emprunts!$V117</f>
        <v>1110.3499999999999</v>
      </c>
      <c r="X117" s="160">
        <f>X116-D_Emprunts!$W117</f>
        <v>-84479.099999999977</v>
      </c>
      <c r="Y117">
        <v>110</v>
      </c>
      <c r="Z117" t="str">
        <f t="shared" si="7"/>
        <v>Investissement</v>
      </c>
      <c r="AA117" t="str">
        <f t="shared" si="8"/>
        <v>travaux magasin</v>
      </c>
    </row>
    <row r="118" spans="20:27" x14ac:dyDescent="0.25">
      <c r="T118" s="155">
        <f t="shared" si="5"/>
        <v>47304</v>
      </c>
      <c r="U118" s="164">
        <f t="shared" si="6"/>
        <v>864.41</v>
      </c>
      <c r="V118" s="159">
        <f t="shared" si="9"/>
        <v>-249.22</v>
      </c>
      <c r="W118" s="156">
        <f>D_Emprunts!$U118-D_Emprunts!$V118</f>
        <v>1113.6299999999999</v>
      </c>
      <c r="X118" s="157">
        <f>X117-D_Emprunts!$W118</f>
        <v>-85592.729999999981</v>
      </c>
      <c r="Y118">
        <v>111</v>
      </c>
      <c r="Z118" t="str">
        <f t="shared" si="7"/>
        <v>Investissement</v>
      </c>
      <c r="AA118" t="str">
        <f t="shared" si="8"/>
        <v>travaux magasin</v>
      </c>
    </row>
    <row r="119" spans="20:27" x14ac:dyDescent="0.25">
      <c r="T119" s="158">
        <f t="shared" si="5"/>
        <v>47335</v>
      </c>
      <c r="U119" s="164">
        <f t="shared" si="6"/>
        <v>864.41</v>
      </c>
      <c r="V119" s="159">
        <f t="shared" si="9"/>
        <v>-252.5</v>
      </c>
      <c r="W119" s="159">
        <f>D_Emprunts!$U119-D_Emprunts!$V119</f>
        <v>1116.9099999999999</v>
      </c>
      <c r="X119" s="160">
        <f>X118-D_Emprunts!$W119</f>
        <v>-86709.639999999985</v>
      </c>
      <c r="Y119">
        <v>112</v>
      </c>
      <c r="Z119" t="str">
        <f t="shared" si="7"/>
        <v>Investissement</v>
      </c>
      <c r="AA119" t="str">
        <f t="shared" si="8"/>
        <v>travaux magasin</v>
      </c>
    </row>
    <row r="120" spans="20:27" x14ac:dyDescent="0.25">
      <c r="T120" s="155">
        <f t="shared" si="5"/>
        <v>47366</v>
      </c>
      <c r="U120" s="164">
        <f t="shared" si="6"/>
        <v>864.41</v>
      </c>
      <c r="V120" s="159">
        <f t="shared" si="9"/>
        <v>-255.8</v>
      </c>
      <c r="W120" s="156">
        <f>D_Emprunts!$U120-D_Emprunts!$V120</f>
        <v>1120.21</v>
      </c>
      <c r="X120" s="157">
        <f>X119-D_Emprunts!$W120</f>
        <v>-87829.849999999991</v>
      </c>
      <c r="Y120">
        <v>113</v>
      </c>
      <c r="Z120" t="str">
        <f t="shared" si="7"/>
        <v>Investissement</v>
      </c>
      <c r="AA120" t="str">
        <f t="shared" si="8"/>
        <v>travaux magasin</v>
      </c>
    </row>
    <row r="121" spans="20:27" x14ac:dyDescent="0.25">
      <c r="T121" s="158">
        <f t="shared" si="5"/>
        <v>47396</v>
      </c>
      <c r="U121" s="164">
        <f t="shared" si="6"/>
        <v>864.41</v>
      </c>
      <c r="V121" s="159">
        <f t="shared" si="9"/>
        <v>-259.10000000000002</v>
      </c>
      <c r="W121" s="159">
        <f>D_Emprunts!$U121-D_Emprunts!$V121</f>
        <v>1123.51</v>
      </c>
      <c r="X121" s="160">
        <f>X120-D_Emprunts!$W121</f>
        <v>-88953.359999999986</v>
      </c>
      <c r="Y121">
        <v>114</v>
      </c>
      <c r="Z121" t="str">
        <f t="shared" si="7"/>
        <v>Investissement</v>
      </c>
      <c r="AA121" t="str">
        <f t="shared" si="8"/>
        <v>travaux magasin</v>
      </c>
    </row>
    <row r="122" spans="20:27" x14ac:dyDescent="0.25">
      <c r="T122" s="155">
        <f t="shared" si="5"/>
        <v>47427</v>
      </c>
      <c r="U122" s="164">
        <f t="shared" si="6"/>
        <v>864.41</v>
      </c>
      <c r="V122" s="159">
        <f t="shared" si="9"/>
        <v>-262.42</v>
      </c>
      <c r="W122" s="156">
        <f>D_Emprunts!$U122-D_Emprunts!$V122</f>
        <v>1126.83</v>
      </c>
      <c r="X122" s="157">
        <f>X121-D_Emprunts!$W122</f>
        <v>-90080.189999999988</v>
      </c>
      <c r="Y122">
        <v>115</v>
      </c>
      <c r="Z122" t="str">
        <f t="shared" si="7"/>
        <v>Investissement</v>
      </c>
      <c r="AA122" t="str">
        <f t="shared" si="8"/>
        <v>travaux magasin</v>
      </c>
    </row>
    <row r="123" spans="20:27" x14ac:dyDescent="0.25">
      <c r="T123" s="158">
        <f t="shared" si="5"/>
        <v>47457</v>
      </c>
      <c r="U123" s="164">
        <f t="shared" si="6"/>
        <v>864.41</v>
      </c>
      <c r="V123" s="159">
        <f t="shared" si="9"/>
        <v>-265.74</v>
      </c>
      <c r="W123" s="159">
        <f>D_Emprunts!$U123-D_Emprunts!$V123</f>
        <v>1130.1500000000001</v>
      </c>
      <c r="X123" s="160">
        <f>X122-D_Emprunts!$W123</f>
        <v>-91210.339999999982</v>
      </c>
      <c r="Y123">
        <v>116</v>
      </c>
      <c r="Z123" t="str">
        <f t="shared" si="7"/>
        <v>Investissement</v>
      </c>
      <c r="AA123" t="str">
        <f t="shared" si="8"/>
        <v>travaux magasin</v>
      </c>
    </row>
    <row r="124" spans="20:27" x14ac:dyDescent="0.25">
      <c r="T124" s="155">
        <f t="shared" si="5"/>
        <v>47488</v>
      </c>
      <c r="U124" s="164">
        <f t="shared" si="6"/>
        <v>864.41</v>
      </c>
      <c r="V124" s="159">
        <f t="shared" si="9"/>
        <v>-269.08</v>
      </c>
      <c r="W124" s="156">
        <f>D_Emprunts!$U124-D_Emprunts!$V124</f>
        <v>1133.49</v>
      </c>
      <c r="X124" s="157">
        <f>X123-D_Emprunts!$W124</f>
        <v>-92343.829999999987</v>
      </c>
      <c r="Y124">
        <v>117</v>
      </c>
      <c r="Z124" t="str">
        <f t="shared" si="7"/>
        <v>Investissement</v>
      </c>
      <c r="AA124" t="str">
        <f t="shared" si="8"/>
        <v>travaux magasin</v>
      </c>
    </row>
    <row r="125" spans="20:27" x14ac:dyDescent="0.25">
      <c r="T125" s="158">
        <f t="shared" si="5"/>
        <v>47519</v>
      </c>
      <c r="U125" s="164">
        <f t="shared" si="6"/>
        <v>864.41</v>
      </c>
      <c r="V125" s="159">
        <f t="shared" si="9"/>
        <v>-272.42</v>
      </c>
      <c r="W125" s="159">
        <f>D_Emprunts!$U125-D_Emprunts!$V125</f>
        <v>1136.83</v>
      </c>
      <c r="X125" s="160">
        <f>X124-D_Emprunts!$W125</f>
        <v>-93480.659999999989</v>
      </c>
      <c r="Y125">
        <v>118</v>
      </c>
      <c r="Z125" t="str">
        <f t="shared" si="7"/>
        <v>Investissement</v>
      </c>
      <c r="AA125" t="str">
        <f t="shared" si="8"/>
        <v>travaux magasin</v>
      </c>
    </row>
    <row r="126" spans="20:27" x14ac:dyDescent="0.25">
      <c r="T126" s="155">
        <f t="shared" si="5"/>
        <v>47547</v>
      </c>
      <c r="U126" s="164">
        <f t="shared" si="6"/>
        <v>864.41</v>
      </c>
      <c r="V126" s="159">
        <f t="shared" si="9"/>
        <v>-275.77</v>
      </c>
      <c r="W126" s="156">
        <f>D_Emprunts!$U126-D_Emprunts!$V126</f>
        <v>1140.1799999999998</v>
      </c>
      <c r="X126" s="157">
        <f>X125-D_Emprunts!$W126</f>
        <v>-94620.839999999982</v>
      </c>
      <c r="Y126">
        <v>119</v>
      </c>
      <c r="Z126" t="str">
        <f t="shared" si="7"/>
        <v>Investissement</v>
      </c>
      <c r="AA126" t="str">
        <f t="shared" si="8"/>
        <v>travaux magasin</v>
      </c>
    </row>
    <row r="127" spans="20:27" x14ac:dyDescent="0.25">
      <c r="T127" s="158">
        <f t="shared" si="5"/>
        <v>47578</v>
      </c>
      <c r="U127" s="164">
        <f t="shared" si="6"/>
        <v>864.41</v>
      </c>
      <c r="V127" s="159">
        <f t="shared" si="9"/>
        <v>-279.14</v>
      </c>
      <c r="W127" s="159">
        <f>D_Emprunts!$U127-D_Emprunts!$V127</f>
        <v>1143.55</v>
      </c>
      <c r="X127" s="160">
        <f>X126-D_Emprunts!$W127</f>
        <v>-95764.389999999985</v>
      </c>
      <c r="Y127">
        <v>120</v>
      </c>
      <c r="Z127" t="str">
        <f t="shared" si="7"/>
        <v>Investissement</v>
      </c>
      <c r="AA127" t="str">
        <f t="shared" si="8"/>
        <v>travaux magasin</v>
      </c>
    </row>
    <row r="128" spans="20:27" x14ac:dyDescent="0.25">
      <c r="T128" s="155">
        <f t="shared" si="5"/>
        <v>47608</v>
      </c>
      <c r="U128" s="164">
        <f t="shared" si="6"/>
        <v>864.41</v>
      </c>
      <c r="V128" s="159">
        <f t="shared" si="9"/>
        <v>-282.51</v>
      </c>
      <c r="W128" s="156">
        <f>D_Emprunts!$U128-D_Emprunts!$V128</f>
        <v>1146.92</v>
      </c>
      <c r="X128" s="157">
        <f>X127-D_Emprunts!$W128</f>
        <v>-96911.309999999983</v>
      </c>
      <c r="Y128">
        <v>121</v>
      </c>
      <c r="Z128" t="str">
        <f t="shared" si="7"/>
        <v>Investissement</v>
      </c>
      <c r="AA128" t="str">
        <f t="shared" si="8"/>
        <v>travaux magasin</v>
      </c>
    </row>
    <row r="129" spans="20:27" x14ac:dyDescent="0.25">
      <c r="T129" s="158">
        <f t="shared" si="5"/>
        <v>47639</v>
      </c>
      <c r="U129" s="164">
        <f t="shared" si="6"/>
        <v>864.41</v>
      </c>
      <c r="V129" s="159">
        <f t="shared" si="9"/>
        <v>-285.89</v>
      </c>
      <c r="W129" s="159">
        <f>D_Emprunts!$U129-D_Emprunts!$V129</f>
        <v>1150.3</v>
      </c>
      <c r="X129" s="160">
        <f>X128-D_Emprunts!$W129</f>
        <v>-98061.609999999986</v>
      </c>
      <c r="Y129">
        <v>122</v>
      </c>
      <c r="Z129" t="str">
        <f t="shared" si="7"/>
        <v>Investissement</v>
      </c>
      <c r="AA129" t="str">
        <f t="shared" si="8"/>
        <v>travaux magasin</v>
      </c>
    </row>
    <row r="130" spans="20:27" x14ac:dyDescent="0.25">
      <c r="T130" s="155">
        <f t="shared" si="5"/>
        <v>47669</v>
      </c>
      <c r="U130" s="164">
        <f t="shared" si="6"/>
        <v>864.41</v>
      </c>
      <c r="V130" s="159">
        <f t="shared" si="9"/>
        <v>-289.29000000000002</v>
      </c>
      <c r="W130" s="156">
        <f>D_Emprunts!$U130-D_Emprunts!$V130</f>
        <v>1153.7</v>
      </c>
      <c r="X130" s="157">
        <f>X129-D_Emprunts!$W130</f>
        <v>-99215.309999999983</v>
      </c>
      <c r="Y130">
        <v>123</v>
      </c>
      <c r="Z130" t="str">
        <f t="shared" si="7"/>
        <v>Investissement</v>
      </c>
      <c r="AA130" t="str">
        <f t="shared" si="8"/>
        <v>travaux magasin</v>
      </c>
    </row>
    <row r="131" spans="20:27" x14ac:dyDescent="0.25">
      <c r="T131" s="158">
        <f t="shared" si="5"/>
        <v>47700</v>
      </c>
      <c r="U131" s="164">
        <f t="shared" si="6"/>
        <v>864.41</v>
      </c>
      <c r="V131" s="159">
        <f t="shared" si="9"/>
        <v>-292.69</v>
      </c>
      <c r="W131" s="159">
        <f>D_Emprunts!$U131-D_Emprunts!$V131</f>
        <v>1157.0999999999999</v>
      </c>
      <c r="X131" s="160">
        <f>X130-D_Emprunts!$W131</f>
        <v>-100372.40999999999</v>
      </c>
      <c r="Y131">
        <v>124</v>
      </c>
      <c r="Z131" t="str">
        <f t="shared" si="7"/>
        <v>Investissement</v>
      </c>
      <c r="AA131" t="str">
        <f t="shared" si="8"/>
        <v>travaux magasin</v>
      </c>
    </row>
    <row r="132" spans="20:27" x14ac:dyDescent="0.25">
      <c r="T132" s="155">
        <f t="shared" si="5"/>
        <v>47731</v>
      </c>
      <c r="U132" s="164">
        <f t="shared" si="6"/>
        <v>864.41</v>
      </c>
      <c r="V132" s="159">
        <f t="shared" si="9"/>
        <v>-296.10000000000002</v>
      </c>
      <c r="W132" s="156">
        <f>D_Emprunts!$U132-D_Emprunts!$V132</f>
        <v>1160.51</v>
      </c>
      <c r="X132" s="157">
        <f>X131-D_Emprunts!$W132</f>
        <v>-101532.91999999998</v>
      </c>
      <c r="Y132">
        <v>125</v>
      </c>
      <c r="Z132" t="str">
        <f t="shared" si="7"/>
        <v>Investissement</v>
      </c>
      <c r="AA132" t="str">
        <f t="shared" si="8"/>
        <v>travaux magasin</v>
      </c>
    </row>
    <row r="133" spans="20:27" x14ac:dyDescent="0.25">
      <c r="T133" s="158">
        <f t="shared" si="5"/>
        <v>47761</v>
      </c>
      <c r="U133" s="164">
        <f t="shared" si="6"/>
        <v>864.41</v>
      </c>
      <c r="V133" s="159">
        <f t="shared" si="9"/>
        <v>-299.52999999999997</v>
      </c>
      <c r="W133" s="159">
        <f>D_Emprunts!$U133-D_Emprunts!$V133</f>
        <v>1163.94</v>
      </c>
      <c r="X133" s="160">
        <f>X132-D_Emprunts!$W133</f>
        <v>-102696.85999999999</v>
      </c>
      <c r="Y133">
        <v>126</v>
      </c>
      <c r="Z133" t="str">
        <f t="shared" si="7"/>
        <v>Investissement</v>
      </c>
      <c r="AA133" t="str">
        <f t="shared" si="8"/>
        <v>travaux magasin</v>
      </c>
    </row>
    <row r="134" spans="20:27" x14ac:dyDescent="0.25">
      <c r="T134" s="155">
        <f t="shared" si="5"/>
        <v>47792</v>
      </c>
      <c r="U134" s="164">
        <f t="shared" si="6"/>
        <v>864.41</v>
      </c>
      <c r="V134" s="159">
        <f t="shared" si="9"/>
        <v>-302.95999999999998</v>
      </c>
      <c r="W134" s="156">
        <f>D_Emprunts!$U134-D_Emprunts!$V134</f>
        <v>1167.3699999999999</v>
      </c>
      <c r="X134" s="157">
        <f>X133-D_Emprunts!$W134</f>
        <v>-103864.22999999998</v>
      </c>
      <c r="Y134">
        <v>127</v>
      </c>
      <c r="Z134" t="str">
        <f t="shared" si="7"/>
        <v>Investissement</v>
      </c>
      <c r="AA134" t="str">
        <f t="shared" si="8"/>
        <v>travaux magasin</v>
      </c>
    </row>
    <row r="135" spans="20:27" x14ac:dyDescent="0.25">
      <c r="T135" s="158">
        <f t="shared" si="5"/>
        <v>47822</v>
      </c>
      <c r="U135" s="164">
        <f t="shared" si="6"/>
        <v>864.41</v>
      </c>
      <c r="V135" s="159">
        <f t="shared" si="9"/>
        <v>-306.39999999999998</v>
      </c>
      <c r="W135" s="159">
        <f>D_Emprunts!$U135-D_Emprunts!$V135</f>
        <v>1170.81</v>
      </c>
      <c r="X135" s="160">
        <f>X134-D_Emprunts!$W135</f>
        <v>-105035.03999999998</v>
      </c>
      <c r="Y135">
        <v>128</v>
      </c>
      <c r="Z135" t="str">
        <f t="shared" si="7"/>
        <v>Investissement</v>
      </c>
      <c r="AA135" t="str">
        <f t="shared" si="8"/>
        <v>travaux magasin</v>
      </c>
    </row>
    <row r="136" spans="20:27" x14ac:dyDescent="0.25">
      <c r="T136" s="155">
        <f t="shared" ref="T136:T199" si="10">EDATE(T135,1)</f>
        <v>47853</v>
      </c>
      <c r="U136" s="164">
        <f t="shared" si="6"/>
        <v>864.41</v>
      </c>
      <c r="V136" s="159">
        <f t="shared" si="9"/>
        <v>-309.86</v>
      </c>
      <c r="W136" s="156">
        <f>D_Emprunts!$U136-D_Emprunts!$V136</f>
        <v>1174.27</v>
      </c>
      <c r="X136" s="157">
        <f>X135-D_Emprunts!$W136</f>
        <v>-106209.30999999998</v>
      </c>
      <c r="Y136">
        <v>129</v>
      </c>
      <c r="Z136" t="str">
        <f t="shared" si="7"/>
        <v>Investissement</v>
      </c>
      <c r="AA136" t="str">
        <f t="shared" si="8"/>
        <v>travaux magasin</v>
      </c>
    </row>
    <row r="137" spans="20:27" x14ac:dyDescent="0.25">
      <c r="T137" s="158">
        <f t="shared" si="10"/>
        <v>47884</v>
      </c>
      <c r="U137" s="164">
        <f t="shared" ref="U137:U200" si="11">$X$4</f>
        <v>864.41</v>
      </c>
      <c r="V137" s="159">
        <f t="shared" si="9"/>
        <v>-313.32</v>
      </c>
      <c r="W137" s="159">
        <f>D_Emprunts!$U137-D_Emprunts!$V137</f>
        <v>1177.73</v>
      </c>
      <c r="X137" s="160">
        <f>X136-D_Emprunts!$W137</f>
        <v>-107387.03999999998</v>
      </c>
      <c r="Y137">
        <v>130</v>
      </c>
      <c r="Z137" t="str">
        <f t="shared" ref="Z137:Z200" si="12">$Y$4</f>
        <v>Investissement</v>
      </c>
      <c r="AA137" t="str">
        <f t="shared" ref="AA137:AA200" si="13">$Z$4</f>
        <v>travaux magasin</v>
      </c>
    </row>
    <row r="138" spans="20:27" x14ac:dyDescent="0.25">
      <c r="T138" s="155">
        <f t="shared" si="10"/>
        <v>47912</v>
      </c>
      <c r="U138" s="164">
        <f t="shared" si="11"/>
        <v>864.41</v>
      </c>
      <c r="V138" s="159">
        <f t="shared" ref="V138:V201" si="14">ROUND(X137*$V$4/12,2)</f>
        <v>-316.8</v>
      </c>
      <c r="W138" s="156">
        <f>D_Emprunts!$U138-D_Emprunts!$V138</f>
        <v>1181.21</v>
      </c>
      <c r="X138" s="157">
        <f>X137-D_Emprunts!$W138</f>
        <v>-108568.24999999999</v>
      </c>
      <c r="Y138">
        <v>131</v>
      </c>
      <c r="Z138" t="str">
        <f t="shared" si="12"/>
        <v>Investissement</v>
      </c>
      <c r="AA138" t="str">
        <f t="shared" si="13"/>
        <v>travaux magasin</v>
      </c>
    </row>
    <row r="139" spans="20:27" x14ac:dyDescent="0.25">
      <c r="T139" s="158">
        <f t="shared" si="10"/>
        <v>47943</v>
      </c>
      <c r="U139" s="164">
        <f t="shared" si="11"/>
        <v>864.41</v>
      </c>
      <c r="V139" s="159">
        <f t="shared" si="14"/>
        <v>-320.27999999999997</v>
      </c>
      <c r="W139" s="159">
        <f>D_Emprunts!$U139-D_Emprunts!$V139</f>
        <v>1184.69</v>
      </c>
      <c r="X139" s="160">
        <f>X138-D_Emprunts!$W139</f>
        <v>-109752.93999999999</v>
      </c>
      <c r="Y139">
        <v>132</v>
      </c>
      <c r="Z139" t="str">
        <f t="shared" si="12"/>
        <v>Investissement</v>
      </c>
      <c r="AA139" t="str">
        <f t="shared" si="13"/>
        <v>travaux magasin</v>
      </c>
    </row>
    <row r="140" spans="20:27" x14ac:dyDescent="0.25">
      <c r="T140" s="155">
        <f t="shared" si="10"/>
        <v>47973</v>
      </c>
      <c r="U140" s="164">
        <f t="shared" si="11"/>
        <v>864.41</v>
      </c>
      <c r="V140" s="159">
        <f t="shared" si="14"/>
        <v>-323.77999999999997</v>
      </c>
      <c r="W140" s="156">
        <f>D_Emprunts!$U140-D_Emprunts!$V140</f>
        <v>1188.19</v>
      </c>
      <c r="X140" s="157">
        <f>X139-D_Emprunts!$W140</f>
        <v>-110941.12999999999</v>
      </c>
      <c r="Y140">
        <v>133</v>
      </c>
      <c r="Z140" t="str">
        <f t="shared" si="12"/>
        <v>Investissement</v>
      </c>
      <c r="AA140" t="str">
        <f t="shared" si="13"/>
        <v>travaux magasin</v>
      </c>
    </row>
    <row r="141" spans="20:27" x14ac:dyDescent="0.25">
      <c r="T141" s="158">
        <f t="shared" si="10"/>
        <v>48004</v>
      </c>
      <c r="U141" s="164">
        <f t="shared" si="11"/>
        <v>864.41</v>
      </c>
      <c r="V141" s="159">
        <f t="shared" si="14"/>
        <v>-327.27999999999997</v>
      </c>
      <c r="W141" s="159">
        <f>D_Emprunts!$U141-D_Emprunts!$V141</f>
        <v>1191.69</v>
      </c>
      <c r="X141" s="160">
        <f>X140-D_Emprunts!$W141</f>
        <v>-112132.81999999999</v>
      </c>
      <c r="Y141">
        <v>134</v>
      </c>
      <c r="Z141" t="str">
        <f t="shared" si="12"/>
        <v>Investissement</v>
      </c>
      <c r="AA141" t="str">
        <f t="shared" si="13"/>
        <v>travaux magasin</v>
      </c>
    </row>
    <row r="142" spans="20:27" x14ac:dyDescent="0.25">
      <c r="T142" s="155">
        <f t="shared" si="10"/>
        <v>48034</v>
      </c>
      <c r="U142" s="164">
        <f t="shared" si="11"/>
        <v>864.41</v>
      </c>
      <c r="V142" s="159">
        <f t="shared" si="14"/>
        <v>-330.8</v>
      </c>
      <c r="W142" s="156">
        <f>D_Emprunts!$U142-D_Emprunts!$V142</f>
        <v>1195.21</v>
      </c>
      <c r="X142" s="157">
        <f>X141-D_Emprunts!$W142</f>
        <v>-113328.03</v>
      </c>
      <c r="Y142">
        <v>135</v>
      </c>
      <c r="Z142" t="str">
        <f t="shared" si="12"/>
        <v>Investissement</v>
      </c>
      <c r="AA142" t="str">
        <f t="shared" si="13"/>
        <v>travaux magasin</v>
      </c>
    </row>
    <row r="143" spans="20:27" x14ac:dyDescent="0.25">
      <c r="T143" s="158">
        <f t="shared" si="10"/>
        <v>48065</v>
      </c>
      <c r="U143" s="164">
        <f t="shared" si="11"/>
        <v>864.41</v>
      </c>
      <c r="V143" s="159">
        <f t="shared" si="14"/>
        <v>-334.32</v>
      </c>
      <c r="W143" s="159">
        <f>D_Emprunts!$U143-D_Emprunts!$V143</f>
        <v>1198.73</v>
      </c>
      <c r="X143" s="160">
        <f>X142-D_Emprunts!$W143</f>
        <v>-114526.76</v>
      </c>
      <c r="Y143">
        <v>136</v>
      </c>
      <c r="Z143" t="str">
        <f t="shared" si="12"/>
        <v>Investissement</v>
      </c>
      <c r="AA143" t="str">
        <f t="shared" si="13"/>
        <v>travaux magasin</v>
      </c>
    </row>
    <row r="144" spans="20:27" x14ac:dyDescent="0.25">
      <c r="T144" s="155">
        <f t="shared" si="10"/>
        <v>48096</v>
      </c>
      <c r="U144" s="164">
        <f t="shared" si="11"/>
        <v>864.41</v>
      </c>
      <c r="V144" s="159">
        <f t="shared" si="14"/>
        <v>-337.86</v>
      </c>
      <c r="W144" s="156">
        <f>D_Emprunts!$U144-D_Emprunts!$V144</f>
        <v>1202.27</v>
      </c>
      <c r="X144" s="157">
        <f>X143-D_Emprunts!$W144</f>
        <v>-115729.03</v>
      </c>
      <c r="Y144">
        <v>137</v>
      </c>
      <c r="Z144" t="str">
        <f t="shared" si="12"/>
        <v>Investissement</v>
      </c>
      <c r="AA144" t="str">
        <f t="shared" si="13"/>
        <v>travaux magasin</v>
      </c>
    </row>
    <row r="145" spans="20:27" x14ac:dyDescent="0.25">
      <c r="T145" s="158">
        <f t="shared" si="10"/>
        <v>48126</v>
      </c>
      <c r="U145" s="164">
        <f t="shared" si="11"/>
        <v>864.41</v>
      </c>
      <c r="V145" s="159">
        <f t="shared" si="14"/>
        <v>-341.41</v>
      </c>
      <c r="W145" s="159">
        <f>D_Emprunts!$U145-D_Emprunts!$V145</f>
        <v>1205.82</v>
      </c>
      <c r="X145" s="160">
        <f>X144-D_Emprunts!$W145</f>
        <v>-116934.85</v>
      </c>
      <c r="Y145">
        <v>138</v>
      </c>
      <c r="Z145" t="str">
        <f t="shared" si="12"/>
        <v>Investissement</v>
      </c>
      <c r="AA145" t="str">
        <f t="shared" si="13"/>
        <v>travaux magasin</v>
      </c>
    </row>
    <row r="146" spans="20:27" x14ac:dyDescent="0.25">
      <c r="T146" s="155">
        <f t="shared" si="10"/>
        <v>48157</v>
      </c>
      <c r="U146" s="164">
        <f t="shared" si="11"/>
        <v>864.41</v>
      </c>
      <c r="V146" s="159">
        <f t="shared" si="14"/>
        <v>-344.96</v>
      </c>
      <c r="W146" s="156">
        <f>D_Emprunts!$U146-D_Emprunts!$V146</f>
        <v>1209.3699999999999</v>
      </c>
      <c r="X146" s="157">
        <f>X145-D_Emprunts!$W146</f>
        <v>-118144.22</v>
      </c>
      <c r="Y146">
        <v>139</v>
      </c>
      <c r="Z146" t="str">
        <f t="shared" si="12"/>
        <v>Investissement</v>
      </c>
      <c r="AA146" t="str">
        <f t="shared" si="13"/>
        <v>travaux magasin</v>
      </c>
    </row>
    <row r="147" spans="20:27" x14ac:dyDescent="0.25">
      <c r="T147" s="158">
        <f t="shared" si="10"/>
        <v>48187</v>
      </c>
      <c r="U147" s="164">
        <f t="shared" si="11"/>
        <v>864.41</v>
      </c>
      <c r="V147" s="159">
        <f t="shared" si="14"/>
        <v>-348.53</v>
      </c>
      <c r="W147" s="159">
        <f>D_Emprunts!$U147-D_Emprunts!$V147</f>
        <v>1212.94</v>
      </c>
      <c r="X147" s="160">
        <f>X146-D_Emprunts!$W147</f>
        <v>-119357.16</v>
      </c>
      <c r="Y147">
        <v>140</v>
      </c>
      <c r="Z147" t="str">
        <f t="shared" si="12"/>
        <v>Investissement</v>
      </c>
      <c r="AA147" t="str">
        <f t="shared" si="13"/>
        <v>travaux magasin</v>
      </c>
    </row>
    <row r="148" spans="20:27" x14ac:dyDescent="0.25">
      <c r="T148" s="155">
        <f t="shared" si="10"/>
        <v>48218</v>
      </c>
      <c r="U148" s="164">
        <f t="shared" si="11"/>
        <v>864.41</v>
      </c>
      <c r="V148" s="159">
        <f t="shared" si="14"/>
        <v>-352.11</v>
      </c>
      <c r="W148" s="156">
        <f>D_Emprunts!$U148-D_Emprunts!$V148</f>
        <v>1216.52</v>
      </c>
      <c r="X148" s="157">
        <f>X147-D_Emprunts!$W148</f>
        <v>-120573.68000000001</v>
      </c>
      <c r="Y148">
        <v>141</v>
      </c>
      <c r="Z148" t="str">
        <f t="shared" si="12"/>
        <v>Investissement</v>
      </c>
      <c r="AA148" t="str">
        <f t="shared" si="13"/>
        <v>travaux magasin</v>
      </c>
    </row>
    <row r="149" spans="20:27" x14ac:dyDescent="0.25">
      <c r="T149" s="158">
        <f t="shared" si="10"/>
        <v>48249</v>
      </c>
      <c r="U149" s="164">
        <f t="shared" si="11"/>
        <v>864.41</v>
      </c>
      <c r="V149" s="159">
        <f t="shared" si="14"/>
        <v>-355.7</v>
      </c>
      <c r="W149" s="159">
        <f>D_Emprunts!$U149-D_Emprunts!$V149</f>
        <v>1220.1099999999999</v>
      </c>
      <c r="X149" s="160">
        <f>X148-D_Emprunts!$W149</f>
        <v>-121793.79000000001</v>
      </c>
      <c r="Y149">
        <v>142</v>
      </c>
      <c r="Z149" t="str">
        <f t="shared" si="12"/>
        <v>Investissement</v>
      </c>
      <c r="AA149" t="str">
        <f t="shared" si="13"/>
        <v>travaux magasin</v>
      </c>
    </row>
    <row r="150" spans="20:27" x14ac:dyDescent="0.25">
      <c r="T150" s="155">
        <f t="shared" si="10"/>
        <v>48278</v>
      </c>
      <c r="U150" s="164">
        <f t="shared" si="11"/>
        <v>864.41</v>
      </c>
      <c r="V150" s="159">
        <f t="shared" si="14"/>
        <v>-359.3</v>
      </c>
      <c r="W150" s="156">
        <f>D_Emprunts!$U150-D_Emprunts!$V150</f>
        <v>1223.71</v>
      </c>
      <c r="X150" s="157">
        <f>X149-D_Emprunts!$W150</f>
        <v>-123017.50000000001</v>
      </c>
      <c r="Y150">
        <v>143</v>
      </c>
      <c r="Z150" t="str">
        <f t="shared" si="12"/>
        <v>Investissement</v>
      </c>
      <c r="AA150" t="str">
        <f t="shared" si="13"/>
        <v>travaux magasin</v>
      </c>
    </row>
    <row r="151" spans="20:27" x14ac:dyDescent="0.25">
      <c r="T151" s="158">
        <f t="shared" si="10"/>
        <v>48309</v>
      </c>
      <c r="U151" s="164">
        <f t="shared" si="11"/>
        <v>864.41</v>
      </c>
      <c r="V151" s="159">
        <f t="shared" si="14"/>
        <v>-362.91</v>
      </c>
      <c r="W151" s="159">
        <f>D_Emprunts!$U151-D_Emprunts!$V151</f>
        <v>1227.32</v>
      </c>
      <c r="X151" s="160">
        <f>X150-D_Emprunts!$W151</f>
        <v>-124244.82000000002</v>
      </c>
      <c r="Y151">
        <v>144</v>
      </c>
      <c r="Z151" t="str">
        <f t="shared" si="12"/>
        <v>Investissement</v>
      </c>
      <c r="AA151" t="str">
        <f t="shared" si="13"/>
        <v>travaux magasin</v>
      </c>
    </row>
    <row r="152" spans="20:27" x14ac:dyDescent="0.25">
      <c r="T152" s="155">
        <f t="shared" si="10"/>
        <v>48339</v>
      </c>
      <c r="U152" s="164">
        <f t="shared" si="11"/>
        <v>864.41</v>
      </c>
      <c r="V152" s="159">
        <f t="shared" si="14"/>
        <v>-366.53</v>
      </c>
      <c r="W152" s="156">
        <f>D_Emprunts!$U152-D_Emprunts!$V152</f>
        <v>1230.94</v>
      </c>
      <c r="X152" s="157">
        <f>X151-D_Emprunts!$W152</f>
        <v>-125475.76000000002</v>
      </c>
      <c r="Y152">
        <v>145</v>
      </c>
      <c r="Z152" t="str">
        <f t="shared" si="12"/>
        <v>Investissement</v>
      </c>
      <c r="AA152" t="str">
        <f t="shared" si="13"/>
        <v>travaux magasin</v>
      </c>
    </row>
    <row r="153" spans="20:27" x14ac:dyDescent="0.25">
      <c r="T153" s="158">
        <f t="shared" si="10"/>
        <v>48370</v>
      </c>
      <c r="U153" s="164">
        <f t="shared" si="11"/>
        <v>864.41</v>
      </c>
      <c r="V153" s="159">
        <f t="shared" si="14"/>
        <v>-370.16</v>
      </c>
      <c r="W153" s="159">
        <f>D_Emprunts!$U153-D_Emprunts!$V153</f>
        <v>1234.57</v>
      </c>
      <c r="X153" s="160">
        <f>X152-D_Emprunts!$W153</f>
        <v>-126710.33000000003</v>
      </c>
      <c r="Y153">
        <v>146</v>
      </c>
      <c r="Z153" t="str">
        <f t="shared" si="12"/>
        <v>Investissement</v>
      </c>
      <c r="AA153" t="str">
        <f t="shared" si="13"/>
        <v>travaux magasin</v>
      </c>
    </row>
    <row r="154" spans="20:27" x14ac:dyDescent="0.25">
      <c r="T154" s="155">
        <f t="shared" si="10"/>
        <v>48400</v>
      </c>
      <c r="U154" s="164">
        <f t="shared" si="11"/>
        <v>864.41</v>
      </c>
      <c r="V154" s="159">
        <f t="shared" si="14"/>
        <v>-373.8</v>
      </c>
      <c r="W154" s="156">
        <f>D_Emprunts!$U154-D_Emprunts!$V154</f>
        <v>1238.21</v>
      </c>
      <c r="X154" s="157">
        <f>X153-D_Emprunts!$W154</f>
        <v>-127948.54000000004</v>
      </c>
      <c r="Y154">
        <v>147</v>
      </c>
      <c r="Z154" t="str">
        <f t="shared" si="12"/>
        <v>Investissement</v>
      </c>
      <c r="AA154" t="str">
        <f t="shared" si="13"/>
        <v>travaux magasin</v>
      </c>
    </row>
    <row r="155" spans="20:27" x14ac:dyDescent="0.25">
      <c r="T155" s="158">
        <f t="shared" si="10"/>
        <v>48431</v>
      </c>
      <c r="U155" s="164">
        <f t="shared" si="11"/>
        <v>864.41</v>
      </c>
      <c r="V155" s="159">
        <f t="shared" si="14"/>
        <v>-377.45</v>
      </c>
      <c r="W155" s="159">
        <f>D_Emprunts!$U155-D_Emprunts!$V155</f>
        <v>1241.8599999999999</v>
      </c>
      <c r="X155" s="160">
        <f>X154-D_Emprunts!$W155</f>
        <v>-129190.40000000004</v>
      </c>
      <c r="Y155">
        <v>148</v>
      </c>
      <c r="Z155" t="str">
        <f t="shared" si="12"/>
        <v>Investissement</v>
      </c>
      <c r="AA155" t="str">
        <f t="shared" si="13"/>
        <v>travaux magasin</v>
      </c>
    </row>
    <row r="156" spans="20:27" x14ac:dyDescent="0.25">
      <c r="T156" s="155">
        <f t="shared" si="10"/>
        <v>48462</v>
      </c>
      <c r="U156" s="164">
        <f t="shared" si="11"/>
        <v>864.41</v>
      </c>
      <c r="V156" s="159">
        <f t="shared" si="14"/>
        <v>-381.12</v>
      </c>
      <c r="W156" s="156">
        <f>D_Emprunts!$U156-D_Emprunts!$V156</f>
        <v>1245.53</v>
      </c>
      <c r="X156" s="157">
        <f>X155-D_Emprunts!$W156</f>
        <v>-130435.93000000004</v>
      </c>
      <c r="Y156">
        <v>149</v>
      </c>
      <c r="Z156" t="str">
        <f t="shared" si="12"/>
        <v>Investissement</v>
      </c>
      <c r="AA156" t="str">
        <f t="shared" si="13"/>
        <v>travaux magasin</v>
      </c>
    </row>
    <row r="157" spans="20:27" x14ac:dyDescent="0.25">
      <c r="T157" s="158">
        <f t="shared" si="10"/>
        <v>48492</v>
      </c>
      <c r="U157" s="164">
        <f t="shared" si="11"/>
        <v>864.41</v>
      </c>
      <c r="V157" s="159">
        <f t="shared" si="14"/>
        <v>-384.79</v>
      </c>
      <c r="W157" s="159">
        <f>D_Emprunts!$U157-D_Emprunts!$V157</f>
        <v>1249.2</v>
      </c>
      <c r="X157" s="160">
        <f>X156-D_Emprunts!$W157</f>
        <v>-131685.13000000003</v>
      </c>
      <c r="Y157">
        <v>150</v>
      </c>
      <c r="Z157" t="str">
        <f t="shared" si="12"/>
        <v>Investissement</v>
      </c>
      <c r="AA157" t="str">
        <f t="shared" si="13"/>
        <v>travaux magasin</v>
      </c>
    </row>
    <row r="158" spans="20:27" x14ac:dyDescent="0.25">
      <c r="T158" s="155">
        <f t="shared" si="10"/>
        <v>48523</v>
      </c>
      <c r="U158" s="164">
        <f t="shared" si="11"/>
        <v>864.41</v>
      </c>
      <c r="V158" s="159">
        <f t="shared" si="14"/>
        <v>-388.48</v>
      </c>
      <c r="W158" s="156">
        <f>D_Emprunts!$U158-D_Emprunts!$V158</f>
        <v>1252.8899999999999</v>
      </c>
      <c r="X158" s="157">
        <f>X157-D_Emprunts!$W158</f>
        <v>-132938.02000000005</v>
      </c>
      <c r="Y158">
        <v>151</v>
      </c>
      <c r="Z158" t="str">
        <f t="shared" si="12"/>
        <v>Investissement</v>
      </c>
      <c r="AA158" t="str">
        <f t="shared" si="13"/>
        <v>travaux magasin</v>
      </c>
    </row>
    <row r="159" spans="20:27" x14ac:dyDescent="0.25">
      <c r="T159" s="158">
        <f t="shared" si="10"/>
        <v>48553</v>
      </c>
      <c r="U159" s="164">
        <f t="shared" si="11"/>
        <v>864.41</v>
      </c>
      <c r="V159" s="159">
        <f t="shared" si="14"/>
        <v>-392.17</v>
      </c>
      <c r="W159" s="159">
        <f>D_Emprunts!$U159-D_Emprunts!$V159</f>
        <v>1256.58</v>
      </c>
      <c r="X159" s="160">
        <f>X158-D_Emprunts!$W159</f>
        <v>-134194.60000000003</v>
      </c>
      <c r="Y159">
        <v>152</v>
      </c>
      <c r="Z159" t="str">
        <f t="shared" si="12"/>
        <v>Investissement</v>
      </c>
      <c r="AA159" t="str">
        <f t="shared" si="13"/>
        <v>travaux magasin</v>
      </c>
    </row>
    <row r="160" spans="20:27" x14ac:dyDescent="0.25">
      <c r="T160" s="155">
        <f t="shared" si="10"/>
        <v>48584</v>
      </c>
      <c r="U160" s="164">
        <f t="shared" si="11"/>
        <v>864.41</v>
      </c>
      <c r="V160" s="159">
        <f t="shared" si="14"/>
        <v>-395.88</v>
      </c>
      <c r="W160" s="156">
        <f>D_Emprunts!$U160-D_Emprunts!$V160</f>
        <v>1260.29</v>
      </c>
      <c r="X160" s="157">
        <f>X159-D_Emprunts!$W160</f>
        <v>-135454.89000000004</v>
      </c>
      <c r="Y160">
        <v>153</v>
      </c>
      <c r="Z160" t="str">
        <f t="shared" si="12"/>
        <v>Investissement</v>
      </c>
      <c r="AA160" t="str">
        <f t="shared" si="13"/>
        <v>travaux magasin</v>
      </c>
    </row>
    <row r="161" spans="20:27" x14ac:dyDescent="0.25">
      <c r="T161" s="158">
        <f t="shared" si="10"/>
        <v>48615</v>
      </c>
      <c r="U161" s="164">
        <f t="shared" si="11"/>
        <v>864.41</v>
      </c>
      <c r="V161" s="159">
        <f t="shared" si="14"/>
        <v>-399.6</v>
      </c>
      <c r="W161" s="159">
        <f>D_Emprunts!$U161-D_Emprunts!$V161</f>
        <v>1264.01</v>
      </c>
      <c r="X161" s="160">
        <f>X160-D_Emprunts!$W161</f>
        <v>-136718.90000000005</v>
      </c>
      <c r="Y161">
        <v>154</v>
      </c>
      <c r="Z161" t="str">
        <f t="shared" si="12"/>
        <v>Investissement</v>
      </c>
      <c r="AA161" t="str">
        <f t="shared" si="13"/>
        <v>travaux magasin</v>
      </c>
    </row>
    <row r="162" spans="20:27" x14ac:dyDescent="0.25">
      <c r="T162" s="155">
        <f t="shared" si="10"/>
        <v>48643</v>
      </c>
      <c r="U162" s="164">
        <f t="shared" si="11"/>
        <v>864.41</v>
      </c>
      <c r="V162" s="159">
        <f t="shared" si="14"/>
        <v>-403.33</v>
      </c>
      <c r="W162" s="156">
        <f>D_Emprunts!$U162-D_Emprunts!$V162</f>
        <v>1267.74</v>
      </c>
      <c r="X162" s="157">
        <f>X161-D_Emprunts!$W162</f>
        <v>-137986.64000000004</v>
      </c>
      <c r="Y162">
        <v>155</v>
      </c>
      <c r="Z162" t="str">
        <f t="shared" si="12"/>
        <v>Investissement</v>
      </c>
      <c r="AA162" t="str">
        <f t="shared" si="13"/>
        <v>travaux magasin</v>
      </c>
    </row>
    <row r="163" spans="20:27" x14ac:dyDescent="0.25">
      <c r="T163" s="158">
        <f t="shared" si="10"/>
        <v>48674</v>
      </c>
      <c r="U163" s="164">
        <f t="shared" si="11"/>
        <v>864.41</v>
      </c>
      <c r="V163" s="159">
        <f t="shared" si="14"/>
        <v>-407.07</v>
      </c>
      <c r="W163" s="159">
        <f>D_Emprunts!$U163-D_Emprunts!$V163</f>
        <v>1271.48</v>
      </c>
      <c r="X163" s="160">
        <f>X162-D_Emprunts!$W163</f>
        <v>-139258.12000000005</v>
      </c>
      <c r="Y163">
        <v>156</v>
      </c>
      <c r="Z163" t="str">
        <f t="shared" si="12"/>
        <v>Investissement</v>
      </c>
      <c r="AA163" t="str">
        <f t="shared" si="13"/>
        <v>travaux magasin</v>
      </c>
    </row>
    <row r="164" spans="20:27" x14ac:dyDescent="0.25">
      <c r="T164" s="155">
        <f t="shared" si="10"/>
        <v>48704</v>
      </c>
      <c r="U164" s="164">
        <f t="shared" si="11"/>
        <v>864.41</v>
      </c>
      <c r="V164" s="159">
        <f t="shared" si="14"/>
        <v>-410.82</v>
      </c>
      <c r="W164" s="156">
        <f>D_Emprunts!$U164-D_Emprunts!$V164</f>
        <v>1275.23</v>
      </c>
      <c r="X164" s="157">
        <f>X163-D_Emprunts!$W164</f>
        <v>-140533.35000000006</v>
      </c>
      <c r="Y164">
        <v>157</v>
      </c>
      <c r="Z164" t="str">
        <f t="shared" si="12"/>
        <v>Investissement</v>
      </c>
      <c r="AA164" t="str">
        <f t="shared" si="13"/>
        <v>travaux magasin</v>
      </c>
    </row>
    <row r="165" spans="20:27" x14ac:dyDescent="0.25">
      <c r="T165" s="158">
        <f t="shared" si="10"/>
        <v>48735</v>
      </c>
      <c r="U165" s="164">
        <f t="shared" si="11"/>
        <v>864.41</v>
      </c>
      <c r="V165" s="159">
        <f t="shared" si="14"/>
        <v>-414.58</v>
      </c>
      <c r="W165" s="159">
        <f>D_Emprunts!$U165-D_Emprunts!$V165</f>
        <v>1278.99</v>
      </c>
      <c r="X165" s="160">
        <f>X164-D_Emprunts!$W165</f>
        <v>-141812.34000000005</v>
      </c>
      <c r="Y165">
        <v>158</v>
      </c>
      <c r="Z165" t="str">
        <f t="shared" si="12"/>
        <v>Investissement</v>
      </c>
      <c r="AA165" t="str">
        <f t="shared" si="13"/>
        <v>travaux magasin</v>
      </c>
    </row>
    <row r="166" spans="20:27" x14ac:dyDescent="0.25">
      <c r="T166" s="155">
        <f t="shared" si="10"/>
        <v>48765</v>
      </c>
      <c r="U166" s="164">
        <f t="shared" si="11"/>
        <v>864.41</v>
      </c>
      <c r="V166" s="159">
        <f t="shared" si="14"/>
        <v>-418.35</v>
      </c>
      <c r="W166" s="156">
        <f>D_Emprunts!$U166-D_Emprunts!$V166</f>
        <v>1282.76</v>
      </c>
      <c r="X166" s="157">
        <f>X165-D_Emprunts!$W166</f>
        <v>-143095.10000000006</v>
      </c>
      <c r="Y166">
        <v>159</v>
      </c>
      <c r="Z166" t="str">
        <f t="shared" si="12"/>
        <v>Investissement</v>
      </c>
      <c r="AA166" t="str">
        <f t="shared" si="13"/>
        <v>travaux magasin</v>
      </c>
    </row>
    <row r="167" spans="20:27" x14ac:dyDescent="0.25">
      <c r="T167" s="158">
        <f t="shared" si="10"/>
        <v>48796</v>
      </c>
      <c r="U167" s="164">
        <f t="shared" si="11"/>
        <v>864.41</v>
      </c>
      <c r="V167" s="159">
        <f t="shared" si="14"/>
        <v>-422.14</v>
      </c>
      <c r="W167" s="159">
        <f>D_Emprunts!$U167-D_Emprunts!$V167</f>
        <v>1286.55</v>
      </c>
      <c r="X167" s="160">
        <f>X166-D_Emprunts!$W167</f>
        <v>-144381.65000000005</v>
      </c>
      <c r="Y167">
        <v>160</v>
      </c>
      <c r="Z167" t="str">
        <f t="shared" si="12"/>
        <v>Investissement</v>
      </c>
      <c r="AA167" t="str">
        <f t="shared" si="13"/>
        <v>travaux magasin</v>
      </c>
    </row>
    <row r="168" spans="20:27" x14ac:dyDescent="0.25">
      <c r="T168" s="155">
        <f t="shared" si="10"/>
        <v>48827</v>
      </c>
      <c r="U168" s="164">
        <f t="shared" si="11"/>
        <v>864.41</v>
      </c>
      <c r="V168" s="159">
        <f t="shared" si="14"/>
        <v>-425.93</v>
      </c>
      <c r="W168" s="156">
        <f>D_Emprunts!$U168-D_Emprunts!$V168</f>
        <v>1290.3399999999999</v>
      </c>
      <c r="X168" s="157">
        <f>X167-D_Emprunts!$W168</f>
        <v>-145671.99000000005</v>
      </c>
      <c r="Y168">
        <v>161</v>
      </c>
      <c r="Z168" t="str">
        <f t="shared" si="12"/>
        <v>Investissement</v>
      </c>
      <c r="AA168" t="str">
        <f t="shared" si="13"/>
        <v>travaux magasin</v>
      </c>
    </row>
    <row r="169" spans="20:27" x14ac:dyDescent="0.25">
      <c r="T169" s="158">
        <f t="shared" si="10"/>
        <v>48857</v>
      </c>
      <c r="U169" s="164">
        <f t="shared" si="11"/>
        <v>864.41</v>
      </c>
      <c r="V169" s="159">
        <f t="shared" si="14"/>
        <v>-429.74</v>
      </c>
      <c r="W169" s="159">
        <f>D_Emprunts!$U169-D_Emprunts!$V169</f>
        <v>1294.1500000000001</v>
      </c>
      <c r="X169" s="160">
        <f>X168-D_Emprunts!$W169</f>
        <v>-146966.14000000004</v>
      </c>
      <c r="Y169">
        <v>162</v>
      </c>
      <c r="Z169" t="str">
        <f t="shared" si="12"/>
        <v>Investissement</v>
      </c>
      <c r="AA169" t="str">
        <f t="shared" si="13"/>
        <v>travaux magasin</v>
      </c>
    </row>
    <row r="170" spans="20:27" x14ac:dyDescent="0.25">
      <c r="T170" s="155">
        <f t="shared" si="10"/>
        <v>48888</v>
      </c>
      <c r="U170" s="164">
        <f t="shared" si="11"/>
        <v>864.41</v>
      </c>
      <c r="V170" s="159">
        <f t="shared" si="14"/>
        <v>-433.56</v>
      </c>
      <c r="W170" s="156">
        <f>D_Emprunts!$U170-D_Emprunts!$V170</f>
        <v>1297.97</v>
      </c>
      <c r="X170" s="157">
        <f>X169-D_Emprunts!$W170</f>
        <v>-148264.11000000004</v>
      </c>
      <c r="Y170">
        <v>163</v>
      </c>
      <c r="Z170" t="str">
        <f t="shared" si="12"/>
        <v>Investissement</v>
      </c>
      <c r="AA170" t="str">
        <f t="shared" si="13"/>
        <v>travaux magasin</v>
      </c>
    </row>
    <row r="171" spans="20:27" x14ac:dyDescent="0.25">
      <c r="T171" s="158">
        <f t="shared" si="10"/>
        <v>48918</v>
      </c>
      <c r="U171" s="164">
        <f t="shared" si="11"/>
        <v>864.41</v>
      </c>
      <c r="V171" s="159">
        <f t="shared" si="14"/>
        <v>-437.39</v>
      </c>
      <c r="W171" s="159">
        <f>D_Emprunts!$U171-D_Emprunts!$V171</f>
        <v>1301.8</v>
      </c>
      <c r="X171" s="160">
        <f>X170-D_Emprunts!$W171</f>
        <v>-149565.91000000003</v>
      </c>
      <c r="Y171">
        <v>164</v>
      </c>
      <c r="Z171" t="str">
        <f t="shared" si="12"/>
        <v>Investissement</v>
      </c>
      <c r="AA171" t="str">
        <f t="shared" si="13"/>
        <v>travaux magasin</v>
      </c>
    </row>
    <row r="172" spans="20:27" x14ac:dyDescent="0.25">
      <c r="T172" s="155">
        <f t="shared" si="10"/>
        <v>48949</v>
      </c>
      <c r="U172" s="164">
        <f t="shared" si="11"/>
        <v>864.41</v>
      </c>
      <c r="V172" s="159">
        <f t="shared" si="14"/>
        <v>-441.23</v>
      </c>
      <c r="W172" s="156">
        <f>D_Emprunts!$U172-D_Emprunts!$V172</f>
        <v>1305.6399999999999</v>
      </c>
      <c r="X172" s="157">
        <f>X171-D_Emprunts!$W172</f>
        <v>-150871.55000000005</v>
      </c>
      <c r="Y172">
        <v>165</v>
      </c>
      <c r="Z172" t="str">
        <f t="shared" si="12"/>
        <v>Investissement</v>
      </c>
      <c r="AA172" t="str">
        <f t="shared" si="13"/>
        <v>travaux magasin</v>
      </c>
    </row>
    <row r="173" spans="20:27" x14ac:dyDescent="0.25">
      <c r="T173" s="158">
        <f t="shared" si="10"/>
        <v>48980</v>
      </c>
      <c r="U173" s="164">
        <f t="shared" si="11"/>
        <v>864.41</v>
      </c>
      <c r="V173" s="159">
        <f t="shared" si="14"/>
        <v>-445.08</v>
      </c>
      <c r="W173" s="159">
        <f>D_Emprunts!$U173-D_Emprunts!$V173</f>
        <v>1309.49</v>
      </c>
      <c r="X173" s="160">
        <f>X172-D_Emprunts!$W173</f>
        <v>-152181.04000000004</v>
      </c>
      <c r="Y173">
        <v>166</v>
      </c>
      <c r="Z173" t="str">
        <f t="shared" si="12"/>
        <v>Investissement</v>
      </c>
      <c r="AA173" t="str">
        <f t="shared" si="13"/>
        <v>travaux magasin</v>
      </c>
    </row>
    <row r="174" spans="20:27" x14ac:dyDescent="0.25">
      <c r="T174" s="155">
        <f t="shared" si="10"/>
        <v>49008</v>
      </c>
      <c r="U174" s="164">
        <f t="shared" si="11"/>
        <v>864.41</v>
      </c>
      <c r="V174" s="159">
        <f t="shared" si="14"/>
        <v>-448.94</v>
      </c>
      <c r="W174" s="156">
        <f>D_Emprunts!$U174-D_Emprunts!$V174</f>
        <v>1313.35</v>
      </c>
      <c r="X174" s="157">
        <f>X173-D_Emprunts!$W174</f>
        <v>-153494.39000000004</v>
      </c>
      <c r="Y174">
        <v>167</v>
      </c>
      <c r="Z174" t="str">
        <f t="shared" si="12"/>
        <v>Investissement</v>
      </c>
      <c r="AA174" t="str">
        <f t="shared" si="13"/>
        <v>travaux magasin</v>
      </c>
    </row>
    <row r="175" spans="20:27" x14ac:dyDescent="0.25">
      <c r="T175" s="158">
        <f t="shared" si="10"/>
        <v>49039</v>
      </c>
      <c r="U175" s="164">
        <f t="shared" si="11"/>
        <v>864.41</v>
      </c>
      <c r="V175" s="159">
        <f t="shared" si="14"/>
        <v>-452.82</v>
      </c>
      <c r="W175" s="159">
        <f>D_Emprunts!$U175-D_Emprunts!$V175</f>
        <v>1317.23</v>
      </c>
      <c r="X175" s="160">
        <f>X174-D_Emprunts!$W175</f>
        <v>-154811.62000000005</v>
      </c>
      <c r="Y175">
        <v>168</v>
      </c>
      <c r="Z175" t="str">
        <f t="shared" si="12"/>
        <v>Investissement</v>
      </c>
      <c r="AA175" t="str">
        <f t="shared" si="13"/>
        <v>travaux magasin</v>
      </c>
    </row>
    <row r="176" spans="20:27" x14ac:dyDescent="0.25">
      <c r="T176" s="155">
        <f t="shared" si="10"/>
        <v>49069</v>
      </c>
      <c r="U176" s="164">
        <f t="shared" si="11"/>
        <v>864.41</v>
      </c>
      <c r="V176" s="159">
        <f t="shared" si="14"/>
        <v>-456.7</v>
      </c>
      <c r="W176" s="156">
        <f>D_Emprunts!$U176-D_Emprunts!$V176</f>
        <v>1321.11</v>
      </c>
      <c r="X176" s="157">
        <f>X175-D_Emprunts!$W176</f>
        <v>-156132.73000000004</v>
      </c>
      <c r="Y176">
        <v>169</v>
      </c>
      <c r="Z176" t="str">
        <f t="shared" si="12"/>
        <v>Investissement</v>
      </c>
      <c r="AA176" t="str">
        <f t="shared" si="13"/>
        <v>travaux magasin</v>
      </c>
    </row>
    <row r="177" spans="20:27" x14ac:dyDescent="0.25">
      <c r="T177" s="158">
        <f t="shared" si="10"/>
        <v>49100</v>
      </c>
      <c r="U177" s="164">
        <f t="shared" si="11"/>
        <v>864.41</v>
      </c>
      <c r="V177" s="159">
        <f t="shared" si="14"/>
        <v>-460.6</v>
      </c>
      <c r="W177" s="159">
        <f>D_Emprunts!$U177-D_Emprunts!$V177</f>
        <v>1325.01</v>
      </c>
      <c r="X177" s="160">
        <f>X176-D_Emprunts!$W177</f>
        <v>-157457.74000000005</v>
      </c>
      <c r="Y177">
        <v>170</v>
      </c>
      <c r="Z177" t="str">
        <f t="shared" si="12"/>
        <v>Investissement</v>
      </c>
      <c r="AA177" t="str">
        <f t="shared" si="13"/>
        <v>travaux magasin</v>
      </c>
    </row>
    <row r="178" spans="20:27" x14ac:dyDescent="0.25">
      <c r="T178" s="155">
        <f t="shared" si="10"/>
        <v>49130</v>
      </c>
      <c r="U178" s="164">
        <f t="shared" si="11"/>
        <v>864.41</v>
      </c>
      <c r="V178" s="159">
        <f t="shared" si="14"/>
        <v>-464.51</v>
      </c>
      <c r="W178" s="156">
        <f>D_Emprunts!$U178-D_Emprunts!$V178</f>
        <v>1328.92</v>
      </c>
      <c r="X178" s="157">
        <f>X177-D_Emprunts!$W178</f>
        <v>-158786.66000000006</v>
      </c>
      <c r="Y178">
        <v>171</v>
      </c>
      <c r="Z178" t="str">
        <f t="shared" si="12"/>
        <v>Investissement</v>
      </c>
      <c r="AA178" t="str">
        <f t="shared" si="13"/>
        <v>travaux magasin</v>
      </c>
    </row>
    <row r="179" spans="20:27" x14ac:dyDescent="0.25">
      <c r="T179" s="158">
        <f t="shared" si="10"/>
        <v>49161</v>
      </c>
      <c r="U179" s="164">
        <f t="shared" si="11"/>
        <v>864.41</v>
      </c>
      <c r="V179" s="159">
        <f t="shared" si="14"/>
        <v>-468.43</v>
      </c>
      <c r="W179" s="159">
        <f>D_Emprunts!$U179-D_Emprunts!$V179</f>
        <v>1332.84</v>
      </c>
      <c r="X179" s="160">
        <f>X178-D_Emprunts!$W179</f>
        <v>-160119.50000000006</v>
      </c>
      <c r="Y179">
        <v>172</v>
      </c>
      <c r="Z179" t="str">
        <f t="shared" si="12"/>
        <v>Investissement</v>
      </c>
      <c r="AA179" t="str">
        <f t="shared" si="13"/>
        <v>travaux magasin</v>
      </c>
    </row>
    <row r="180" spans="20:27" x14ac:dyDescent="0.25">
      <c r="T180" s="155">
        <f t="shared" si="10"/>
        <v>49192</v>
      </c>
      <c r="U180" s="164">
        <f t="shared" si="11"/>
        <v>864.41</v>
      </c>
      <c r="V180" s="159">
        <f t="shared" si="14"/>
        <v>-472.36</v>
      </c>
      <c r="W180" s="156">
        <f>D_Emprunts!$U180-D_Emprunts!$V180</f>
        <v>1336.77</v>
      </c>
      <c r="X180" s="157">
        <f>X179-D_Emprunts!$W180</f>
        <v>-161456.27000000005</v>
      </c>
      <c r="Y180">
        <v>173</v>
      </c>
      <c r="Z180" t="str">
        <f t="shared" si="12"/>
        <v>Investissement</v>
      </c>
      <c r="AA180" t="str">
        <f t="shared" si="13"/>
        <v>travaux magasin</v>
      </c>
    </row>
    <row r="181" spans="20:27" x14ac:dyDescent="0.25">
      <c r="T181" s="158">
        <f t="shared" si="10"/>
        <v>49222</v>
      </c>
      <c r="U181" s="164">
        <f t="shared" si="11"/>
        <v>864.41</v>
      </c>
      <c r="V181" s="159">
        <f t="shared" si="14"/>
        <v>-476.3</v>
      </c>
      <c r="W181" s="159">
        <f>D_Emprunts!$U181-D_Emprunts!$V181</f>
        <v>1340.71</v>
      </c>
      <c r="X181" s="160">
        <f>X180-D_Emprunts!$W181</f>
        <v>-162796.98000000004</v>
      </c>
      <c r="Y181">
        <v>174</v>
      </c>
      <c r="Z181" t="str">
        <f t="shared" si="12"/>
        <v>Investissement</v>
      </c>
      <c r="AA181" t="str">
        <f t="shared" si="13"/>
        <v>travaux magasin</v>
      </c>
    </row>
    <row r="182" spans="20:27" x14ac:dyDescent="0.25">
      <c r="T182" s="155">
        <f t="shared" si="10"/>
        <v>49253</v>
      </c>
      <c r="U182" s="164">
        <f t="shared" si="11"/>
        <v>864.41</v>
      </c>
      <c r="V182" s="159">
        <f t="shared" si="14"/>
        <v>-480.26</v>
      </c>
      <c r="W182" s="156">
        <f>D_Emprunts!$U182-D_Emprunts!$V182</f>
        <v>1344.67</v>
      </c>
      <c r="X182" s="157">
        <f>X181-D_Emprunts!$W182</f>
        <v>-164141.65000000005</v>
      </c>
      <c r="Y182">
        <v>175</v>
      </c>
      <c r="Z182" t="str">
        <f t="shared" si="12"/>
        <v>Investissement</v>
      </c>
      <c r="AA182" t="str">
        <f t="shared" si="13"/>
        <v>travaux magasin</v>
      </c>
    </row>
    <row r="183" spans="20:27" x14ac:dyDescent="0.25">
      <c r="T183" s="158">
        <f t="shared" si="10"/>
        <v>49283</v>
      </c>
      <c r="U183" s="164">
        <f t="shared" si="11"/>
        <v>864.41</v>
      </c>
      <c r="V183" s="159">
        <f t="shared" si="14"/>
        <v>-484.23</v>
      </c>
      <c r="W183" s="159">
        <f>D_Emprunts!$U183-D_Emprunts!$V183</f>
        <v>1348.6399999999999</v>
      </c>
      <c r="X183" s="160">
        <f>X182-D_Emprunts!$W183</f>
        <v>-165490.29000000007</v>
      </c>
      <c r="Y183">
        <v>176</v>
      </c>
      <c r="Z183" t="str">
        <f t="shared" si="12"/>
        <v>Investissement</v>
      </c>
      <c r="AA183" t="str">
        <f t="shared" si="13"/>
        <v>travaux magasin</v>
      </c>
    </row>
    <row r="184" spans="20:27" x14ac:dyDescent="0.25">
      <c r="T184" s="155">
        <f t="shared" si="10"/>
        <v>49314</v>
      </c>
      <c r="U184" s="164">
        <f t="shared" si="11"/>
        <v>864.41</v>
      </c>
      <c r="V184" s="159">
        <f t="shared" si="14"/>
        <v>-488.2</v>
      </c>
      <c r="W184" s="156">
        <f>D_Emprunts!$U184-D_Emprunts!$V184</f>
        <v>1352.61</v>
      </c>
      <c r="X184" s="157">
        <f>X183-D_Emprunts!$W184</f>
        <v>-166842.90000000005</v>
      </c>
      <c r="Y184">
        <v>177</v>
      </c>
      <c r="Z184" t="str">
        <f t="shared" si="12"/>
        <v>Investissement</v>
      </c>
      <c r="AA184" t="str">
        <f t="shared" si="13"/>
        <v>travaux magasin</v>
      </c>
    </row>
    <row r="185" spans="20:27" x14ac:dyDescent="0.25">
      <c r="T185" s="158">
        <f t="shared" si="10"/>
        <v>49345</v>
      </c>
      <c r="U185" s="164">
        <f t="shared" si="11"/>
        <v>864.41</v>
      </c>
      <c r="V185" s="159">
        <f t="shared" si="14"/>
        <v>-492.2</v>
      </c>
      <c r="W185" s="159">
        <f>D_Emprunts!$U185-D_Emprunts!$V185</f>
        <v>1356.61</v>
      </c>
      <c r="X185" s="160">
        <f>X184-D_Emprunts!$W185</f>
        <v>-168199.51000000004</v>
      </c>
      <c r="Y185">
        <v>178</v>
      </c>
      <c r="Z185" t="str">
        <f t="shared" si="12"/>
        <v>Investissement</v>
      </c>
      <c r="AA185" t="str">
        <f t="shared" si="13"/>
        <v>travaux magasin</v>
      </c>
    </row>
    <row r="186" spans="20:27" x14ac:dyDescent="0.25">
      <c r="T186" s="155">
        <f t="shared" si="10"/>
        <v>49373</v>
      </c>
      <c r="U186" s="164">
        <f t="shared" si="11"/>
        <v>864.41</v>
      </c>
      <c r="V186" s="159">
        <f t="shared" si="14"/>
        <v>-496.2</v>
      </c>
      <c r="W186" s="156">
        <f>D_Emprunts!$U186-D_Emprunts!$V186</f>
        <v>1360.61</v>
      </c>
      <c r="X186" s="157">
        <f>X185-D_Emprunts!$W186</f>
        <v>-169560.12000000002</v>
      </c>
      <c r="Y186">
        <v>179</v>
      </c>
      <c r="Z186" t="str">
        <f t="shared" si="12"/>
        <v>Investissement</v>
      </c>
      <c r="AA186" t="str">
        <f t="shared" si="13"/>
        <v>travaux magasin</v>
      </c>
    </row>
    <row r="187" spans="20:27" x14ac:dyDescent="0.25">
      <c r="T187" s="158">
        <f t="shared" si="10"/>
        <v>49404</v>
      </c>
      <c r="U187" s="164">
        <f t="shared" si="11"/>
        <v>864.41</v>
      </c>
      <c r="V187" s="159">
        <f t="shared" si="14"/>
        <v>-500.21</v>
      </c>
      <c r="W187" s="159">
        <f>D_Emprunts!$U187-D_Emprunts!$V187</f>
        <v>1364.62</v>
      </c>
      <c r="X187" s="160">
        <f>X186-D_Emprunts!$W187</f>
        <v>-170924.74000000002</v>
      </c>
      <c r="Y187">
        <v>180</v>
      </c>
      <c r="Z187" t="str">
        <f t="shared" si="12"/>
        <v>Investissement</v>
      </c>
      <c r="AA187" t="str">
        <f t="shared" si="13"/>
        <v>travaux magasin</v>
      </c>
    </row>
    <row r="188" spans="20:27" x14ac:dyDescent="0.25">
      <c r="T188" s="155">
        <f t="shared" si="10"/>
        <v>49434</v>
      </c>
      <c r="U188" s="164">
        <f t="shared" si="11"/>
        <v>864.41</v>
      </c>
      <c r="V188" s="159">
        <f t="shared" si="14"/>
        <v>-504.24</v>
      </c>
      <c r="W188" s="156">
        <f>D_Emprunts!$U188-D_Emprunts!$V188</f>
        <v>1368.65</v>
      </c>
      <c r="X188" s="157">
        <f>X187-D_Emprunts!$W188</f>
        <v>-172293.39</v>
      </c>
      <c r="Y188">
        <v>181</v>
      </c>
      <c r="Z188" t="str">
        <f t="shared" si="12"/>
        <v>Investissement</v>
      </c>
      <c r="AA188" t="str">
        <f t="shared" si="13"/>
        <v>travaux magasin</v>
      </c>
    </row>
    <row r="189" spans="20:27" x14ac:dyDescent="0.25">
      <c r="T189" s="158">
        <f t="shared" si="10"/>
        <v>49465</v>
      </c>
      <c r="U189" s="164">
        <f t="shared" si="11"/>
        <v>864.41</v>
      </c>
      <c r="V189" s="159">
        <f t="shared" si="14"/>
        <v>-508.27</v>
      </c>
      <c r="W189" s="159">
        <f>D_Emprunts!$U189-D_Emprunts!$V189</f>
        <v>1372.6799999999998</v>
      </c>
      <c r="X189" s="160">
        <f>X188-D_Emprunts!$W189</f>
        <v>-173666.07</v>
      </c>
      <c r="Y189">
        <v>182</v>
      </c>
      <c r="Z189" t="str">
        <f t="shared" si="12"/>
        <v>Investissement</v>
      </c>
      <c r="AA189" t="str">
        <f t="shared" si="13"/>
        <v>travaux magasin</v>
      </c>
    </row>
    <row r="190" spans="20:27" x14ac:dyDescent="0.25">
      <c r="T190" s="155">
        <f t="shared" si="10"/>
        <v>49495</v>
      </c>
      <c r="U190" s="164">
        <f t="shared" si="11"/>
        <v>864.41</v>
      </c>
      <c r="V190" s="159">
        <f t="shared" si="14"/>
        <v>-512.32000000000005</v>
      </c>
      <c r="W190" s="156">
        <f>D_Emprunts!$U190-D_Emprunts!$V190</f>
        <v>1376.73</v>
      </c>
      <c r="X190" s="157">
        <f>X189-D_Emprunts!$W190</f>
        <v>-175042.80000000002</v>
      </c>
      <c r="Y190">
        <v>183</v>
      </c>
      <c r="Z190" t="str">
        <f t="shared" si="12"/>
        <v>Investissement</v>
      </c>
      <c r="AA190" t="str">
        <f t="shared" si="13"/>
        <v>travaux magasin</v>
      </c>
    </row>
    <row r="191" spans="20:27" x14ac:dyDescent="0.25">
      <c r="T191" s="158">
        <f t="shared" si="10"/>
        <v>49526</v>
      </c>
      <c r="U191" s="164">
        <f t="shared" si="11"/>
        <v>864.41</v>
      </c>
      <c r="V191" s="159">
        <f t="shared" si="14"/>
        <v>-516.39</v>
      </c>
      <c r="W191" s="159">
        <f>D_Emprunts!$U191-D_Emprunts!$V191</f>
        <v>1380.8</v>
      </c>
      <c r="X191" s="160">
        <f>X190-D_Emprunts!$W191</f>
        <v>-176423.6</v>
      </c>
      <c r="Y191">
        <v>184</v>
      </c>
      <c r="Z191" t="str">
        <f t="shared" si="12"/>
        <v>Investissement</v>
      </c>
      <c r="AA191" t="str">
        <f t="shared" si="13"/>
        <v>travaux magasin</v>
      </c>
    </row>
    <row r="192" spans="20:27" x14ac:dyDescent="0.25">
      <c r="T192" s="155">
        <f t="shared" si="10"/>
        <v>49557</v>
      </c>
      <c r="U192" s="164">
        <f t="shared" si="11"/>
        <v>864.41</v>
      </c>
      <c r="V192" s="159">
        <f t="shared" si="14"/>
        <v>-520.46</v>
      </c>
      <c r="W192" s="156">
        <f>D_Emprunts!$U192-D_Emprunts!$V192</f>
        <v>1384.87</v>
      </c>
      <c r="X192" s="157">
        <f>X191-D_Emprunts!$W192</f>
        <v>-177808.47</v>
      </c>
      <c r="Y192">
        <v>185</v>
      </c>
      <c r="Z192" t="str">
        <f t="shared" si="12"/>
        <v>Investissement</v>
      </c>
      <c r="AA192" t="str">
        <f t="shared" si="13"/>
        <v>travaux magasin</v>
      </c>
    </row>
    <row r="193" spans="20:27" x14ac:dyDescent="0.25">
      <c r="T193" s="158">
        <f t="shared" si="10"/>
        <v>49587</v>
      </c>
      <c r="U193" s="164">
        <f t="shared" si="11"/>
        <v>864.41</v>
      </c>
      <c r="V193" s="159">
        <f t="shared" si="14"/>
        <v>-524.54</v>
      </c>
      <c r="W193" s="159">
        <f>D_Emprunts!$U193-D_Emprunts!$V193</f>
        <v>1388.9499999999998</v>
      </c>
      <c r="X193" s="160">
        <f>X192-D_Emprunts!$W193</f>
        <v>-179197.42</v>
      </c>
      <c r="Y193">
        <v>186</v>
      </c>
      <c r="Z193" t="str">
        <f t="shared" si="12"/>
        <v>Investissement</v>
      </c>
      <c r="AA193" t="str">
        <f t="shared" si="13"/>
        <v>travaux magasin</v>
      </c>
    </row>
    <row r="194" spans="20:27" x14ac:dyDescent="0.25">
      <c r="T194" s="155">
        <f t="shared" si="10"/>
        <v>49618</v>
      </c>
      <c r="U194" s="164">
        <f t="shared" si="11"/>
        <v>864.41</v>
      </c>
      <c r="V194" s="159">
        <f t="shared" si="14"/>
        <v>-528.64</v>
      </c>
      <c r="W194" s="156">
        <f>D_Emprunts!$U194-D_Emprunts!$V194</f>
        <v>1393.05</v>
      </c>
      <c r="X194" s="157">
        <f>X193-D_Emprunts!$W194</f>
        <v>-180590.47</v>
      </c>
      <c r="Y194">
        <v>187</v>
      </c>
      <c r="Z194" t="str">
        <f t="shared" si="12"/>
        <v>Investissement</v>
      </c>
      <c r="AA194" t="str">
        <f t="shared" si="13"/>
        <v>travaux magasin</v>
      </c>
    </row>
    <row r="195" spans="20:27" x14ac:dyDescent="0.25">
      <c r="T195" s="158">
        <f t="shared" si="10"/>
        <v>49648</v>
      </c>
      <c r="U195" s="164">
        <f t="shared" si="11"/>
        <v>864.41</v>
      </c>
      <c r="V195" s="159">
        <f t="shared" si="14"/>
        <v>-532.75</v>
      </c>
      <c r="W195" s="159">
        <f>D_Emprunts!$U195-D_Emprunts!$V195</f>
        <v>1397.1599999999999</v>
      </c>
      <c r="X195" s="160">
        <f>X194-D_Emprunts!$W195</f>
        <v>-181987.63</v>
      </c>
      <c r="Y195">
        <v>188</v>
      </c>
      <c r="Z195" t="str">
        <f t="shared" si="12"/>
        <v>Investissement</v>
      </c>
      <c r="AA195" t="str">
        <f t="shared" si="13"/>
        <v>travaux magasin</v>
      </c>
    </row>
    <row r="196" spans="20:27" x14ac:dyDescent="0.25">
      <c r="T196" s="155">
        <f t="shared" si="10"/>
        <v>49679</v>
      </c>
      <c r="U196" s="164">
        <f t="shared" si="11"/>
        <v>864.41</v>
      </c>
      <c r="V196" s="159">
        <f t="shared" si="14"/>
        <v>-536.87</v>
      </c>
      <c r="W196" s="156">
        <f>D_Emprunts!$U196-D_Emprunts!$V196</f>
        <v>1401.28</v>
      </c>
      <c r="X196" s="157">
        <f>X195-D_Emprunts!$W196</f>
        <v>-183388.91</v>
      </c>
      <c r="Y196">
        <v>189</v>
      </c>
      <c r="Z196" t="str">
        <f t="shared" si="12"/>
        <v>Investissement</v>
      </c>
      <c r="AA196" t="str">
        <f t="shared" si="13"/>
        <v>travaux magasin</v>
      </c>
    </row>
    <row r="197" spans="20:27" x14ac:dyDescent="0.25">
      <c r="T197" s="158">
        <f t="shared" si="10"/>
        <v>49710</v>
      </c>
      <c r="U197" s="164">
        <f t="shared" si="11"/>
        <v>864.41</v>
      </c>
      <c r="V197" s="159">
        <f t="shared" si="14"/>
        <v>-541.01</v>
      </c>
      <c r="W197" s="159">
        <f>D_Emprunts!$U197-D_Emprunts!$V197</f>
        <v>1405.42</v>
      </c>
      <c r="X197" s="160">
        <f>X196-D_Emprunts!$W197</f>
        <v>-184794.33000000002</v>
      </c>
      <c r="Y197">
        <v>190</v>
      </c>
      <c r="Z197" t="str">
        <f t="shared" si="12"/>
        <v>Investissement</v>
      </c>
      <c r="AA197" t="str">
        <f t="shared" si="13"/>
        <v>travaux magasin</v>
      </c>
    </row>
    <row r="198" spans="20:27" x14ac:dyDescent="0.25">
      <c r="T198" s="155">
        <f t="shared" si="10"/>
        <v>49739</v>
      </c>
      <c r="U198" s="164">
        <f t="shared" si="11"/>
        <v>864.41</v>
      </c>
      <c r="V198" s="159">
        <f t="shared" si="14"/>
        <v>-545.15</v>
      </c>
      <c r="W198" s="156">
        <f>D_Emprunts!$U198-D_Emprunts!$V198</f>
        <v>1409.56</v>
      </c>
      <c r="X198" s="157">
        <f>X197-D_Emprunts!$W198</f>
        <v>-186203.89</v>
      </c>
      <c r="Y198">
        <v>191</v>
      </c>
      <c r="Z198" t="str">
        <f t="shared" si="12"/>
        <v>Investissement</v>
      </c>
      <c r="AA198" t="str">
        <f t="shared" si="13"/>
        <v>travaux magasin</v>
      </c>
    </row>
    <row r="199" spans="20:27" x14ac:dyDescent="0.25">
      <c r="T199" s="158">
        <f t="shared" si="10"/>
        <v>49770</v>
      </c>
      <c r="U199" s="164">
        <f t="shared" si="11"/>
        <v>864.41</v>
      </c>
      <c r="V199" s="159">
        <f t="shared" si="14"/>
        <v>-549.30999999999995</v>
      </c>
      <c r="W199" s="159">
        <f>D_Emprunts!$U199-D_Emprunts!$V199</f>
        <v>1413.7199999999998</v>
      </c>
      <c r="X199" s="160">
        <f>X198-D_Emprunts!$W199</f>
        <v>-187617.61000000002</v>
      </c>
      <c r="Y199">
        <v>192</v>
      </c>
      <c r="Z199" t="str">
        <f t="shared" si="12"/>
        <v>Investissement</v>
      </c>
      <c r="AA199" t="str">
        <f t="shared" si="13"/>
        <v>travaux magasin</v>
      </c>
    </row>
    <row r="200" spans="20:27" x14ac:dyDescent="0.25">
      <c r="T200" s="155">
        <f t="shared" ref="T200:T263" si="15">EDATE(T199,1)</f>
        <v>49800</v>
      </c>
      <c r="U200" s="164">
        <f t="shared" si="11"/>
        <v>864.41</v>
      </c>
      <c r="V200" s="159">
        <f t="shared" si="14"/>
        <v>-553.48</v>
      </c>
      <c r="W200" s="156">
        <f>D_Emprunts!$U200-D_Emprunts!$V200</f>
        <v>1417.8899999999999</v>
      </c>
      <c r="X200" s="157">
        <f>X199-D_Emprunts!$W200</f>
        <v>-189035.50000000003</v>
      </c>
      <c r="Y200">
        <v>193</v>
      </c>
      <c r="Z200" t="str">
        <f t="shared" si="12"/>
        <v>Investissement</v>
      </c>
      <c r="AA200" t="str">
        <f t="shared" si="13"/>
        <v>travaux magasin</v>
      </c>
    </row>
    <row r="201" spans="20:27" x14ac:dyDescent="0.25">
      <c r="T201" s="158">
        <f t="shared" si="15"/>
        <v>49831</v>
      </c>
      <c r="U201" s="164">
        <f t="shared" ref="U201:U264" si="16">$X$4</f>
        <v>864.41</v>
      </c>
      <c r="V201" s="159">
        <f t="shared" si="14"/>
        <v>-557.66</v>
      </c>
      <c r="W201" s="159">
        <f>D_Emprunts!$U201-D_Emprunts!$V201</f>
        <v>1422.07</v>
      </c>
      <c r="X201" s="160">
        <f>X200-D_Emprunts!$W201</f>
        <v>-190457.57000000004</v>
      </c>
      <c r="Y201">
        <v>194</v>
      </c>
      <c r="Z201" t="str">
        <f t="shared" ref="Z201:Z264" si="17">$Y$4</f>
        <v>Investissement</v>
      </c>
      <c r="AA201" t="str">
        <f t="shared" ref="AA201:AA264" si="18">$Z$4</f>
        <v>travaux magasin</v>
      </c>
    </row>
    <row r="202" spans="20:27" x14ac:dyDescent="0.25">
      <c r="T202" s="155">
        <f t="shared" si="15"/>
        <v>49861</v>
      </c>
      <c r="U202" s="164">
        <f t="shared" si="16"/>
        <v>864.41</v>
      </c>
      <c r="V202" s="159">
        <f t="shared" ref="V202:V265" si="19">ROUND(X201*$V$4/12,2)</f>
        <v>-561.86</v>
      </c>
      <c r="W202" s="156">
        <f>D_Emprunts!$U202-D_Emprunts!$V202</f>
        <v>1426.27</v>
      </c>
      <c r="X202" s="157">
        <f>X201-D_Emprunts!$W202</f>
        <v>-191883.84000000003</v>
      </c>
      <c r="Y202">
        <v>195</v>
      </c>
      <c r="Z202" t="str">
        <f t="shared" si="17"/>
        <v>Investissement</v>
      </c>
      <c r="AA202" t="str">
        <f t="shared" si="18"/>
        <v>travaux magasin</v>
      </c>
    </row>
    <row r="203" spans="20:27" x14ac:dyDescent="0.25">
      <c r="T203" s="158">
        <f t="shared" si="15"/>
        <v>49892</v>
      </c>
      <c r="U203" s="164">
        <f t="shared" si="16"/>
        <v>864.41</v>
      </c>
      <c r="V203" s="159">
        <f t="shared" si="19"/>
        <v>-566.07000000000005</v>
      </c>
      <c r="W203" s="159">
        <f>D_Emprunts!$U203-D_Emprunts!$V203</f>
        <v>1430.48</v>
      </c>
      <c r="X203" s="160">
        <f>X202-D_Emprunts!$W203</f>
        <v>-193314.32000000004</v>
      </c>
      <c r="Y203">
        <v>196</v>
      </c>
      <c r="Z203" t="str">
        <f t="shared" si="17"/>
        <v>Investissement</v>
      </c>
      <c r="AA203" t="str">
        <f t="shared" si="18"/>
        <v>travaux magasin</v>
      </c>
    </row>
    <row r="204" spans="20:27" x14ac:dyDescent="0.25">
      <c r="T204" s="155">
        <f t="shared" si="15"/>
        <v>49923</v>
      </c>
      <c r="U204" s="164">
        <f t="shared" si="16"/>
        <v>864.41</v>
      </c>
      <c r="V204" s="159">
        <f t="shared" si="19"/>
        <v>-570.29</v>
      </c>
      <c r="W204" s="156">
        <f>D_Emprunts!$U204-D_Emprunts!$V204</f>
        <v>1434.6999999999998</v>
      </c>
      <c r="X204" s="157">
        <f>X203-D_Emprunts!$W204</f>
        <v>-194749.02000000005</v>
      </c>
      <c r="Y204">
        <v>197</v>
      </c>
      <c r="Z204" t="str">
        <f t="shared" si="17"/>
        <v>Investissement</v>
      </c>
      <c r="AA204" t="str">
        <f t="shared" si="18"/>
        <v>travaux magasin</v>
      </c>
    </row>
    <row r="205" spans="20:27" x14ac:dyDescent="0.25">
      <c r="T205" s="158">
        <f t="shared" si="15"/>
        <v>49953</v>
      </c>
      <c r="U205" s="164">
        <f t="shared" si="16"/>
        <v>864.41</v>
      </c>
      <c r="V205" s="159">
        <f t="shared" si="19"/>
        <v>-574.52</v>
      </c>
      <c r="W205" s="159">
        <f>D_Emprunts!$U205-D_Emprunts!$V205</f>
        <v>1438.9299999999998</v>
      </c>
      <c r="X205" s="160">
        <f>X204-D_Emprunts!$W205</f>
        <v>-196187.95000000004</v>
      </c>
      <c r="Y205">
        <v>198</v>
      </c>
      <c r="Z205" t="str">
        <f t="shared" si="17"/>
        <v>Investissement</v>
      </c>
      <c r="AA205" t="str">
        <f t="shared" si="18"/>
        <v>travaux magasin</v>
      </c>
    </row>
    <row r="206" spans="20:27" x14ac:dyDescent="0.25">
      <c r="T206" s="155">
        <f t="shared" si="15"/>
        <v>49984</v>
      </c>
      <c r="U206" s="164">
        <f t="shared" si="16"/>
        <v>864.41</v>
      </c>
      <c r="V206" s="159">
        <f t="shared" si="19"/>
        <v>-578.76</v>
      </c>
      <c r="W206" s="156">
        <f>D_Emprunts!$U206-D_Emprunts!$V206</f>
        <v>1443.17</v>
      </c>
      <c r="X206" s="157">
        <f>X205-D_Emprunts!$W206</f>
        <v>-197631.12000000005</v>
      </c>
      <c r="Y206">
        <v>199</v>
      </c>
      <c r="Z206" t="str">
        <f t="shared" si="17"/>
        <v>Investissement</v>
      </c>
      <c r="AA206" t="str">
        <f t="shared" si="18"/>
        <v>travaux magasin</v>
      </c>
    </row>
    <row r="207" spans="20:27" x14ac:dyDescent="0.25">
      <c r="T207" s="158">
        <f t="shared" si="15"/>
        <v>50014</v>
      </c>
      <c r="U207" s="164">
        <f t="shared" si="16"/>
        <v>864.41</v>
      </c>
      <c r="V207" s="159">
        <f t="shared" si="19"/>
        <v>-583.02</v>
      </c>
      <c r="W207" s="159">
        <f>D_Emprunts!$U207-D_Emprunts!$V207</f>
        <v>1447.4299999999998</v>
      </c>
      <c r="X207" s="160">
        <f>X206-D_Emprunts!$W207</f>
        <v>-199078.55000000005</v>
      </c>
      <c r="Y207">
        <v>200</v>
      </c>
      <c r="Z207" t="str">
        <f t="shared" si="17"/>
        <v>Investissement</v>
      </c>
      <c r="AA207" t="str">
        <f t="shared" si="18"/>
        <v>travaux magasin</v>
      </c>
    </row>
    <row r="208" spans="20:27" x14ac:dyDescent="0.25">
      <c r="T208" s="155">
        <f t="shared" si="15"/>
        <v>50045</v>
      </c>
      <c r="U208" s="164">
        <f t="shared" si="16"/>
        <v>864.41</v>
      </c>
      <c r="V208" s="159">
        <f t="shared" si="19"/>
        <v>-587.29</v>
      </c>
      <c r="W208" s="156">
        <f>D_Emprunts!$U208-D_Emprunts!$V208</f>
        <v>1451.6999999999998</v>
      </c>
      <c r="X208" s="157">
        <f>X207-D_Emprunts!$W208</f>
        <v>-200530.25000000006</v>
      </c>
      <c r="Y208">
        <v>201</v>
      </c>
      <c r="Z208" t="str">
        <f t="shared" si="17"/>
        <v>Investissement</v>
      </c>
      <c r="AA208" t="str">
        <f t="shared" si="18"/>
        <v>travaux magasin</v>
      </c>
    </row>
    <row r="209" spans="20:27" x14ac:dyDescent="0.25">
      <c r="T209" s="158">
        <f t="shared" si="15"/>
        <v>50076</v>
      </c>
      <c r="U209" s="164">
        <f t="shared" si="16"/>
        <v>864.41</v>
      </c>
      <c r="V209" s="159">
        <f t="shared" si="19"/>
        <v>-591.57000000000005</v>
      </c>
      <c r="W209" s="159">
        <f>D_Emprunts!$U209-D_Emprunts!$V209</f>
        <v>1455.98</v>
      </c>
      <c r="X209" s="160">
        <f>X208-D_Emprunts!$W209</f>
        <v>-201986.23000000007</v>
      </c>
      <c r="Y209">
        <v>202</v>
      </c>
      <c r="Z209" t="str">
        <f t="shared" si="17"/>
        <v>Investissement</v>
      </c>
      <c r="AA209" t="str">
        <f t="shared" si="18"/>
        <v>travaux magasin</v>
      </c>
    </row>
    <row r="210" spans="20:27" x14ac:dyDescent="0.25">
      <c r="T210" s="155">
        <f t="shared" si="15"/>
        <v>50104</v>
      </c>
      <c r="U210" s="164">
        <f t="shared" si="16"/>
        <v>864.41</v>
      </c>
      <c r="V210" s="159">
        <f t="shared" si="19"/>
        <v>-595.87</v>
      </c>
      <c r="W210" s="156">
        <f>D_Emprunts!$U210-D_Emprunts!$V210</f>
        <v>1460.28</v>
      </c>
      <c r="X210" s="157">
        <f>X209-D_Emprunts!$W210</f>
        <v>-203446.51000000007</v>
      </c>
      <c r="Y210">
        <v>203</v>
      </c>
      <c r="Z210" t="str">
        <f t="shared" si="17"/>
        <v>Investissement</v>
      </c>
      <c r="AA210" t="str">
        <f t="shared" si="18"/>
        <v>travaux magasin</v>
      </c>
    </row>
    <row r="211" spans="20:27" x14ac:dyDescent="0.25">
      <c r="T211" s="158">
        <f t="shared" si="15"/>
        <v>50135</v>
      </c>
      <c r="U211" s="164">
        <f t="shared" si="16"/>
        <v>864.41</v>
      </c>
      <c r="V211" s="159">
        <f t="shared" si="19"/>
        <v>-600.17999999999995</v>
      </c>
      <c r="W211" s="159">
        <f>D_Emprunts!$U211-D_Emprunts!$V211</f>
        <v>1464.59</v>
      </c>
      <c r="X211" s="160">
        <f>X210-D_Emprunts!$W211</f>
        <v>-204911.10000000006</v>
      </c>
      <c r="Y211">
        <v>204</v>
      </c>
      <c r="Z211" t="str">
        <f t="shared" si="17"/>
        <v>Investissement</v>
      </c>
      <c r="AA211" t="str">
        <f t="shared" si="18"/>
        <v>travaux magasin</v>
      </c>
    </row>
    <row r="212" spans="20:27" x14ac:dyDescent="0.25">
      <c r="T212" s="155">
        <f t="shared" si="15"/>
        <v>50165</v>
      </c>
      <c r="U212" s="164">
        <f t="shared" si="16"/>
        <v>864.41</v>
      </c>
      <c r="V212" s="159">
        <f t="shared" si="19"/>
        <v>-604.5</v>
      </c>
      <c r="W212" s="156">
        <f>D_Emprunts!$U212-D_Emprunts!$V212</f>
        <v>1468.9099999999999</v>
      </c>
      <c r="X212" s="157">
        <f>X211-D_Emprunts!$W212</f>
        <v>-206380.01000000007</v>
      </c>
      <c r="Y212">
        <v>205</v>
      </c>
      <c r="Z212" t="str">
        <f t="shared" si="17"/>
        <v>Investissement</v>
      </c>
      <c r="AA212" t="str">
        <f t="shared" si="18"/>
        <v>travaux magasin</v>
      </c>
    </row>
    <row r="213" spans="20:27" x14ac:dyDescent="0.25">
      <c r="T213" s="158">
        <f t="shared" si="15"/>
        <v>50196</v>
      </c>
      <c r="U213" s="164">
        <f t="shared" si="16"/>
        <v>864.41</v>
      </c>
      <c r="V213" s="159">
        <f t="shared" si="19"/>
        <v>-608.83000000000004</v>
      </c>
      <c r="W213" s="159">
        <f>D_Emprunts!$U213-D_Emprunts!$V213</f>
        <v>1473.24</v>
      </c>
      <c r="X213" s="160">
        <f>X212-D_Emprunts!$W213</f>
        <v>-207853.25000000006</v>
      </c>
      <c r="Y213">
        <v>206</v>
      </c>
      <c r="Z213" t="str">
        <f t="shared" si="17"/>
        <v>Investissement</v>
      </c>
      <c r="AA213" t="str">
        <f t="shared" si="18"/>
        <v>travaux magasin</v>
      </c>
    </row>
    <row r="214" spans="20:27" x14ac:dyDescent="0.25">
      <c r="T214" s="155">
        <f t="shared" si="15"/>
        <v>50226</v>
      </c>
      <c r="U214" s="164">
        <f t="shared" si="16"/>
        <v>864.41</v>
      </c>
      <c r="V214" s="159">
        <f t="shared" si="19"/>
        <v>-613.17999999999995</v>
      </c>
      <c r="W214" s="156">
        <f>D_Emprunts!$U214-D_Emprunts!$V214</f>
        <v>1477.59</v>
      </c>
      <c r="X214" s="157">
        <f>X213-D_Emprunts!$W214</f>
        <v>-209330.84000000005</v>
      </c>
      <c r="Y214">
        <v>207</v>
      </c>
      <c r="Z214" t="str">
        <f t="shared" si="17"/>
        <v>Investissement</v>
      </c>
      <c r="AA214" t="str">
        <f t="shared" si="18"/>
        <v>travaux magasin</v>
      </c>
    </row>
    <row r="215" spans="20:27" x14ac:dyDescent="0.25">
      <c r="T215" s="158">
        <f t="shared" si="15"/>
        <v>50257</v>
      </c>
      <c r="U215" s="164">
        <f t="shared" si="16"/>
        <v>864.41</v>
      </c>
      <c r="V215" s="159">
        <f t="shared" si="19"/>
        <v>-617.54</v>
      </c>
      <c r="W215" s="159">
        <f>D_Emprunts!$U215-D_Emprunts!$V215</f>
        <v>1481.9499999999998</v>
      </c>
      <c r="X215" s="160">
        <f>X214-D_Emprunts!$W215</f>
        <v>-210812.79000000007</v>
      </c>
      <c r="Y215">
        <v>208</v>
      </c>
      <c r="Z215" t="str">
        <f t="shared" si="17"/>
        <v>Investissement</v>
      </c>
      <c r="AA215" t="str">
        <f t="shared" si="18"/>
        <v>travaux magasin</v>
      </c>
    </row>
    <row r="216" spans="20:27" x14ac:dyDescent="0.25">
      <c r="T216" s="155">
        <f t="shared" si="15"/>
        <v>50288</v>
      </c>
      <c r="U216" s="164">
        <f t="shared" si="16"/>
        <v>864.41</v>
      </c>
      <c r="V216" s="159">
        <f t="shared" si="19"/>
        <v>-621.91</v>
      </c>
      <c r="W216" s="156">
        <f>D_Emprunts!$U216-D_Emprunts!$V216</f>
        <v>1486.32</v>
      </c>
      <c r="X216" s="157">
        <f>X215-D_Emprunts!$W216</f>
        <v>-212299.11000000007</v>
      </c>
      <c r="Y216">
        <v>209</v>
      </c>
      <c r="Z216" t="str">
        <f t="shared" si="17"/>
        <v>Investissement</v>
      </c>
      <c r="AA216" t="str">
        <f t="shared" si="18"/>
        <v>travaux magasin</v>
      </c>
    </row>
    <row r="217" spans="20:27" x14ac:dyDescent="0.25">
      <c r="T217" s="158">
        <f t="shared" si="15"/>
        <v>50318</v>
      </c>
      <c r="U217" s="164">
        <f t="shared" si="16"/>
        <v>864.41</v>
      </c>
      <c r="V217" s="159">
        <f t="shared" si="19"/>
        <v>-626.29</v>
      </c>
      <c r="W217" s="159">
        <f>D_Emprunts!$U217-D_Emprunts!$V217</f>
        <v>1490.6999999999998</v>
      </c>
      <c r="X217" s="160">
        <f>X216-D_Emprunts!$W217</f>
        <v>-213789.81000000008</v>
      </c>
      <c r="Y217">
        <v>210</v>
      </c>
      <c r="Z217" t="str">
        <f t="shared" si="17"/>
        <v>Investissement</v>
      </c>
      <c r="AA217" t="str">
        <f t="shared" si="18"/>
        <v>travaux magasin</v>
      </c>
    </row>
    <row r="218" spans="20:27" x14ac:dyDescent="0.25">
      <c r="T218" s="155">
        <f t="shared" si="15"/>
        <v>50349</v>
      </c>
      <c r="U218" s="164">
        <f t="shared" si="16"/>
        <v>864.41</v>
      </c>
      <c r="V218" s="159">
        <f t="shared" si="19"/>
        <v>-630.69000000000005</v>
      </c>
      <c r="W218" s="156">
        <f>D_Emprunts!$U218-D_Emprunts!$V218</f>
        <v>1495.1</v>
      </c>
      <c r="X218" s="157">
        <f>X217-D_Emprunts!$W218</f>
        <v>-215284.91000000009</v>
      </c>
      <c r="Y218">
        <v>211</v>
      </c>
      <c r="Z218" t="str">
        <f t="shared" si="17"/>
        <v>Investissement</v>
      </c>
      <c r="AA218" t="str">
        <f t="shared" si="18"/>
        <v>travaux magasin</v>
      </c>
    </row>
    <row r="219" spans="20:27" x14ac:dyDescent="0.25">
      <c r="T219" s="158">
        <f t="shared" si="15"/>
        <v>50379</v>
      </c>
      <c r="U219" s="164">
        <f t="shared" si="16"/>
        <v>864.41</v>
      </c>
      <c r="V219" s="159">
        <f t="shared" si="19"/>
        <v>-635.1</v>
      </c>
      <c r="W219" s="159">
        <f>D_Emprunts!$U219-D_Emprunts!$V219</f>
        <v>1499.51</v>
      </c>
      <c r="X219" s="160">
        <f>X218-D_Emprunts!$W219</f>
        <v>-216784.4200000001</v>
      </c>
      <c r="Y219">
        <v>212</v>
      </c>
      <c r="Z219" t="str">
        <f t="shared" si="17"/>
        <v>Investissement</v>
      </c>
      <c r="AA219" t="str">
        <f t="shared" si="18"/>
        <v>travaux magasin</v>
      </c>
    </row>
    <row r="220" spans="20:27" x14ac:dyDescent="0.25">
      <c r="T220" s="155">
        <f t="shared" si="15"/>
        <v>50410</v>
      </c>
      <c r="U220" s="164">
        <f t="shared" si="16"/>
        <v>864.41</v>
      </c>
      <c r="V220" s="159">
        <f t="shared" si="19"/>
        <v>-639.53</v>
      </c>
      <c r="W220" s="156">
        <f>D_Emprunts!$U220-D_Emprunts!$V220</f>
        <v>1503.94</v>
      </c>
      <c r="X220" s="157">
        <f>X219-D_Emprunts!$W220</f>
        <v>-218288.3600000001</v>
      </c>
      <c r="Y220">
        <v>213</v>
      </c>
      <c r="Z220" t="str">
        <f t="shared" si="17"/>
        <v>Investissement</v>
      </c>
      <c r="AA220" t="str">
        <f t="shared" si="18"/>
        <v>travaux magasin</v>
      </c>
    </row>
    <row r="221" spans="20:27" x14ac:dyDescent="0.25">
      <c r="T221" s="158">
        <f t="shared" si="15"/>
        <v>50441</v>
      </c>
      <c r="U221" s="164">
        <f t="shared" si="16"/>
        <v>864.41</v>
      </c>
      <c r="V221" s="159">
        <f t="shared" si="19"/>
        <v>-643.96</v>
      </c>
      <c r="W221" s="159">
        <f>D_Emprunts!$U221-D_Emprunts!$V221</f>
        <v>1508.37</v>
      </c>
      <c r="X221" s="160">
        <f>X220-D_Emprunts!$W221</f>
        <v>-219796.7300000001</v>
      </c>
      <c r="Y221">
        <v>214</v>
      </c>
      <c r="Z221" t="str">
        <f t="shared" si="17"/>
        <v>Investissement</v>
      </c>
      <c r="AA221" t="str">
        <f t="shared" si="18"/>
        <v>travaux magasin</v>
      </c>
    </row>
    <row r="222" spans="20:27" x14ac:dyDescent="0.25">
      <c r="T222" s="155">
        <f t="shared" si="15"/>
        <v>50469</v>
      </c>
      <c r="U222" s="164">
        <f t="shared" si="16"/>
        <v>864.41</v>
      </c>
      <c r="V222" s="159">
        <f t="shared" si="19"/>
        <v>-648.41</v>
      </c>
      <c r="W222" s="156">
        <f>D_Emprunts!$U222-D_Emprunts!$V222</f>
        <v>1512.82</v>
      </c>
      <c r="X222" s="157">
        <f>X221-D_Emprunts!$W222</f>
        <v>-221309.5500000001</v>
      </c>
      <c r="Y222">
        <v>215</v>
      </c>
      <c r="Z222" t="str">
        <f t="shared" si="17"/>
        <v>Investissement</v>
      </c>
      <c r="AA222" t="str">
        <f t="shared" si="18"/>
        <v>travaux magasin</v>
      </c>
    </row>
    <row r="223" spans="20:27" x14ac:dyDescent="0.25">
      <c r="T223" s="158">
        <f t="shared" si="15"/>
        <v>50500</v>
      </c>
      <c r="U223" s="164">
        <f t="shared" si="16"/>
        <v>864.41</v>
      </c>
      <c r="V223" s="159">
        <f t="shared" si="19"/>
        <v>-652.87</v>
      </c>
      <c r="W223" s="159">
        <f>D_Emprunts!$U223-D_Emprunts!$V223</f>
        <v>1517.28</v>
      </c>
      <c r="X223" s="160">
        <f>X222-D_Emprunts!$W223</f>
        <v>-222826.8300000001</v>
      </c>
      <c r="Y223">
        <v>216</v>
      </c>
      <c r="Z223" t="str">
        <f t="shared" si="17"/>
        <v>Investissement</v>
      </c>
      <c r="AA223" t="str">
        <f t="shared" si="18"/>
        <v>travaux magasin</v>
      </c>
    </row>
    <row r="224" spans="20:27" x14ac:dyDescent="0.25">
      <c r="T224" s="155">
        <f t="shared" si="15"/>
        <v>50530</v>
      </c>
      <c r="U224" s="164">
        <f t="shared" si="16"/>
        <v>864.41</v>
      </c>
      <c r="V224" s="159">
        <f t="shared" si="19"/>
        <v>-657.35</v>
      </c>
      <c r="W224" s="156">
        <f>D_Emprunts!$U224-D_Emprunts!$V224</f>
        <v>1521.76</v>
      </c>
      <c r="X224" s="157">
        <f>X223-D_Emprunts!$W224</f>
        <v>-224348.59000000011</v>
      </c>
      <c r="Y224">
        <v>217</v>
      </c>
      <c r="Z224" t="str">
        <f t="shared" si="17"/>
        <v>Investissement</v>
      </c>
      <c r="AA224" t="str">
        <f t="shared" si="18"/>
        <v>travaux magasin</v>
      </c>
    </row>
    <row r="225" spans="20:27" x14ac:dyDescent="0.25">
      <c r="T225" s="158">
        <f t="shared" si="15"/>
        <v>50561</v>
      </c>
      <c r="U225" s="164">
        <f t="shared" si="16"/>
        <v>864.41</v>
      </c>
      <c r="V225" s="159">
        <f t="shared" si="19"/>
        <v>-661.84</v>
      </c>
      <c r="W225" s="159">
        <f>D_Emprunts!$U225-D_Emprunts!$V225</f>
        <v>1526.25</v>
      </c>
      <c r="X225" s="160">
        <f>X224-D_Emprunts!$W225</f>
        <v>-225874.84000000011</v>
      </c>
      <c r="Y225">
        <v>218</v>
      </c>
      <c r="Z225" t="str">
        <f t="shared" si="17"/>
        <v>Investissement</v>
      </c>
      <c r="AA225" t="str">
        <f t="shared" si="18"/>
        <v>travaux magasin</v>
      </c>
    </row>
    <row r="226" spans="20:27" x14ac:dyDescent="0.25">
      <c r="T226" s="155">
        <f t="shared" si="15"/>
        <v>50591</v>
      </c>
      <c r="U226" s="164">
        <f t="shared" si="16"/>
        <v>864.41</v>
      </c>
      <c r="V226" s="159">
        <f t="shared" si="19"/>
        <v>-666.34</v>
      </c>
      <c r="W226" s="156">
        <f>D_Emprunts!$U226-D_Emprunts!$V226</f>
        <v>1530.75</v>
      </c>
      <c r="X226" s="157">
        <f>X225-D_Emprunts!$W226</f>
        <v>-227405.59000000011</v>
      </c>
      <c r="Y226">
        <v>219</v>
      </c>
      <c r="Z226" t="str">
        <f t="shared" si="17"/>
        <v>Investissement</v>
      </c>
      <c r="AA226" t="str">
        <f t="shared" si="18"/>
        <v>travaux magasin</v>
      </c>
    </row>
    <row r="227" spans="20:27" x14ac:dyDescent="0.25">
      <c r="T227" s="158">
        <f t="shared" si="15"/>
        <v>50622</v>
      </c>
      <c r="U227" s="164">
        <f t="shared" si="16"/>
        <v>864.41</v>
      </c>
      <c r="V227" s="159">
        <f t="shared" si="19"/>
        <v>-670.86</v>
      </c>
      <c r="W227" s="159">
        <f>D_Emprunts!$U227-D_Emprunts!$V227</f>
        <v>1535.27</v>
      </c>
      <c r="X227" s="160">
        <f>X226-D_Emprunts!$W227</f>
        <v>-228940.8600000001</v>
      </c>
      <c r="Y227">
        <v>220</v>
      </c>
      <c r="Z227" t="str">
        <f t="shared" si="17"/>
        <v>Investissement</v>
      </c>
      <c r="AA227" t="str">
        <f t="shared" si="18"/>
        <v>travaux magasin</v>
      </c>
    </row>
    <row r="228" spans="20:27" x14ac:dyDescent="0.25">
      <c r="T228" s="155">
        <f t="shared" si="15"/>
        <v>50653</v>
      </c>
      <c r="U228" s="164">
        <f t="shared" si="16"/>
        <v>864.41</v>
      </c>
      <c r="V228" s="159">
        <f t="shared" si="19"/>
        <v>-675.39</v>
      </c>
      <c r="W228" s="156">
        <f>D_Emprunts!$U228-D_Emprunts!$V228</f>
        <v>1539.8</v>
      </c>
      <c r="X228" s="157">
        <f>X227-D_Emprunts!$W228</f>
        <v>-230480.66000000009</v>
      </c>
      <c r="Y228">
        <v>221</v>
      </c>
      <c r="Z228" t="str">
        <f t="shared" si="17"/>
        <v>Investissement</v>
      </c>
      <c r="AA228" t="str">
        <f t="shared" si="18"/>
        <v>travaux magasin</v>
      </c>
    </row>
    <row r="229" spans="20:27" x14ac:dyDescent="0.25">
      <c r="T229" s="158">
        <f t="shared" si="15"/>
        <v>50683</v>
      </c>
      <c r="U229" s="164">
        <f t="shared" si="16"/>
        <v>864.41</v>
      </c>
      <c r="V229" s="159">
        <f t="shared" si="19"/>
        <v>-679.93</v>
      </c>
      <c r="W229" s="159">
        <f>D_Emprunts!$U229-D_Emprunts!$V229</f>
        <v>1544.34</v>
      </c>
      <c r="X229" s="160">
        <f>X228-D_Emprunts!$W229</f>
        <v>-232025.00000000009</v>
      </c>
      <c r="Y229">
        <v>222</v>
      </c>
      <c r="Z229" t="str">
        <f t="shared" si="17"/>
        <v>Investissement</v>
      </c>
      <c r="AA229" t="str">
        <f t="shared" si="18"/>
        <v>travaux magasin</v>
      </c>
    </row>
    <row r="230" spans="20:27" x14ac:dyDescent="0.25">
      <c r="T230" s="155">
        <f t="shared" si="15"/>
        <v>50714</v>
      </c>
      <c r="U230" s="164">
        <f t="shared" si="16"/>
        <v>864.41</v>
      </c>
      <c r="V230" s="159">
        <f t="shared" si="19"/>
        <v>-684.49</v>
      </c>
      <c r="W230" s="156">
        <f>D_Emprunts!$U230-D_Emprunts!$V230</f>
        <v>1548.9</v>
      </c>
      <c r="X230" s="157">
        <f>X229-D_Emprunts!$W230</f>
        <v>-233573.90000000008</v>
      </c>
      <c r="Y230">
        <v>223</v>
      </c>
      <c r="Z230" t="str">
        <f t="shared" si="17"/>
        <v>Investissement</v>
      </c>
      <c r="AA230" t="str">
        <f t="shared" si="18"/>
        <v>travaux magasin</v>
      </c>
    </row>
    <row r="231" spans="20:27" x14ac:dyDescent="0.25">
      <c r="T231" s="158">
        <f t="shared" si="15"/>
        <v>50744</v>
      </c>
      <c r="U231" s="164">
        <f t="shared" si="16"/>
        <v>864.41</v>
      </c>
      <c r="V231" s="159">
        <f t="shared" si="19"/>
        <v>-689.05</v>
      </c>
      <c r="W231" s="159">
        <f>D_Emprunts!$U231-D_Emprunts!$V231</f>
        <v>1553.46</v>
      </c>
      <c r="X231" s="160">
        <f>X230-D_Emprunts!$W231</f>
        <v>-235127.36000000007</v>
      </c>
      <c r="Y231">
        <v>224</v>
      </c>
      <c r="Z231" t="str">
        <f t="shared" si="17"/>
        <v>Investissement</v>
      </c>
      <c r="AA231" t="str">
        <f t="shared" si="18"/>
        <v>travaux magasin</v>
      </c>
    </row>
    <row r="232" spans="20:27" x14ac:dyDescent="0.25">
      <c r="T232" s="155">
        <f t="shared" si="15"/>
        <v>50775</v>
      </c>
      <c r="U232" s="164">
        <f t="shared" si="16"/>
        <v>864.41</v>
      </c>
      <c r="V232" s="159">
        <f t="shared" si="19"/>
        <v>-693.64</v>
      </c>
      <c r="W232" s="156">
        <f>D_Emprunts!$U232-D_Emprunts!$V232</f>
        <v>1558.05</v>
      </c>
      <c r="X232" s="157">
        <f>X231-D_Emprunts!$W232</f>
        <v>-236685.41000000006</v>
      </c>
      <c r="Y232">
        <v>225</v>
      </c>
      <c r="Z232" t="str">
        <f t="shared" si="17"/>
        <v>Investissement</v>
      </c>
      <c r="AA232" t="str">
        <f t="shared" si="18"/>
        <v>travaux magasin</v>
      </c>
    </row>
    <row r="233" spans="20:27" x14ac:dyDescent="0.25">
      <c r="T233" s="158">
        <f t="shared" si="15"/>
        <v>50806</v>
      </c>
      <c r="U233" s="164">
        <f t="shared" si="16"/>
        <v>864.41</v>
      </c>
      <c r="V233" s="159">
        <f t="shared" si="19"/>
        <v>-698.23</v>
      </c>
      <c r="W233" s="159">
        <f>D_Emprunts!$U233-D_Emprunts!$V233</f>
        <v>1562.6399999999999</v>
      </c>
      <c r="X233" s="160">
        <f>X232-D_Emprunts!$W233</f>
        <v>-238248.05000000008</v>
      </c>
      <c r="Y233">
        <v>226</v>
      </c>
      <c r="Z233" t="str">
        <f t="shared" si="17"/>
        <v>Investissement</v>
      </c>
      <c r="AA233" t="str">
        <f t="shared" si="18"/>
        <v>travaux magasin</v>
      </c>
    </row>
    <row r="234" spans="20:27" x14ac:dyDescent="0.25">
      <c r="T234" s="155">
        <f t="shared" si="15"/>
        <v>50834</v>
      </c>
      <c r="U234" s="164">
        <f t="shared" si="16"/>
        <v>864.41</v>
      </c>
      <c r="V234" s="159">
        <f t="shared" si="19"/>
        <v>-702.84</v>
      </c>
      <c r="W234" s="156">
        <f>D_Emprunts!$U234-D_Emprunts!$V234</f>
        <v>1567.25</v>
      </c>
      <c r="X234" s="157">
        <f>X233-D_Emprunts!$W234</f>
        <v>-239815.30000000008</v>
      </c>
      <c r="Y234">
        <v>227</v>
      </c>
      <c r="Z234" t="str">
        <f t="shared" si="17"/>
        <v>Investissement</v>
      </c>
      <c r="AA234" t="str">
        <f t="shared" si="18"/>
        <v>travaux magasin</v>
      </c>
    </row>
    <row r="235" spans="20:27" x14ac:dyDescent="0.25">
      <c r="T235" s="158">
        <f t="shared" si="15"/>
        <v>50865</v>
      </c>
      <c r="U235" s="164">
        <f t="shared" si="16"/>
        <v>864.41</v>
      </c>
      <c r="V235" s="159">
        <f t="shared" si="19"/>
        <v>-707.47</v>
      </c>
      <c r="W235" s="159">
        <f>D_Emprunts!$U235-D_Emprunts!$V235</f>
        <v>1571.88</v>
      </c>
      <c r="X235" s="160">
        <f>X234-D_Emprunts!$W235</f>
        <v>-241387.18000000008</v>
      </c>
      <c r="Y235">
        <v>228</v>
      </c>
      <c r="Z235" t="str">
        <f t="shared" si="17"/>
        <v>Investissement</v>
      </c>
      <c r="AA235" t="str">
        <f t="shared" si="18"/>
        <v>travaux magasin</v>
      </c>
    </row>
    <row r="236" spans="20:27" x14ac:dyDescent="0.25">
      <c r="T236" s="155">
        <f t="shared" si="15"/>
        <v>50895</v>
      </c>
      <c r="U236" s="164">
        <f t="shared" si="16"/>
        <v>864.41</v>
      </c>
      <c r="V236" s="159">
        <f t="shared" si="19"/>
        <v>-712.1</v>
      </c>
      <c r="W236" s="156">
        <f>D_Emprunts!$U236-D_Emprunts!$V236</f>
        <v>1576.51</v>
      </c>
      <c r="X236" s="157">
        <f>X235-D_Emprunts!$W236</f>
        <v>-242963.69000000009</v>
      </c>
      <c r="Y236">
        <v>229</v>
      </c>
      <c r="Z236" t="str">
        <f t="shared" si="17"/>
        <v>Investissement</v>
      </c>
      <c r="AA236" t="str">
        <f t="shared" si="18"/>
        <v>travaux magasin</v>
      </c>
    </row>
    <row r="237" spans="20:27" x14ac:dyDescent="0.25">
      <c r="T237" s="158">
        <f t="shared" si="15"/>
        <v>50926</v>
      </c>
      <c r="U237" s="164">
        <f t="shared" si="16"/>
        <v>864.41</v>
      </c>
      <c r="V237" s="159">
        <f t="shared" si="19"/>
        <v>-716.76</v>
      </c>
      <c r="W237" s="159">
        <f>D_Emprunts!$U237-D_Emprunts!$V237</f>
        <v>1581.17</v>
      </c>
      <c r="X237" s="160">
        <f>X236-D_Emprunts!$W237</f>
        <v>-244544.8600000001</v>
      </c>
      <c r="Y237">
        <v>230</v>
      </c>
      <c r="Z237" t="str">
        <f t="shared" si="17"/>
        <v>Investissement</v>
      </c>
      <c r="AA237" t="str">
        <f t="shared" si="18"/>
        <v>travaux magasin</v>
      </c>
    </row>
    <row r="238" spans="20:27" x14ac:dyDescent="0.25">
      <c r="T238" s="155">
        <f t="shared" si="15"/>
        <v>50956</v>
      </c>
      <c r="U238" s="164">
        <f t="shared" si="16"/>
        <v>864.41</v>
      </c>
      <c r="V238" s="159">
        <f t="shared" si="19"/>
        <v>-721.42</v>
      </c>
      <c r="W238" s="156">
        <f>D_Emprunts!$U238-D_Emprunts!$V238</f>
        <v>1585.83</v>
      </c>
      <c r="X238" s="157">
        <f>X237-D_Emprunts!$W238</f>
        <v>-246130.69000000009</v>
      </c>
      <c r="Y238">
        <v>231</v>
      </c>
      <c r="Z238" t="str">
        <f t="shared" si="17"/>
        <v>Investissement</v>
      </c>
      <c r="AA238" t="str">
        <f t="shared" si="18"/>
        <v>travaux magasin</v>
      </c>
    </row>
    <row r="239" spans="20:27" x14ac:dyDescent="0.25">
      <c r="T239" s="158">
        <f t="shared" si="15"/>
        <v>50987</v>
      </c>
      <c r="U239" s="164">
        <f t="shared" si="16"/>
        <v>864.41</v>
      </c>
      <c r="V239" s="159">
        <f t="shared" si="19"/>
        <v>-726.1</v>
      </c>
      <c r="W239" s="159">
        <f>D_Emprunts!$U239-D_Emprunts!$V239</f>
        <v>1590.51</v>
      </c>
      <c r="X239" s="160">
        <f>X238-D_Emprunts!$W239</f>
        <v>-247721.2000000001</v>
      </c>
      <c r="Y239">
        <v>232</v>
      </c>
      <c r="Z239" t="str">
        <f t="shared" si="17"/>
        <v>Investissement</v>
      </c>
      <c r="AA239" t="str">
        <f t="shared" si="18"/>
        <v>travaux magasin</v>
      </c>
    </row>
    <row r="240" spans="20:27" x14ac:dyDescent="0.25">
      <c r="T240" s="155">
        <f t="shared" si="15"/>
        <v>51018</v>
      </c>
      <c r="U240" s="164">
        <f t="shared" si="16"/>
        <v>864.41</v>
      </c>
      <c r="V240" s="159">
        <f t="shared" si="19"/>
        <v>-730.79</v>
      </c>
      <c r="W240" s="156">
        <f>D_Emprunts!$U240-D_Emprunts!$V240</f>
        <v>1595.1999999999998</v>
      </c>
      <c r="X240" s="157">
        <f>X239-D_Emprunts!$W240</f>
        <v>-249316.40000000011</v>
      </c>
      <c r="Y240">
        <v>233</v>
      </c>
      <c r="Z240" t="str">
        <f t="shared" si="17"/>
        <v>Investissement</v>
      </c>
      <c r="AA240" t="str">
        <f t="shared" si="18"/>
        <v>travaux magasin</v>
      </c>
    </row>
    <row r="241" spans="20:27" x14ac:dyDescent="0.25">
      <c r="T241" s="158">
        <f t="shared" si="15"/>
        <v>51048</v>
      </c>
      <c r="U241" s="164">
        <f t="shared" si="16"/>
        <v>864.41</v>
      </c>
      <c r="V241" s="159">
        <f t="shared" si="19"/>
        <v>-735.5</v>
      </c>
      <c r="W241" s="159">
        <f>D_Emprunts!$U241-D_Emprunts!$V241</f>
        <v>1599.9099999999999</v>
      </c>
      <c r="X241" s="160">
        <f>X240-D_Emprunts!$W241</f>
        <v>-250916.31000000011</v>
      </c>
      <c r="Y241">
        <v>234</v>
      </c>
      <c r="Z241" t="str">
        <f t="shared" si="17"/>
        <v>Investissement</v>
      </c>
      <c r="AA241" t="str">
        <f t="shared" si="18"/>
        <v>travaux magasin</v>
      </c>
    </row>
    <row r="242" spans="20:27" x14ac:dyDescent="0.25">
      <c r="T242" s="155">
        <f t="shared" si="15"/>
        <v>51079</v>
      </c>
      <c r="U242" s="164">
        <f t="shared" si="16"/>
        <v>864.41</v>
      </c>
      <c r="V242" s="159">
        <f t="shared" si="19"/>
        <v>-740.22</v>
      </c>
      <c r="W242" s="156">
        <f>D_Emprunts!$U242-D_Emprunts!$V242</f>
        <v>1604.63</v>
      </c>
      <c r="X242" s="157">
        <f>X241-D_Emprunts!$W242</f>
        <v>-252520.94000000012</v>
      </c>
      <c r="Y242">
        <v>235</v>
      </c>
      <c r="Z242" t="str">
        <f t="shared" si="17"/>
        <v>Investissement</v>
      </c>
      <c r="AA242" t="str">
        <f t="shared" si="18"/>
        <v>travaux magasin</v>
      </c>
    </row>
    <row r="243" spans="20:27" x14ac:dyDescent="0.25">
      <c r="T243" s="158">
        <f t="shared" si="15"/>
        <v>51109</v>
      </c>
      <c r="U243" s="164">
        <f t="shared" si="16"/>
        <v>864.41</v>
      </c>
      <c r="V243" s="159">
        <f t="shared" si="19"/>
        <v>-744.95</v>
      </c>
      <c r="W243" s="159">
        <f>D_Emprunts!$U243-D_Emprunts!$V243</f>
        <v>1609.3600000000001</v>
      </c>
      <c r="X243" s="160">
        <f>X242-D_Emprunts!$W243</f>
        <v>-254130.3000000001</v>
      </c>
      <c r="Y243">
        <v>236</v>
      </c>
      <c r="Z243" t="str">
        <f t="shared" si="17"/>
        <v>Investissement</v>
      </c>
      <c r="AA243" t="str">
        <f t="shared" si="18"/>
        <v>travaux magasin</v>
      </c>
    </row>
    <row r="244" spans="20:27" x14ac:dyDescent="0.25">
      <c r="T244" s="155">
        <f t="shared" si="15"/>
        <v>51140</v>
      </c>
      <c r="U244" s="164">
        <f t="shared" si="16"/>
        <v>864.41</v>
      </c>
      <c r="V244" s="159">
        <f t="shared" si="19"/>
        <v>-749.7</v>
      </c>
      <c r="W244" s="156">
        <f>D_Emprunts!$U244-D_Emprunts!$V244</f>
        <v>1614.1100000000001</v>
      </c>
      <c r="X244" s="157">
        <f>X243-D_Emprunts!$W244</f>
        <v>-255744.41000000009</v>
      </c>
      <c r="Y244">
        <v>237</v>
      </c>
      <c r="Z244" t="str">
        <f t="shared" si="17"/>
        <v>Investissement</v>
      </c>
      <c r="AA244" t="str">
        <f t="shared" si="18"/>
        <v>travaux magasin</v>
      </c>
    </row>
    <row r="245" spans="20:27" x14ac:dyDescent="0.25">
      <c r="T245" s="158">
        <f t="shared" si="15"/>
        <v>51171</v>
      </c>
      <c r="U245" s="164">
        <f t="shared" si="16"/>
        <v>864.41</v>
      </c>
      <c r="V245" s="159">
        <f t="shared" si="19"/>
        <v>-754.46</v>
      </c>
      <c r="W245" s="159">
        <f>D_Emprunts!$U245-D_Emprunts!$V245</f>
        <v>1618.87</v>
      </c>
      <c r="X245" s="160">
        <f>X244-D_Emprunts!$W245</f>
        <v>-257363.28000000009</v>
      </c>
      <c r="Y245">
        <v>238</v>
      </c>
      <c r="Z245" t="str">
        <f t="shared" si="17"/>
        <v>Investissement</v>
      </c>
      <c r="AA245" t="str">
        <f t="shared" si="18"/>
        <v>travaux magasin</v>
      </c>
    </row>
    <row r="246" spans="20:27" x14ac:dyDescent="0.25">
      <c r="T246" s="155">
        <f t="shared" si="15"/>
        <v>51200</v>
      </c>
      <c r="U246" s="164">
        <f t="shared" si="16"/>
        <v>864.41</v>
      </c>
      <c r="V246" s="159">
        <f t="shared" si="19"/>
        <v>-759.23</v>
      </c>
      <c r="W246" s="156">
        <f>D_Emprunts!$U246-D_Emprunts!$V246</f>
        <v>1623.6399999999999</v>
      </c>
      <c r="X246" s="157">
        <f>X245-D_Emprunts!$W246</f>
        <v>-258986.9200000001</v>
      </c>
      <c r="Y246">
        <v>239</v>
      </c>
      <c r="Z246" t="str">
        <f t="shared" si="17"/>
        <v>Investissement</v>
      </c>
      <c r="AA246" t="str">
        <f t="shared" si="18"/>
        <v>travaux magasin</v>
      </c>
    </row>
    <row r="247" spans="20:27" x14ac:dyDescent="0.25">
      <c r="T247" s="158">
        <f t="shared" si="15"/>
        <v>51231</v>
      </c>
      <c r="U247" s="164">
        <f t="shared" si="16"/>
        <v>864.41</v>
      </c>
      <c r="V247" s="159">
        <f t="shared" si="19"/>
        <v>-764.02</v>
      </c>
      <c r="W247" s="159">
        <f>D_Emprunts!$U247-D_Emprunts!$V247</f>
        <v>1628.4299999999998</v>
      </c>
      <c r="X247" s="160">
        <f>X246-D_Emprunts!$W247</f>
        <v>-260615.35000000009</v>
      </c>
      <c r="Y247">
        <v>240</v>
      </c>
      <c r="Z247" t="str">
        <f t="shared" si="17"/>
        <v>Investissement</v>
      </c>
      <c r="AA247" t="str">
        <f t="shared" si="18"/>
        <v>travaux magasin</v>
      </c>
    </row>
    <row r="248" spans="20:27" x14ac:dyDescent="0.25">
      <c r="T248" s="155">
        <f t="shared" si="15"/>
        <v>51261</v>
      </c>
      <c r="U248" s="164">
        <f t="shared" si="16"/>
        <v>864.41</v>
      </c>
      <c r="V248" s="159">
        <f t="shared" si="19"/>
        <v>-768.83</v>
      </c>
      <c r="W248" s="156">
        <f>D_Emprunts!$U248-D_Emprunts!$V248</f>
        <v>1633.24</v>
      </c>
      <c r="X248" s="157">
        <f>X247-D_Emprunts!$W248</f>
        <v>-262248.59000000008</v>
      </c>
      <c r="Y248">
        <v>241</v>
      </c>
      <c r="Z248" t="str">
        <f t="shared" si="17"/>
        <v>Investissement</v>
      </c>
      <c r="AA248" t="str">
        <f t="shared" si="18"/>
        <v>travaux magasin</v>
      </c>
    </row>
    <row r="249" spans="20:27" x14ac:dyDescent="0.25">
      <c r="T249" s="158">
        <f t="shared" si="15"/>
        <v>51292</v>
      </c>
      <c r="U249" s="164">
        <f t="shared" si="16"/>
        <v>864.41</v>
      </c>
      <c r="V249" s="159">
        <f t="shared" si="19"/>
        <v>-773.65</v>
      </c>
      <c r="W249" s="159">
        <f>D_Emprunts!$U249-D_Emprunts!$V249</f>
        <v>1638.06</v>
      </c>
      <c r="X249" s="160">
        <f>X248-D_Emprunts!$W249</f>
        <v>-263886.65000000008</v>
      </c>
      <c r="Y249">
        <v>242</v>
      </c>
      <c r="Z249" t="str">
        <f t="shared" si="17"/>
        <v>Investissement</v>
      </c>
      <c r="AA249" t="str">
        <f t="shared" si="18"/>
        <v>travaux magasin</v>
      </c>
    </row>
    <row r="250" spans="20:27" x14ac:dyDescent="0.25">
      <c r="T250" s="155">
        <f t="shared" si="15"/>
        <v>51322</v>
      </c>
      <c r="U250" s="164">
        <f t="shared" si="16"/>
        <v>864.41</v>
      </c>
      <c r="V250" s="159">
        <f t="shared" si="19"/>
        <v>-778.48</v>
      </c>
      <c r="W250" s="156">
        <f>D_Emprunts!$U250-D_Emprunts!$V250</f>
        <v>1642.8899999999999</v>
      </c>
      <c r="X250" s="157">
        <f>X249-D_Emprunts!$W250</f>
        <v>-265529.5400000001</v>
      </c>
      <c r="Y250">
        <v>243</v>
      </c>
      <c r="Z250" t="str">
        <f t="shared" si="17"/>
        <v>Investissement</v>
      </c>
      <c r="AA250" t="str">
        <f t="shared" si="18"/>
        <v>travaux magasin</v>
      </c>
    </row>
    <row r="251" spans="20:27" x14ac:dyDescent="0.25">
      <c r="T251" s="158">
        <f t="shared" si="15"/>
        <v>51353</v>
      </c>
      <c r="U251" s="164">
        <f t="shared" si="16"/>
        <v>864.41</v>
      </c>
      <c r="V251" s="159">
        <f t="shared" si="19"/>
        <v>-783.33</v>
      </c>
      <c r="W251" s="159">
        <f>D_Emprunts!$U251-D_Emprunts!$V251</f>
        <v>1647.74</v>
      </c>
      <c r="X251" s="160">
        <f>X250-D_Emprunts!$W251</f>
        <v>-267177.28000000009</v>
      </c>
      <c r="Y251">
        <v>244</v>
      </c>
      <c r="Z251" t="str">
        <f t="shared" si="17"/>
        <v>Investissement</v>
      </c>
      <c r="AA251" t="str">
        <f t="shared" si="18"/>
        <v>travaux magasin</v>
      </c>
    </row>
    <row r="252" spans="20:27" x14ac:dyDescent="0.25">
      <c r="T252" s="155">
        <f t="shared" si="15"/>
        <v>51384</v>
      </c>
      <c r="U252" s="164">
        <f t="shared" si="16"/>
        <v>864.41</v>
      </c>
      <c r="V252" s="159">
        <f t="shared" si="19"/>
        <v>-788.19</v>
      </c>
      <c r="W252" s="156">
        <f>D_Emprunts!$U252-D_Emprunts!$V252</f>
        <v>1652.6</v>
      </c>
      <c r="X252" s="157">
        <f>X251-D_Emprunts!$W252</f>
        <v>-268829.88000000006</v>
      </c>
      <c r="Y252">
        <v>245</v>
      </c>
      <c r="Z252" t="str">
        <f t="shared" si="17"/>
        <v>Investissement</v>
      </c>
      <c r="AA252" t="str">
        <f t="shared" si="18"/>
        <v>travaux magasin</v>
      </c>
    </row>
    <row r="253" spans="20:27" x14ac:dyDescent="0.25">
      <c r="T253" s="158">
        <f t="shared" si="15"/>
        <v>51414</v>
      </c>
      <c r="U253" s="164">
        <f t="shared" si="16"/>
        <v>864.41</v>
      </c>
      <c r="V253" s="159">
        <f t="shared" si="19"/>
        <v>-793.06</v>
      </c>
      <c r="W253" s="159">
        <f>D_Emprunts!$U253-D_Emprunts!$V253</f>
        <v>1657.4699999999998</v>
      </c>
      <c r="X253" s="160">
        <f>X252-D_Emprunts!$W253</f>
        <v>-270487.35000000003</v>
      </c>
      <c r="Y253">
        <v>246</v>
      </c>
      <c r="Z253" t="str">
        <f t="shared" si="17"/>
        <v>Investissement</v>
      </c>
      <c r="AA253" t="str">
        <f t="shared" si="18"/>
        <v>travaux magasin</v>
      </c>
    </row>
    <row r="254" spans="20:27" x14ac:dyDescent="0.25">
      <c r="T254" s="155">
        <f t="shared" si="15"/>
        <v>51445</v>
      </c>
      <c r="U254" s="164">
        <f t="shared" si="16"/>
        <v>864.41</v>
      </c>
      <c r="V254" s="159">
        <f t="shared" si="19"/>
        <v>-797.95</v>
      </c>
      <c r="W254" s="156">
        <f>D_Emprunts!$U254-D_Emprunts!$V254</f>
        <v>1662.3600000000001</v>
      </c>
      <c r="X254" s="157">
        <f>X253-D_Emprunts!$W254</f>
        <v>-272149.71000000002</v>
      </c>
      <c r="Y254">
        <v>247</v>
      </c>
      <c r="Z254" t="str">
        <f t="shared" si="17"/>
        <v>Investissement</v>
      </c>
      <c r="AA254" t="str">
        <f t="shared" si="18"/>
        <v>travaux magasin</v>
      </c>
    </row>
    <row r="255" spans="20:27" x14ac:dyDescent="0.25">
      <c r="T255" s="158">
        <f t="shared" si="15"/>
        <v>51475</v>
      </c>
      <c r="U255" s="164">
        <f t="shared" si="16"/>
        <v>864.41</v>
      </c>
      <c r="V255" s="159">
        <f t="shared" si="19"/>
        <v>-802.86</v>
      </c>
      <c r="W255" s="159">
        <f>D_Emprunts!$U255-D_Emprunts!$V255</f>
        <v>1667.27</v>
      </c>
      <c r="X255" s="160">
        <f>X254-D_Emprunts!$W255</f>
        <v>-273816.98000000004</v>
      </c>
      <c r="Y255">
        <v>248</v>
      </c>
      <c r="Z255" t="str">
        <f t="shared" si="17"/>
        <v>Investissement</v>
      </c>
      <c r="AA255" t="str">
        <f t="shared" si="18"/>
        <v>travaux magasin</v>
      </c>
    </row>
    <row r="256" spans="20:27" x14ac:dyDescent="0.25">
      <c r="T256" s="155">
        <f t="shared" si="15"/>
        <v>51506</v>
      </c>
      <c r="U256" s="164">
        <f t="shared" si="16"/>
        <v>864.41</v>
      </c>
      <c r="V256" s="159">
        <f t="shared" si="19"/>
        <v>-807.77</v>
      </c>
      <c r="W256" s="156">
        <f>D_Emprunts!$U256-D_Emprunts!$V256</f>
        <v>1672.1799999999998</v>
      </c>
      <c r="X256" s="157">
        <f>X255-D_Emprunts!$W256</f>
        <v>-275489.16000000003</v>
      </c>
      <c r="Y256">
        <v>249</v>
      </c>
      <c r="Z256" t="str">
        <f t="shared" si="17"/>
        <v>Investissement</v>
      </c>
      <c r="AA256" t="str">
        <f t="shared" si="18"/>
        <v>travaux magasin</v>
      </c>
    </row>
    <row r="257" spans="20:27" x14ac:dyDescent="0.25">
      <c r="T257" s="158">
        <f t="shared" si="15"/>
        <v>51537</v>
      </c>
      <c r="U257" s="164">
        <f t="shared" si="16"/>
        <v>864.41</v>
      </c>
      <c r="V257" s="159">
        <f t="shared" si="19"/>
        <v>-812.71</v>
      </c>
      <c r="W257" s="159">
        <f>D_Emprunts!$U257-D_Emprunts!$V257</f>
        <v>1677.12</v>
      </c>
      <c r="X257" s="160">
        <f>X256-D_Emprunts!$W257</f>
        <v>-277166.28000000003</v>
      </c>
      <c r="Y257">
        <v>250</v>
      </c>
      <c r="Z257" t="str">
        <f t="shared" si="17"/>
        <v>Investissement</v>
      </c>
      <c r="AA257" t="str">
        <f t="shared" si="18"/>
        <v>travaux magasin</v>
      </c>
    </row>
    <row r="258" spans="20:27" x14ac:dyDescent="0.25">
      <c r="T258" s="155">
        <f t="shared" si="15"/>
        <v>51565</v>
      </c>
      <c r="U258" s="164">
        <f t="shared" si="16"/>
        <v>864.41</v>
      </c>
      <c r="V258" s="159">
        <f t="shared" si="19"/>
        <v>-817.65</v>
      </c>
      <c r="W258" s="156">
        <f>D_Emprunts!$U258-D_Emprunts!$V258</f>
        <v>1682.06</v>
      </c>
      <c r="X258" s="157">
        <f>X257-D_Emprunts!$W258</f>
        <v>-278848.34000000003</v>
      </c>
      <c r="Y258">
        <v>251</v>
      </c>
      <c r="Z258" t="str">
        <f t="shared" si="17"/>
        <v>Investissement</v>
      </c>
      <c r="AA258" t="str">
        <f t="shared" si="18"/>
        <v>travaux magasin</v>
      </c>
    </row>
    <row r="259" spans="20:27" x14ac:dyDescent="0.25">
      <c r="T259" s="158">
        <f t="shared" si="15"/>
        <v>51596</v>
      </c>
      <c r="U259" s="164">
        <f t="shared" si="16"/>
        <v>864.41</v>
      </c>
      <c r="V259" s="159">
        <f t="shared" si="19"/>
        <v>-822.62</v>
      </c>
      <c r="W259" s="159">
        <f>D_Emprunts!$U259-D_Emprunts!$V259</f>
        <v>1687.03</v>
      </c>
      <c r="X259" s="160">
        <f>X258-D_Emprunts!$W259</f>
        <v>-280535.37000000005</v>
      </c>
      <c r="Y259">
        <v>252</v>
      </c>
      <c r="Z259" t="str">
        <f t="shared" si="17"/>
        <v>Investissement</v>
      </c>
      <c r="AA259" t="str">
        <f t="shared" si="18"/>
        <v>travaux magasin</v>
      </c>
    </row>
    <row r="260" spans="20:27" x14ac:dyDescent="0.25">
      <c r="T260" s="155">
        <f t="shared" si="15"/>
        <v>51626</v>
      </c>
      <c r="U260" s="164">
        <f t="shared" si="16"/>
        <v>864.41</v>
      </c>
      <c r="V260" s="159">
        <f t="shared" si="19"/>
        <v>-827.59</v>
      </c>
      <c r="W260" s="156">
        <f>D_Emprunts!$U260-D_Emprunts!$V260</f>
        <v>1692</v>
      </c>
      <c r="X260" s="157">
        <f>X259-D_Emprunts!$W260</f>
        <v>-282227.37000000005</v>
      </c>
      <c r="Y260">
        <v>253</v>
      </c>
      <c r="Z260" t="str">
        <f t="shared" si="17"/>
        <v>Investissement</v>
      </c>
      <c r="AA260" t="str">
        <f t="shared" si="18"/>
        <v>travaux magasin</v>
      </c>
    </row>
    <row r="261" spans="20:27" x14ac:dyDescent="0.25">
      <c r="T261" s="158">
        <f t="shared" si="15"/>
        <v>51657</v>
      </c>
      <c r="U261" s="164">
        <f t="shared" si="16"/>
        <v>864.41</v>
      </c>
      <c r="V261" s="159">
        <f t="shared" si="19"/>
        <v>-832.59</v>
      </c>
      <c r="W261" s="159">
        <f>D_Emprunts!$U261-D_Emprunts!$V261</f>
        <v>1697</v>
      </c>
      <c r="X261" s="160">
        <f>X260-D_Emprunts!$W261</f>
        <v>-283924.37000000005</v>
      </c>
      <c r="Y261">
        <v>254</v>
      </c>
      <c r="Z261" t="str">
        <f t="shared" si="17"/>
        <v>Investissement</v>
      </c>
      <c r="AA261" t="str">
        <f t="shared" si="18"/>
        <v>travaux magasin</v>
      </c>
    </row>
    <row r="262" spans="20:27" x14ac:dyDescent="0.25">
      <c r="T262" s="155">
        <f t="shared" si="15"/>
        <v>51687</v>
      </c>
      <c r="U262" s="164">
        <f t="shared" si="16"/>
        <v>864.41</v>
      </c>
      <c r="V262" s="159">
        <f t="shared" si="19"/>
        <v>-837.59</v>
      </c>
      <c r="W262" s="156">
        <f>D_Emprunts!$U262-D_Emprunts!$V262</f>
        <v>1702</v>
      </c>
      <c r="X262" s="157">
        <f>X261-D_Emprunts!$W262</f>
        <v>-285626.37000000005</v>
      </c>
      <c r="Y262">
        <v>255</v>
      </c>
      <c r="Z262" t="str">
        <f t="shared" si="17"/>
        <v>Investissement</v>
      </c>
      <c r="AA262" t="str">
        <f t="shared" si="18"/>
        <v>travaux magasin</v>
      </c>
    </row>
    <row r="263" spans="20:27" x14ac:dyDescent="0.25">
      <c r="T263" s="158">
        <f t="shared" si="15"/>
        <v>51718</v>
      </c>
      <c r="U263" s="164">
        <f t="shared" si="16"/>
        <v>864.41</v>
      </c>
      <c r="V263" s="159">
        <f t="shared" si="19"/>
        <v>-842.61</v>
      </c>
      <c r="W263" s="159">
        <f>D_Emprunts!$U263-D_Emprunts!$V263</f>
        <v>1707.02</v>
      </c>
      <c r="X263" s="160">
        <f>X262-D_Emprunts!$W263</f>
        <v>-287333.39000000007</v>
      </c>
      <c r="Y263">
        <v>256</v>
      </c>
      <c r="Z263" t="str">
        <f t="shared" si="17"/>
        <v>Investissement</v>
      </c>
      <c r="AA263" t="str">
        <f t="shared" si="18"/>
        <v>travaux magasin</v>
      </c>
    </row>
    <row r="264" spans="20:27" x14ac:dyDescent="0.25">
      <c r="T264" s="155">
        <f t="shared" ref="T264:T327" si="20">EDATE(T263,1)</f>
        <v>51749</v>
      </c>
      <c r="U264" s="164">
        <f t="shared" si="16"/>
        <v>864.41</v>
      </c>
      <c r="V264" s="159">
        <f t="shared" si="19"/>
        <v>-847.65</v>
      </c>
      <c r="W264" s="156">
        <f>D_Emprunts!$U264-D_Emprunts!$V264</f>
        <v>1712.06</v>
      </c>
      <c r="X264" s="157">
        <f>X263-D_Emprunts!$W264</f>
        <v>-289045.45000000007</v>
      </c>
      <c r="Y264">
        <v>257</v>
      </c>
      <c r="Z264" t="str">
        <f t="shared" si="17"/>
        <v>Investissement</v>
      </c>
      <c r="AA264" t="str">
        <f t="shared" si="18"/>
        <v>travaux magasin</v>
      </c>
    </row>
    <row r="265" spans="20:27" x14ac:dyDescent="0.25">
      <c r="T265" s="158">
        <f t="shared" si="20"/>
        <v>51779</v>
      </c>
      <c r="U265" s="164">
        <f t="shared" ref="U265:U328" si="21">$X$4</f>
        <v>864.41</v>
      </c>
      <c r="V265" s="159">
        <f t="shared" si="19"/>
        <v>-852.7</v>
      </c>
      <c r="W265" s="159">
        <f>D_Emprunts!$U265-D_Emprunts!$V265</f>
        <v>1717.1100000000001</v>
      </c>
      <c r="X265" s="160">
        <f>X264-D_Emprunts!$W265</f>
        <v>-290762.56000000006</v>
      </c>
      <c r="Y265">
        <v>258</v>
      </c>
      <c r="Z265" t="str">
        <f t="shared" ref="Z265:Z328" si="22">$Y$4</f>
        <v>Investissement</v>
      </c>
      <c r="AA265" t="str">
        <f t="shared" ref="AA265:AA328" si="23">$Z$4</f>
        <v>travaux magasin</v>
      </c>
    </row>
    <row r="266" spans="20:27" x14ac:dyDescent="0.25">
      <c r="T266" s="155">
        <f t="shared" si="20"/>
        <v>51810</v>
      </c>
      <c r="U266" s="164">
        <f t="shared" si="21"/>
        <v>864.41</v>
      </c>
      <c r="V266" s="159">
        <f t="shared" ref="V266:V329" si="24">ROUND(X265*$V$4/12,2)</f>
        <v>-857.76</v>
      </c>
      <c r="W266" s="156">
        <f>D_Emprunts!$U266-D_Emprunts!$V266</f>
        <v>1722.17</v>
      </c>
      <c r="X266" s="157">
        <f>X265-D_Emprunts!$W266</f>
        <v>-292484.73000000004</v>
      </c>
      <c r="Y266">
        <v>259</v>
      </c>
      <c r="Z266" t="str">
        <f t="shared" si="22"/>
        <v>Investissement</v>
      </c>
      <c r="AA266" t="str">
        <f t="shared" si="23"/>
        <v>travaux magasin</v>
      </c>
    </row>
    <row r="267" spans="20:27" x14ac:dyDescent="0.25">
      <c r="T267" s="158">
        <f t="shared" si="20"/>
        <v>51840</v>
      </c>
      <c r="U267" s="164">
        <f t="shared" si="21"/>
        <v>864.41</v>
      </c>
      <c r="V267" s="159">
        <f t="shared" si="24"/>
        <v>-862.84</v>
      </c>
      <c r="W267" s="159">
        <f>D_Emprunts!$U267-D_Emprunts!$V267</f>
        <v>1727.25</v>
      </c>
      <c r="X267" s="160">
        <f>X266-D_Emprunts!$W267</f>
        <v>-294211.98000000004</v>
      </c>
      <c r="Y267">
        <v>260</v>
      </c>
      <c r="Z267" t="str">
        <f t="shared" si="22"/>
        <v>Investissement</v>
      </c>
      <c r="AA267" t="str">
        <f t="shared" si="23"/>
        <v>travaux magasin</v>
      </c>
    </row>
    <row r="268" spans="20:27" x14ac:dyDescent="0.25">
      <c r="T268" s="155">
        <f t="shared" si="20"/>
        <v>51871</v>
      </c>
      <c r="U268" s="164">
        <f t="shared" si="21"/>
        <v>864.41</v>
      </c>
      <c r="V268" s="159">
        <f t="shared" si="24"/>
        <v>-867.94</v>
      </c>
      <c r="W268" s="156">
        <f>D_Emprunts!$U268-D_Emprunts!$V268</f>
        <v>1732.35</v>
      </c>
      <c r="X268" s="157">
        <f>X267-D_Emprunts!$W268</f>
        <v>-295944.33</v>
      </c>
      <c r="Y268">
        <v>261</v>
      </c>
      <c r="Z268" t="str">
        <f t="shared" si="22"/>
        <v>Investissement</v>
      </c>
      <c r="AA268" t="str">
        <f t="shared" si="23"/>
        <v>travaux magasin</v>
      </c>
    </row>
    <row r="269" spans="20:27" x14ac:dyDescent="0.25">
      <c r="T269" s="158">
        <f t="shared" si="20"/>
        <v>51902</v>
      </c>
      <c r="U269" s="164">
        <f t="shared" si="21"/>
        <v>864.41</v>
      </c>
      <c r="V269" s="159">
        <f t="shared" si="24"/>
        <v>-873.05</v>
      </c>
      <c r="W269" s="159">
        <f>D_Emprunts!$U269-D_Emprunts!$V269</f>
        <v>1737.46</v>
      </c>
      <c r="X269" s="160">
        <f>X268-D_Emprunts!$W269</f>
        <v>-297681.79000000004</v>
      </c>
      <c r="Y269">
        <v>262</v>
      </c>
      <c r="Z269" t="str">
        <f t="shared" si="22"/>
        <v>Investissement</v>
      </c>
      <c r="AA269" t="str">
        <f t="shared" si="23"/>
        <v>travaux magasin</v>
      </c>
    </row>
    <row r="270" spans="20:27" x14ac:dyDescent="0.25">
      <c r="T270" s="155">
        <f t="shared" si="20"/>
        <v>51930</v>
      </c>
      <c r="U270" s="164">
        <f t="shared" si="21"/>
        <v>864.41</v>
      </c>
      <c r="V270" s="159">
        <f t="shared" si="24"/>
        <v>-878.18</v>
      </c>
      <c r="W270" s="156">
        <f>D_Emprunts!$U270-D_Emprunts!$V270</f>
        <v>1742.59</v>
      </c>
      <c r="X270" s="157">
        <f>X269-D_Emprunts!$W270</f>
        <v>-299424.38000000006</v>
      </c>
      <c r="Y270">
        <v>263</v>
      </c>
      <c r="Z270" t="str">
        <f t="shared" si="22"/>
        <v>Investissement</v>
      </c>
      <c r="AA270" t="str">
        <f t="shared" si="23"/>
        <v>travaux magasin</v>
      </c>
    </row>
    <row r="271" spans="20:27" x14ac:dyDescent="0.25">
      <c r="T271" s="158">
        <f t="shared" si="20"/>
        <v>51961</v>
      </c>
      <c r="U271" s="164">
        <f t="shared" si="21"/>
        <v>864.41</v>
      </c>
      <c r="V271" s="159">
        <f t="shared" si="24"/>
        <v>-883.32</v>
      </c>
      <c r="W271" s="159">
        <f>D_Emprunts!$U271-D_Emprunts!$V271</f>
        <v>1747.73</v>
      </c>
      <c r="X271" s="160">
        <f>X270-D_Emprunts!$W271</f>
        <v>-301172.11000000004</v>
      </c>
      <c r="Y271">
        <v>264</v>
      </c>
      <c r="Z271" t="str">
        <f t="shared" si="22"/>
        <v>Investissement</v>
      </c>
      <c r="AA271" t="str">
        <f t="shared" si="23"/>
        <v>travaux magasin</v>
      </c>
    </row>
    <row r="272" spans="20:27" x14ac:dyDescent="0.25">
      <c r="T272" s="155">
        <f t="shared" si="20"/>
        <v>51991</v>
      </c>
      <c r="U272" s="164">
        <f t="shared" si="21"/>
        <v>864.41</v>
      </c>
      <c r="V272" s="159">
        <f t="shared" si="24"/>
        <v>-888.47</v>
      </c>
      <c r="W272" s="156">
        <f>D_Emprunts!$U272-D_Emprunts!$V272</f>
        <v>1752.88</v>
      </c>
      <c r="X272" s="157">
        <f>X271-D_Emprunts!$W272</f>
        <v>-302924.99000000005</v>
      </c>
      <c r="Y272">
        <v>265</v>
      </c>
      <c r="Z272" t="str">
        <f t="shared" si="22"/>
        <v>Investissement</v>
      </c>
      <c r="AA272" t="str">
        <f t="shared" si="23"/>
        <v>travaux magasin</v>
      </c>
    </row>
    <row r="273" spans="20:27" x14ac:dyDescent="0.25">
      <c r="T273" s="158">
        <f t="shared" si="20"/>
        <v>52022</v>
      </c>
      <c r="U273" s="164">
        <f t="shared" si="21"/>
        <v>864.41</v>
      </c>
      <c r="V273" s="159">
        <f t="shared" si="24"/>
        <v>-893.64</v>
      </c>
      <c r="W273" s="159">
        <f>D_Emprunts!$U273-D_Emprunts!$V273</f>
        <v>1758.05</v>
      </c>
      <c r="X273" s="160">
        <f>X272-D_Emprunts!$W273</f>
        <v>-304683.04000000004</v>
      </c>
      <c r="Y273">
        <v>266</v>
      </c>
      <c r="Z273" t="str">
        <f t="shared" si="22"/>
        <v>Investissement</v>
      </c>
      <c r="AA273" t="str">
        <f t="shared" si="23"/>
        <v>travaux magasin</v>
      </c>
    </row>
    <row r="274" spans="20:27" x14ac:dyDescent="0.25">
      <c r="T274" s="155">
        <f t="shared" si="20"/>
        <v>52052</v>
      </c>
      <c r="U274" s="164">
        <f t="shared" si="21"/>
        <v>864.41</v>
      </c>
      <c r="V274" s="159">
        <f t="shared" si="24"/>
        <v>-898.83</v>
      </c>
      <c r="W274" s="156">
        <f>D_Emprunts!$U274-D_Emprunts!$V274</f>
        <v>1763.24</v>
      </c>
      <c r="X274" s="157">
        <f>X273-D_Emprunts!$W274</f>
        <v>-306446.28000000003</v>
      </c>
      <c r="Y274">
        <v>267</v>
      </c>
      <c r="Z274" t="str">
        <f t="shared" si="22"/>
        <v>Investissement</v>
      </c>
      <c r="AA274" t="str">
        <f t="shared" si="23"/>
        <v>travaux magasin</v>
      </c>
    </row>
    <row r="275" spans="20:27" x14ac:dyDescent="0.25">
      <c r="T275" s="158">
        <f t="shared" si="20"/>
        <v>52083</v>
      </c>
      <c r="U275" s="164">
        <f t="shared" si="21"/>
        <v>864.41</v>
      </c>
      <c r="V275" s="159">
        <f t="shared" si="24"/>
        <v>-904.03</v>
      </c>
      <c r="W275" s="159">
        <f>D_Emprunts!$U275-D_Emprunts!$V275</f>
        <v>1768.44</v>
      </c>
      <c r="X275" s="160">
        <f>X274-D_Emprunts!$W275</f>
        <v>-308214.72000000003</v>
      </c>
      <c r="Y275">
        <v>268</v>
      </c>
      <c r="Z275" t="str">
        <f t="shared" si="22"/>
        <v>Investissement</v>
      </c>
      <c r="AA275" t="str">
        <f t="shared" si="23"/>
        <v>travaux magasin</v>
      </c>
    </row>
    <row r="276" spans="20:27" x14ac:dyDescent="0.25">
      <c r="T276" s="155">
        <f t="shared" si="20"/>
        <v>52114</v>
      </c>
      <c r="U276" s="164">
        <f t="shared" si="21"/>
        <v>864.41</v>
      </c>
      <c r="V276" s="159">
        <f t="shared" si="24"/>
        <v>-909.25</v>
      </c>
      <c r="W276" s="156">
        <f>D_Emprunts!$U276-D_Emprunts!$V276</f>
        <v>1773.6599999999999</v>
      </c>
      <c r="X276" s="157">
        <f>X275-D_Emprunts!$W276</f>
        <v>-309988.38</v>
      </c>
      <c r="Y276">
        <v>269</v>
      </c>
      <c r="Z276" t="str">
        <f t="shared" si="22"/>
        <v>Investissement</v>
      </c>
      <c r="AA276" t="str">
        <f t="shared" si="23"/>
        <v>travaux magasin</v>
      </c>
    </row>
    <row r="277" spans="20:27" x14ac:dyDescent="0.25">
      <c r="T277" s="158">
        <f t="shared" si="20"/>
        <v>52144</v>
      </c>
      <c r="U277" s="164">
        <f t="shared" si="21"/>
        <v>864.41</v>
      </c>
      <c r="V277" s="159">
        <f t="shared" si="24"/>
        <v>-914.48</v>
      </c>
      <c r="W277" s="159">
        <f>D_Emprunts!$U277-D_Emprunts!$V277</f>
        <v>1778.8899999999999</v>
      </c>
      <c r="X277" s="160">
        <f>X276-D_Emprunts!$W277</f>
        <v>-311767.27</v>
      </c>
      <c r="Y277">
        <v>270</v>
      </c>
      <c r="Z277" t="str">
        <f t="shared" si="22"/>
        <v>Investissement</v>
      </c>
      <c r="AA277" t="str">
        <f t="shared" si="23"/>
        <v>travaux magasin</v>
      </c>
    </row>
    <row r="278" spans="20:27" x14ac:dyDescent="0.25">
      <c r="T278" s="155">
        <f t="shared" si="20"/>
        <v>52175</v>
      </c>
      <c r="U278" s="164">
        <f t="shared" si="21"/>
        <v>864.41</v>
      </c>
      <c r="V278" s="159">
        <f t="shared" si="24"/>
        <v>-919.73</v>
      </c>
      <c r="W278" s="156">
        <f>D_Emprunts!$U278-D_Emprunts!$V278</f>
        <v>1784.1399999999999</v>
      </c>
      <c r="X278" s="157">
        <f>X277-D_Emprunts!$W278</f>
        <v>-313551.41000000003</v>
      </c>
      <c r="Y278">
        <v>271</v>
      </c>
      <c r="Z278" t="str">
        <f t="shared" si="22"/>
        <v>Investissement</v>
      </c>
      <c r="AA278" t="str">
        <f t="shared" si="23"/>
        <v>travaux magasin</v>
      </c>
    </row>
    <row r="279" spans="20:27" x14ac:dyDescent="0.25">
      <c r="T279" s="158">
        <f t="shared" si="20"/>
        <v>52205</v>
      </c>
      <c r="U279" s="164">
        <f t="shared" si="21"/>
        <v>864.41</v>
      </c>
      <c r="V279" s="159">
        <f t="shared" si="24"/>
        <v>-924.99</v>
      </c>
      <c r="W279" s="159">
        <f>D_Emprunts!$U279-D_Emprunts!$V279</f>
        <v>1789.4</v>
      </c>
      <c r="X279" s="160">
        <f>X278-D_Emprunts!$W279</f>
        <v>-315340.81000000006</v>
      </c>
      <c r="Y279">
        <v>272</v>
      </c>
      <c r="Z279" t="str">
        <f t="shared" si="22"/>
        <v>Investissement</v>
      </c>
      <c r="AA279" t="str">
        <f t="shared" si="23"/>
        <v>travaux magasin</v>
      </c>
    </row>
    <row r="280" spans="20:27" x14ac:dyDescent="0.25">
      <c r="T280" s="155">
        <f t="shared" si="20"/>
        <v>52236</v>
      </c>
      <c r="U280" s="164">
        <f t="shared" si="21"/>
        <v>864.41</v>
      </c>
      <c r="V280" s="159">
        <f t="shared" si="24"/>
        <v>-930.27</v>
      </c>
      <c r="W280" s="156">
        <f>D_Emprunts!$U280-D_Emprunts!$V280</f>
        <v>1794.6799999999998</v>
      </c>
      <c r="X280" s="157">
        <f>X279-D_Emprunts!$W280</f>
        <v>-317135.49000000005</v>
      </c>
      <c r="Y280">
        <v>273</v>
      </c>
      <c r="Z280" t="str">
        <f t="shared" si="22"/>
        <v>Investissement</v>
      </c>
      <c r="AA280" t="str">
        <f t="shared" si="23"/>
        <v>travaux magasin</v>
      </c>
    </row>
    <row r="281" spans="20:27" x14ac:dyDescent="0.25">
      <c r="T281" s="158">
        <f t="shared" si="20"/>
        <v>52267</v>
      </c>
      <c r="U281" s="164">
        <f t="shared" si="21"/>
        <v>864.41</v>
      </c>
      <c r="V281" s="159">
        <f t="shared" si="24"/>
        <v>-935.57</v>
      </c>
      <c r="W281" s="159">
        <f>D_Emprunts!$U281-D_Emprunts!$V281</f>
        <v>1799.98</v>
      </c>
      <c r="X281" s="160">
        <f>X280-D_Emprunts!$W281</f>
        <v>-318935.47000000003</v>
      </c>
      <c r="Y281">
        <v>274</v>
      </c>
      <c r="Z281" t="str">
        <f t="shared" si="22"/>
        <v>Investissement</v>
      </c>
      <c r="AA281" t="str">
        <f t="shared" si="23"/>
        <v>travaux magasin</v>
      </c>
    </row>
    <row r="282" spans="20:27" x14ac:dyDescent="0.25">
      <c r="T282" s="155">
        <f t="shared" si="20"/>
        <v>52295</v>
      </c>
      <c r="U282" s="164">
        <f t="shared" si="21"/>
        <v>864.41</v>
      </c>
      <c r="V282" s="159">
        <f t="shared" si="24"/>
        <v>-940.88</v>
      </c>
      <c r="W282" s="156">
        <f>D_Emprunts!$U282-D_Emprunts!$V282</f>
        <v>1805.29</v>
      </c>
      <c r="X282" s="157">
        <f>X281-D_Emprunts!$W282</f>
        <v>-320740.76</v>
      </c>
      <c r="Y282">
        <v>275</v>
      </c>
      <c r="Z282" t="str">
        <f t="shared" si="22"/>
        <v>Investissement</v>
      </c>
      <c r="AA282" t="str">
        <f t="shared" si="23"/>
        <v>travaux magasin</v>
      </c>
    </row>
    <row r="283" spans="20:27" x14ac:dyDescent="0.25">
      <c r="T283" s="158">
        <f t="shared" si="20"/>
        <v>52326</v>
      </c>
      <c r="U283" s="164">
        <f t="shared" si="21"/>
        <v>864.41</v>
      </c>
      <c r="V283" s="159">
        <f t="shared" si="24"/>
        <v>-946.2</v>
      </c>
      <c r="W283" s="159">
        <f>D_Emprunts!$U283-D_Emprunts!$V283</f>
        <v>1810.6100000000001</v>
      </c>
      <c r="X283" s="160">
        <f>X282-D_Emprunts!$W283</f>
        <v>-322551.37</v>
      </c>
      <c r="Y283">
        <v>276</v>
      </c>
      <c r="Z283" t="str">
        <f t="shared" si="22"/>
        <v>Investissement</v>
      </c>
      <c r="AA283" t="str">
        <f t="shared" si="23"/>
        <v>travaux magasin</v>
      </c>
    </row>
    <row r="284" spans="20:27" x14ac:dyDescent="0.25">
      <c r="T284" s="155">
        <f t="shared" si="20"/>
        <v>52356</v>
      </c>
      <c r="U284" s="164">
        <f t="shared" si="21"/>
        <v>864.41</v>
      </c>
      <c r="V284" s="159">
        <f t="shared" si="24"/>
        <v>-951.54</v>
      </c>
      <c r="W284" s="156">
        <f>D_Emprunts!$U284-D_Emprunts!$V284</f>
        <v>1815.9499999999998</v>
      </c>
      <c r="X284" s="157">
        <f>X283-D_Emprunts!$W284</f>
        <v>-324367.32</v>
      </c>
      <c r="Y284">
        <v>277</v>
      </c>
      <c r="Z284" t="str">
        <f t="shared" si="22"/>
        <v>Investissement</v>
      </c>
      <c r="AA284" t="str">
        <f t="shared" si="23"/>
        <v>travaux magasin</v>
      </c>
    </row>
    <row r="285" spans="20:27" x14ac:dyDescent="0.25">
      <c r="T285" s="158">
        <f t="shared" si="20"/>
        <v>52387</v>
      </c>
      <c r="U285" s="164">
        <f t="shared" si="21"/>
        <v>864.41</v>
      </c>
      <c r="V285" s="159">
        <f t="shared" si="24"/>
        <v>-956.9</v>
      </c>
      <c r="W285" s="159">
        <f>D_Emprunts!$U285-D_Emprunts!$V285</f>
        <v>1821.31</v>
      </c>
      <c r="X285" s="160">
        <f>X284-D_Emprunts!$W285</f>
        <v>-326188.63</v>
      </c>
      <c r="Y285">
        <v>278</v>
      </c>
      <c r="Z285" t="str">
        <f t="shared" si="22"/>
        <v>Investissement</v>
      </c>
      <c r="AA285" t="str">
        <f t="shared" si="23"/>
        <v>travaux magasin</v>
      </c>
    </row>
    <row r="286" spans="20:27" x14ac:dyDescent="0.25">
      <c r="T286" s="155">
        <f t="shared" si="20"/>
        <v>52417</v>
      </c>
      <c r="U286" s="164">
        <f t="shared" si="21"/>
        <v>864.41</v>
      </c>
      <c r="V286" s="159">
        <f t="shared" si="24"/>
        <v>-962.27</v>
      </c>
      <c r="W286" s="156">
        <f>D_Emprunts!$U286-D_Emprunts!$V286</f>
        <v>1826.6799999999998</v>
      </c>
      <c r="X286" s="157">
        <f>X285-D_Emprunts!$W286</f>
        <v>-328015.31</v>
      </c>
      <c r="Y286">
        <v>279</v>
      </c>
      <c r="Z286" t="str">
        <f t="shared" si="22"/>
        <v>Investissement</v>
      </c>
      <c r="AA286" t="str">
        <f t="shared" si="23"/>
        <v>travaux magasin</v>
      </c>
    </row>
    <row r="287" spans="20:27" x14ac:dyDescent="0.25">
      <c r="T287" s="158">
        <f t="shared" si="20"/>
        <v>52448</v>
      </c>
      <c r="U287" s="164">
        <f t="shared" si="21"/>
        <v>864.41</v>
      </c>
      <c r="V287" s="159">
        <f t="shared" si="24"/>
        <v>-967.66</v>
      </c>
      <c r="W287" s="159">
        <f>D_Emprunts!$U287-D_Emprunts!$V287</f>
        <v>1832.07</v>
      </c>
      <c r="X287" s="160">
        <f>X286-D_Emprunts!$W287</f>
        <v>-329847.38</v>
      </c>
      <c r="Y287">
        <v>280</v>
      </c>
      <c r="Z287" t="str">
        <f t="shared" si="22"/>
        <v>Investissement</v>
      </c>
      <c r="AA287" t="str">
        <f t="shared" si="23"/>
        <v>travaux magasin</v>
      </c>
    </row>
    <row r="288" spans="20:27" x14ac:dyDescent="0.25">
      <c r="T288" s="155">
        <f t="shared" si="20"/>
        <v>52479</v>
      </c>
      <c r="U288" s="164">
        <f t="shared" si="21"/>
        <v>864.41</v>
      </c>
      <c r="V288" s="159">
        <f t="shared" si="24"/>
        <v>-973.07</v>
      </c>
      <c r="W288" s="156">
        <f>D_Emprunts!$U288-D_Emprunts!$V288</f>
        <v>1837.48</v>
      </c>
      <c r="X288" s="157">
        <f>X287-D_Emprunts!$W288</f>
        <v>-331684.86</v>
      </c>
      <c r="Y288">
        <v>281</v>
      </c>
      <c r="Z288" t="str">
        <f t="shared" si="22"/>
        <v>Investissement</v>
      </c>
      <c r="AA288" t="str">
        <f t="shared" si="23"/>
        <v>travaux magasin</v>
      </c>
    </row>
    <row r="289" spans="20:27" x14ac:dyDescent="0.25">
      <c r="T289" s="158">
        <f t="shared" si="20"/>
        <v>52509</v>
      </c>
      <c r="U289" s="164">
        <f t="shared" si="21"/>
        <v>864.41</v>
      </c>
      <c r="V289" s="159">
        <f t="shared" si="24"/>
        <v>-978.49</v>
      </c>
      <c r="W289" s="159">
        <f>D_Emprunts!$U289-D_Emprunts!$V289</f>
        <v>1842.9</v>
      </c>
      <c r="X289" s="160">
        <f>X288-D_Emprunts!$W289</f>
        <v>-333527.76</v>
      </c>
      <c r="Y289">
        <v>282</v>
      </c>
      <c r="Z289" t="str">
        <f t="shared" si="22"/>
        <v>Investissement</v>
      </c>
      <c r="AA289" t="str">
        <f t="shared" si="23"/>
        <v>travaux magasin</v>
      </c>
    </row>
    <row r="290" spans="20:27" x14ac:dyDescent="0.25">
      <c r="T290" s="155">
        <f t="shared" si="20"/>
        <v>52540</v>
      </c>
      <c r="U290" s="164">
        <f t="shared" si="21"/>
        <v>864.41</v>
      </c>
      <c r="V290" s="159">
        <f t="shared" si="24"/>
        <v>-983.92</v>
      </c>
      <c r="W290" s="156">
        <f>D_Emprunts!$U290-D_Emprunts!$V290</f>
        <v>1848.33</v>
      </c>
      <c r="X290" s="157">
        <f>X289-D_Emprunts!$W290</f>
        <v>-335376.09000000003</v>
      </c>
      <c r="Y290">
        <v>283</v>
      </c>
      <c r="Z290" t="str">
        <f t="shared" si="22"/>
        <v>Investissement</v>
      </c>
      <c r="AA290" t="str">
        <f t="shared" si="23"/>
        <v>travaux magasin</v>
      </c>
    </row>
    <row r="291" spans="20:27" x14ac:dyDescent="0.25">
      <c r="T291" s="158">
        <f t="shared" si="20"/>
        <v>52570</v>
      </c>
      <c r="U291" s="164">
        <f t="shared" si="21"/>
        <v>864.41</v>
      </c>
      <c r="V291" s="159">
        <f t="shared" si="24"/>
        <v>-989.38</v>
      </c>
      <c r="W291" s="159">
        <f>D_Emprunts!$U291-D_Emprunts!$V291</f>
        <v>1853.79</v>
      </c>
      <c r="X291" s="160">
        <f>X290-D_Emprunts!$W291</f>
        <v>-337229.88</v>
      </c>
      <c r="Y291">
        <v>284</v>
      </c>
      <c r="Z291" t="str">
        <f t="shared" si="22"/>
        <v>Investissement</v>
      </c>
      <c r="AA291" t="str">
        <f t="shared" si="23"/>
        <v>travaux magasin</v>
      </c>
    </row>
    <row r="292" spans="20:27" x14ac:dyDescent="0.25">
      <c r="T292" s="155">
        <f t="shared" si="20"/>
        <v>52601</v>
      </c>
      <c r="U292" s="164">
        <f t="shared" si="21"/>
        <v>864.41</v>
      </c>
      <c r="V292" s="159">
        <f t="shared" si="24"/>
        <v>-994.85</v>
      </c>
      <c r="W292" s="156">
        <f>D_Emprunts!$U292-D_Emprunts!$V292</f>
        <v>1859.26</v>
      </c>
      <c r="X292" s="157">
        <f>X291-D_Emprunts!$W292</f>
        <v>-339089.14</v>
      </c>
      <c r="Y292">
        <v>285</v>
      </c>
      <c r="Z292" t="str">
        <f t="shared" si="22"/>
        <v>Investissement</v>
      </c>
      <c r="AA292" t="str">
        <f t="shared" si="23"/>
        <v>travaux magasin</v>
      </c>
    </row>
    <row r="293" spans="20:27" x14ac:dyDescent="0.25">
      <c r="T293" s="158">
        <f t="shared" si="20"/>
        <v>52632</v>
      </c>
      <c r="U293" s="164">
        <f t="shared" si="21"/>
        <v>864.41</v>
      </c>
      <c r="V293" s="159">
        <f t="shared" si="24"/>
        <v>-1000.33</v>
      </c>
      <c r="W293" s="159">
        <f>D_Emprunts!$U293-D_Emprunts!$V293</f>
        <v>1864.74</v>
      </c>
      <c r="X293" s="160">
        <f>X292-D_Emprunts!$W293</f>
        <v>-340953.88</v>
      </c>
      <c r="Y293">
        <v>286</v>
      </c>
      <c r="Z293" t="str">
        <f t="shared" si="22"/>
        <v>Investissement</v>
      </c>
      <c r="AA293" t="str">
        <f t="shared" si="23"/>
        <v>travaux magasin</v>
      </c>
    </row>
    <row r="294" spans="20:27" x14ac:dyDescent="0.25">
      <c r="T294" s="155">
        <f t="shared" si="20"/>
        <v>52661</v>
      </c>
      <c r="U294" s="164">
        <f t="shared" si="21"/>
        <v>864.41</v>
      </c>
      <c r="V294" s="159">
        <f t="shared" si="24"/>
        <v>-1005.83</v>
      </c>
      <c r="W294" s="156">
        <f>D_Emprunts!$U294-D_Emprunts!$V294</f>
        <v>1870.24</v>
      </c>
      <c r="X294" s="157">
        <f>X293-D_Emprunts!$W294</f>
        <v>-342824.12</v>
      </c>
      <c r="Y294">
        <v>287</v>
      </c>
      <c r="Z294" t="str">
        <f t="shared" si="22"/>
        <v>Investissement</v>
      </c>
      <c r="AA294" t="str">
        <f t="shared" si="23"/>
        <v>travaux magasin</v>
      </c>
    </row>
    <row r="295" spans="20:27" x14ac:dyDescent="0.25">
      <c r="T295" s="158">
        <f t="shared" si="20"/>
        <v>52692</v>
      </c>
      <c r="U295" s="164">
        <f t="shared" si="21"/>
        <v>864.41</v>
      </c>
      <c r="V295" s="159">
        <f t="shared" si="24"/>
        <v>-1011.35</v>
      </c>
      <c r="W295" s="159">
        <f>D_Emprunts!$U295-D_Emprunts!$V295</f>
        <v>1875.76</v>
      </c>
      <c r="X295" s="160">
        <f>X294-D_Emprunts!$W295</f>
        <v>-344699.88</v>
      </c>
      <c r="Y295">
        <v>288</v>
      </c>
      <c r="Z295" t="str">
        <f t="shared" si="22"/>
        <v>Investissement</v>
      </c>
      <c r="AA295" t="str">
        <f t="shared" si="23"/>
        <v>travaux magasin</v>
      </c>
    </row>
    <row r="296" spans="20:27" x14ac:dyDescent="0.25">
      <c r="T296" s="155">
        <f t="shared" si="20"/>
        <v>52722</v>
      </c>
      <c r="U296" s="164">
        <f t="shared" si="21"/>
        <v>864.41</v>
      </c>
      <c r="V296" s="159">
        <f t="shared" si="24"/>
        <v>-1016.88</v>
      </c>
      <c r="W296" s="156">
        <f>D_Emprunts!$U296-D_Emprunts!$V296</f>
        <v>1881.29</v>
      </c>
      <c r="X296" s="157">
        <f>X295-D_Emprunts!$W296</f>
        <v>-346581.17</v>
      </c>
      <c r="Y296">
        <v>289</v>
      </c>
      <c r="Z296" t="str">
        <f t="shared" si="22"/>
        <v>Investissement</v>
      </c>
      <c r="AA296" t="str">
        <f t="shared" si="23"/>
        <v>travaux magasin</v>
      </c>
    </row>
    <row r="297" spans="20:27" x14ac:dyDescent="0.25">
      <c r="T297" s="158">
        <f t="shared" si="20"/>
        <v>52753</v>
      </c>
      <c r="U297" s="164">
        <f t="shared" si="21"/>
        <v>864.41</v>
      </c>
      <c r="V297" s="159">
        <f t="shared" si="24"/>
        <v>-1022.43</v>
      </c>
      <c r="W297" s="159">
        <f>D_Emprunts!$U297-D_Emprunts!$V297</f>
        <v>1886.84</v>
      </c>
      <c r="X297" s="160">
        <f>X296-D_Emprunts!$W297</f>
        <v>-348468.01</v>
      </c>
      <c r="Y297">
        <v>290</v>
      </c>
      <c r="Z297" t="str">
        <f t="shared" si="22"/>
        <v>Investissement</v>
      </c>
      <c r="AA297" t="str">
        <f t="shared" si="23"/>
        <v>travaux magasin</v>
      </c>
    </row>
    <row r="298" spans="20:27" x14ac:dyDescent="0.25">
      <c r="T298" s="155">
        <f t="shared" si="20"/>
        <v>52783</v>
      </c>
      <c r="U298" s="164">
        <f t="shared" si="21"/>
        <v>864.41</v>
      </c>
      <c r="V298" s="159">
        <f t="shared" si="24"/>
        <v>-1028</v>
      </c>
      <c r="W298" s="156">
        <f>D_Emprunts!$U298-D_Emprunts!$V298</f>
        <v>1892.4099999999999</v>
      </c>
      <c r="X298" s="157">
        <f>X297-D_Emprunts!$W298</f>
        <v>-350360.42</v>
      </c>
      <c r="Y298">
        <v>291</v>
      </c>
      <c r="Z298" t="str">
        <f t="shared" si="22"/>
        <v>Investissement</v>
      </c>
      <c r="AA298" t="str">
        <f t="shared" si="23"/>
        <v>travaux magasin</v>
      </c>
    </row>
    <row r="299" spans="20:27" x14ac:dyDescent="0.25">
      <c r="T299" s="158">
        <f t="shared" si="20"/>
        <v>52814</v>
      </c>
      <c r="U299" s="164">
        <f t="shared" si="21"/>
        <v>864.41</v>
      </c>
      <c r="V299" s="159">
        <f t="shared" si="24"/>
        <v>-1033.58</v>
      </c>
      <c r="W299" s="159">
        <f>D_Emprunts!$U299-D_Emprunts!$V299</f>
        <v>1897.9899999999998</v>
      </c>
      <c r="X299" s="160">
        <f>X298-D_Emprunts!$W299</f>
        <v>-352258.41</v>
      </c>
      <c r="Y299">
        <v>292</v>
      </c>
      <c r="Z299" t="str">
        <f t="shared" si="22"/>
        <v>Investissement</v>
      </c>
      <c r="AA299" t="str">
        <f t="shared" si="23"/>
        <v>travaux magasin</v>
      </c>
    </row>
    <row r="300" spans="20:27" x14ac:dyDescent="0.25">
      <c r="T300" s="155">
        <f t="shared" si="20"/>
        <v>52845</v>
      </c>
      <c r="U300" s="164">
        <f t="shared" si="21"/>
        <v>864.41</v>
      </c>
      <c r="V300" s="159">
        <f t="shared" si="24"/>
        <v>-1039.18</v>
      </c>
      <c r="W300" s="156">
        <f>D_Emprunts!$U300-D_Emprunts!$V300</f>
        <v>1903.5900000000001</v>
      </c>
      <c r="X300" s="157">
        <f>X299-D_Emprunts!$W300</f>
        <v>-354162</v>
      </c>
      <c r="Y300">
        <v>293</v>
      </c>
      <c r="Z300" t="str">
        <f t="shared" si="22"/>
        <v>Investissement</v>
      </c>
      <c r="AA300" t="str">
        <f t="shared" si="23"/>
        <v>travaux magasin</v>
      </c>
    </row>
    <row r="301" spans="20:27" x14ac:dyDescent="0.25">
      <c r="T301" s="158">
        <f t="shared" si="20"/>
        <v>52875</v>
      </c>
      <c r="U301" s="164">
        <f t="shared" si="21"/>
        <v>864.41</v>
      </c>
      <c r="V301" s="159">
        <f t="shared" si="24"/>
        <v>-1044.8</v>
      </c>
      <c r="W301" s="159">
        <f>D_Emprunts!$U301-D_Emprunts!$V301</f>
        <v>1909.21</v>
      </c>
      <c r="X301" s="160">
        <f>X300-D_Emprunts!$W301</f>
        <v>-356071.21</v>
      </c>
      <c r="Y301">
        <v>294</v>
      </c>
      <c r="Z301" t="str">
        <f t="shared" si="22"/>
        <v>Investissement</v>
      </c>
      <c r="AA301" t="str">
        <f t="shared" si="23"/>
        <v>travaux magasin</v>
      </c>
    </row>
    <row r="302" spans="20:27" x14ac:dyDescent="0.25">
      <c r="T302" s="155">
        <f t="shared" si="20"/>
        <v>52906</v>
      </c>
      <c r="U302" s="164">
        <f t="shared" si="21"/>
        <v>864.41</v>
      </c>
      <c r="V302" s="159">
        <f t="shared" si="24"/>
        <v>-1050.43</v>
      </c>
      <c r="W302" s="156">
        <f>D_Emprunts!$U302-D_Emprunts!$V302</f>
        <v>1914.8400000000001</v>
      </c>
      <c r="X302" s="157">
        <f>X301-D_Emprunts!$W302</f>
        <v>-357986.05000000005</v>
      </c>
      <c r="Y302">
        <v>295</v>
      </c>
      <c r="Z302" t="str">
        <f t="shared" si="22"/>
        <v>Investissement</v>
      </c>
      <c r="AA302" t="str">
        <f t="shared" si="23"/>
        <v>travaux magasin</v>
      </c>
    </row>
    <row r="303" spans="20:27" x14ac:dyDescent="0.25">
      <c r="T303" s="158">
        <f t="shared" si="20"/>
        <v>52936</v>
      </c>
      <c r="U303" s="164">
        <f t="shared" si="21"/>
        <v>864.41</v>
      </c>
      <c r="V303" s="159">
        <f t="shared" si="24"/>
        <v>-1056.08</v>
      </c>
      <c r="W303" s="159">
        <f>D_Emprunts!$U303-D_Emprunts!$V303</f>
        <v>1920.4899999999998</v>
      </c>
      <c r="X303" s="160">
        <f>X302-D_Emprunts!$W303</f>
        <v>-359906.54000000004</v>
      </c>
      <c r="Y303">
        <v>296</v>
      </c>
      <c r="Z303" t="str">
        <f t="shared" si="22"/>
        <v>Investissement</v>
      </c>
      <c r="AA303" t="str">
        <f t="shared" si="23"/>
        <v>travaux magasin</v>
      </c>
    </row>
    <row r="304" spans="20:27" x14ac:dyDescent="0.25">
      <c r="T304" s="155">
        <f t="shared" si="20"/>
        <v>52967</v>
      </c>
      <c r="U304" s="164">
        <f t="shared" si="21"/>
        <v>864.41</v>
      </c>
      <c r="V304" s="159">
        <f t="shared" si="24"/>
        <v>-1061.74</v>
      </c>
      <c r="W304" s="156">
        <f>D_Emprunts!$U304-D_Emprunts!$V304</f>
        <v>1926.15</v>
      </c>
      <c r="X304" s="157">
        <f>X303-D_Emprunts!$W304</f>
        <v>-361832.69000000006</v>
      </c>
      <c r="Y304">
        <v>297</v>
      </c>
      <c r="Z304" t="str">
        <f t="shared" si="22"/>
        <v>Investissement</v>
      </c>
      <c r="AA304" t="str">
        <f t="shared" si="23"/>
        <v>travaux magasin</v>
      </c>
    </row>
    <row r="305" spans="20:27" x14ac:dyDescent="0.25">
      <c r="T305" s="158">
        <f t="shared" si="20"/>
        <v>52998</v>
      </c>
      <c r="U305" s="164">
        <f t="shared" si="21"/>
        <v>864.41</v>
      </c>
      <c r="V305" s="159">
        <f t="shared" si="24"/>
        <v>-1067.42</v>
      </c>
      <c r="W305" s="159">
        <f>D_Emprunts!$U305-D_Emprunts!$V305</f>
        <v>1931.83</v>
      </c>
      <c r="X305" s="160">
        <f>X304-D_Emprunts!$W305</f>
        <v>-363764.52000000008</v>
      </c>
      <c r="Y305">
        <v>298</v>
      </c>
      <c r="Z305" t="str">
        <f t="shared" si="22"/>
        <v>Investissement</v>
      </c>
      <c r="AA305" t="str">
        <f t="shared" si="23"/>
        <v>travaux magasin</v>
      </c>
    </row>
    <row r="306" spans="20:27" x14ac:dyDescent="0.25">
      <c r="T306" s="155">
        <f t="shared" si="20"/>
        <v>53026</v>
      </c>
      <c r="U306" s="164">
        <f t="shared" si="21"/>
        <v>864.41</v>
      </c>
      <c r="V306" s="159">
        <f t="shared" si="24"/>
        <v>-1073.1199999999999</v>
      </c>
      <c r="W306" s="156">
        <f>D_Emprunts!$U306-D_Emprunts!$V306</f>
        <v>1937.5299999999997</v>
      </c>
      <c r="X306" s="157">
        <f>X305-D_Emprunts!$W306</f>
        <v>-365702.0500000001</v>
      </c>
      <c r="Y306">
        <v>299</v>
      </c>
      <c r="Z306" t="str">
        <f t="shared" si="22"/>
        <v>Investissement</v>
      </c>
      <c r="AA306" t="str">
        <f t="shared" si="23"/>
        <v>travaux magasin</v>
      </c>
    </row>
    <row r="307" spans="20:27" x14ac:dyDescent="0.25">
      <c r="T307" s="158">
        <f t="shared" si="20"/>
        <v>53057</v>
      </c>
      <c r="U307" s="164">
        <f t="shared" si="21"/>
        <v>864.41</v>
      </c>
      <c r="V307" s="159">
        <f t="shared" si="24"/>
        <v>-1078.8399999999999</v>
      </c>
      <c r="W307" s="159">
        <f>D_Emprunts!$U307-D_Emprunts!$V307</f>
        <v>1943.25</v>
      </c>
      <c r="X307" s="160">
        <f>X306-D_Emprunts!$W307</f>
        <v>-367645.3000000001</v>
      </c>
      <c r="Y307">
        <v>300</v>
      </c>
      <c r="Z307" t="str">
        <f t="shared" si="22"/>
        <v>Investissement</v>
      </c>
      <c r="AA307" t="str">
        <f t="shared" si="23"/>
        <v>travaux magasin</v>
      </c>
    </row>
    <row r="308" spans="20:27" x14ac:dyDescent="0.25">
      <c r="T308" s="155">
        <f t="shared" si="20"/>
        <v>53087</v>
      </c>
      <c r="U308" s="164">
        <f t="shared" si="21"/>
        <v>864.41</v>
      </c>
      <c r="V308" s="159">
        <f t="shared" si="24"/>
        <v>-1084.57</v>
      </c>
      <c r="W308" s="156">
        <f>D_Emprunts!$U308-D_Emprunts!$V308</f>
        <v>1948.98</v>
      </c>
      <c r="X308" s="157">
        <f>X307-D_Emprunts!$W308</f>
        <v>-369594.28000000009</v>
      </c>
      <c r="Y308">
        <v>301</v>
      </c>
      <c r="Z308" t="str">
        <f t="shared" si="22"/>
        <v>Investissement</v>
      </c>
      <c r="AA308" t="str">
        <f t="shared" si="23"/>
        <v>travaux magasin</v>
      </c>
    </row>
    <row r="309" spans="20:27" x14ac:dyDescent="0.25">
      <c r="T309" s="158">
        <f t="shared" si="20"/>
        <v>53118</v>
      </c>
      <c r="U309" s="164">
        <f t="shared" si="21"/>
        <v>864.41</v>
      </c>
      <c r="V309" s="159">
        <f t="shared" si="24"/>
        <v>-1090.32</v>
      </c>
      <c r="W309" s="159">
        <f>D_Emprunts!$U309-D_Emprunts!$V309</f>
        <v>1954.73</v>
      </c>
      <c r="X309" s="160">
        <f>X308-D_Emprunts!$W309</f>
        <v>-371549.01000000007</v>
      </c>
      <c r="Y309">
        <v>302</v>
      </c>
      <c r="Z309" t="str">
        <f t="shared" si="22"/>
        <v>Investissement</v>
      </c>
      <c r="AA309" t="str">
        <f t="shared" si="23"/>
        <v>travaux magasin</v>
      </c>
    </row>
    <row r="310" spans="20:27" x14ac:dyDescent="0.25">
      <c r="T310" s="155">
        <f t="shared" si="20"/>
        <v>53148</v>
      </c>
      <c r="U310" s="164">
        <f t="shared" si="21"/>
        <v>864.41</v>
      </c>
      <c r="V310" s="159">
        <f t="shared" si="24"/>
        <v>-1096.0899999999999</v>
      </c>
      <c r="W310" s="156">
        <f>D_Emprunts!$U310-D_Emprunts!$V310</f>
        <v>1960.5</v>
      </c>
      <c r="X310" s="157">
        <f>X309-D_Emprunts!$W310</f>
        <v>-373509.51000000007</v>
      </c>
      <c r="Y310">
        <v>303</v>
      </c>
      <c r="Z310" t="str">
        <f t="shared" si="22"/>
        <v>Investissement</v>
      </c>
      <c r="AA310" t="str">
        <f t="shared" si="23"/>
        <v>travaux magasin</v>
      </c>
    </row>
    <row r="311" spans="20:27" x14ac:dyDescent="0.25">
      <c r="T311" s="158">
        <f t="shared" si="20"/>
        <v>53179</v>
      </c>
      <c r="U311" s="164">
        <f t="shared" si="21"/>
        <v>864.41</v>
      </c>
      <c r="V311" s="159">
        <f t="shared" si="24"/>
        <v>-1101.8699999999999</v>
      </c>
      <c r="W311" s="159">
        <f>D_Emprunts!$U311-D_Emprunts!$V311</f>
        <v>1966.2799999999997</v>
      </c>
      <c r="X311" s="160">
        <f>X310-D_Emprunts!$W311</f>
        <v>-375475.7900000001</v>
      </c>
      <c r="Y311">
        <v>304</v>
      </c>
      <c r="Z311" t="str">
        <f t="shared" si="22"/>
        <v>Investissement</v>
      </c>
      <c r="AA311" t="str">
        <f t="shared" si="23"/>
        <v>travaux magasin</v>
      </c>
    </row>
    <row r="312" spans="20:27" x14ac:dyDescent="0.25">
      <c r="T312" s="155">
        <f t="shared" si="20"/>
        <v>53210</v>
      </c>
      <c r="U312" s="164">
        <f t="shared" si="21"/>
        <v>864.41</v>
      </c>
      <c r="V312" s="159">
        <f t="shared" si="24"/>
        <v>-1107.67</v>
      </c>
      <c r="W312" s="156">
        <f>D_Emprunts!$U312-D_Emprunts!$V312</f>
        <v>1972.08</v>
      </c>
      <c r="X312" s="157">
        <f>X311-D_Emprunts!$W312</f>
        <v>-377447.87000000011</v>
      </c>
      <c r="Y312">
        <v>305</v>
      </c>
      <c r="Z312" t="str">
        <f t="shared" si="22"/>
        <v>Investissement</v>
      </c>
      <c r="AA312" t="str">
        <f t="shared" si="23"/>
        <v>travaux magasin</v>
      </c>
    </row>
    <row r="313" spans="20:27" x14ac:dyDescent="0.25">
      <c r="T313" s="158">
        <f t="shared" si="20"/>
        <v>53240</v>
      </c>
      <c r="U313" s="164">
        <f t="shared" si="21"/>
        <v>864.41</v>
      </c>
      <c r="V313" s="159">
        <f t="shared" si="24"/>
        <v>-1113.49</v>
      </c>
      <c r="W313" s="159">
        <f>D_Emprunts!$U313-D_Emprunts!$V313</f>
        <v>1977.9</v>
      </c>
      <c r="X313" s="160">
        <f>X312-D_Emprunts!$W313</f>
        <v>-379425.77000000014</v>
      </c>
      <c r="Y313">
        <v>306</v>
      </c>
      <c r="Z313" t="str">
        <f t="shared" si="22"/>
        <v>Investissement</v>
      </c>
      <c r="AA313" t="str">
        <f t="shared" si="23"/>
        <v>travaux magasin</v>
      </c>
    </row>
    <row r="314" spans="20:27" x14ac:dyDescent="0.25">
      <c r="T314" s="155">
        <f t="shared" si="20"/>
        <v>53271</v>
      </c>
      <c r="U314" s="164">
        <f t="shared" si="21"/>
        <v>864.41</v>
      </c>
      <c r="V314" s="159">
        <f t="shared" si="24"/>
        <v>-1119.33</v>
      </c>
      <c r="W314" s="156">
        <f>D_Emprunts!$U314-D_Emprunts!$V314</f>
        <v>1983.7399999999998</v>
      </c>
      <c r="X314" s="157">
        <f>X313-D_Emprunts!$W314</f>
        <v>-381409.51000000013</v>
      </c>
      <c r="Y314">
        <v>307</v>
      </c>
      <c r="Z314" t="str">
        <f t="shared" si="22"/>
        <v>Investissement</v>
      </c>
      <c r="AA314" t="str">
        <f t="shared" si="23"/>
        <v>travaux magasin</v>
      </c>
    </row>
    <row r="315" spans="20:27" x14ac:dyDescent="0.25">
      <c r="T315" s="158">
        <f t="shared" si="20"/>
        <v>53301</v>
      </c>
      <c r="U315" s="164">
        <f t="shared" si="21"/>
        <v>864.41</v>
      </c>
      <c r="V315" s="159">
        <f t="shared" si="24"/>
        <v>-1125.18</v>
      </c>
      <c r="W315" s="159">
        <f>D_Emprunts!$U315-D_Emprunts!$V315</f>
        <v>1989.5900000000001</v>
      </c>
      <c r="X315" s="160">
        <f>X314-D_Emprunts!$W315</f>
        <v>-383399.10000000015</v>
      </c>
      <c r="Y315">
        <v>308</v>
      </c>
      <c r="Z315" t="str">
        <f t="shared" si="22"/>
        <v>Investissement</v>
      </c>
      <c r="AA315" t="str">
        <f t="shared" si="23"/>
        <v>travaux magasin</v>
      </c>
    </row>
    <row r="316" spans="20:27" x14ac:dyDescent="0.25">
      <c r="T316" s="155">
        <f t="shared" si="20"/>
        <v>53332</v>
      </c>
      <c r="U316" s="164">
        <f t="shared" si="21"/>
        <v>864.41</v>
      </c>
      <c r="V316" s="159">
        <f t="shared" si="24"/>
        <v>-1131.05</v>
      </c>
      <c r="W316" s="156">
        <f>D_Emprunts!$U316-D_Emprunts!$V316</f>
        <v>1995.46</v>
      </c>
      <c r="X316" s="157">
        <f>X315-D_Emprunts!$W316</f>
        <v>-385394.56000000017</v>
      </c>
      <c r="Y316">
        <v>309</v>
      </c>
      <c r="Z316" t="str">
        <f t="shared" si="22"/>
        <v>Investissement</v>
      </c>
      <c r="AA316" t="str">
        <f t="shared" si="23"/>
        <v>travaux magasin</v>
      </c>
    </row>
    <row r="317" spans="20:27" x14ac:dyDescent="0.25">
      <c r="T317" s="158">
        <f t="shared" si="20"/>
        <v>53363</v>
      </c>
      <c r="U317" s="164">
        <f t="shared" si="21"/>
        <v>864.41</v>
      </c>
      <c r="V317" s="159">
        <f t="shared" si="24"/>
        <v>-1136.93</v>
      </c>
      <c r="W317" s="159">
        <f>D_Emprunts!$U317-D_Emprunts!$V317</f>
        <v>2001.3400000000001</v>
      </c>
      <c r="X317" s="160">
        <f>X316-D_Emprunts!$W317</f>
        <v>-387395.9000000002</v>
      </c>
      <c r="Y317">
        <v>310</v>
      </c>
      <c r="Z317" t="str">
        <f t="shared" si="22"/>
        <v>Investissement</v>
      </c>
      <c r="AA317" t="str">
        <f t="shared" si="23"/>
        <v>travaux magasin</v>
      </c>
    </row>
    <row r="318" spans="20:27" x14ac:dyDescent="0.25">
      <c r="T318" s="155">
        <f t="shared" si="20"/>
        <v>53391</v>
      </c>
      <c r="U318" s="164">
        <f t="shared" si="21"/>
        <v>864.41</v>
      </c>
      <c r="V318" s="159">
        <f t="shared" si="24"/>
        <v>-1142.8399999999999</v>
      </c>
      <c r="W318" s="156">
        <f>D_Emprunts!$U318-D_Emprunts!$V318</f>
        <v>2007.25</v>
      </c>
      <c r="X318" s="157">
        <f>X317-D_Emprunts!$W318</f>
        <v>-389403.1500000002</v>
      </c>
      <c r="Y318">
        <v>311</v>
      </c>
      <c r="Z318" t="str">
        <f t="shared" si="22"/>
        <v>Investissement</v>
      </c>
      <c r="AA318" t="str">
        <f t="shared" si="23"/>
        <v>travaux magasin</v>
      </c>
    </row>
    <row r="319" spans="20:27" x14ac:dyDescent="0.25">
      <c r="T319" s="158">
        <f t="shared" si="20"/>
        <v>53422</v>
      </c>
      <c r="U319" s="164">
        <f t="shared" si="21"/>
        <v>864.41</v>
      </c>
      <c r="V319" s="159">
        <f t="shared" si="24"/>
        <v>-1148.76</v>
      </c>
      <c r="W319" s="159">
        <f>D_Emprunts!$U319-D_Emprunts!$V319</f>
        <v>2013.17</v>
      </c>
      <c r="X319" s="160">
        <f>X318-D_Emprunts!$W319</f>
        <v>-391416.32000000018</v>
      </c>
      <c r="Y319">
        <v>312</v>
      </c>
      <c r="Z319" t="str">
        <f t="shared" si="22"/>
        <v>Investissement</v>
      </c>
      <c r="AA319" t="str">
        <f t="shared" si="23"/>
        <v>travaux magasin</v>
      </c>
    </row>
    <row r="320" spans="20:27" x14ac:dyDescent="0.25">
      <c r="T320" s="155">
        <f t="shared" si="20"/>
        <v>53452</v>
      </c>
      <c r="U320" s="164">
        <f t="shared" si="21"/>
        <v>864.41</v>
      </c>
      <c r="V320" s="159">
        <f t="shared" si="24"/>
        <v>-1154.7</v>
      </c>
      <c r="W320" s="156">
        <f>D_Emprunts!$U320-D_Emprunts!$V320</f>
        <v>2019.1100000000001</v>
      </c>
      <c r="X320" s="157">
        <f>X319-D_Emprunts!$W320</f>
        <v>-393435.43000000017</v>
      </c>
      <c r="Y320">
        <v>313</v>
      </c>
      <c r="Z320" t="str">
        <f t="shared" si="22"/>
        <v>Investissement</v>
      </c>
      <c r="AA320" t="str">
        <f t="shared" si="23"/>
        <v>travaux magasin</v>
      </c>
    </row>
    <row r="321" spans="20:27" x14ac:dyDescent="0.25">
      <c r="T321" s="158">
        <f t="shared" si="20"/>
        <v>53483</v>
      </c>
      <c r="U321" s="164">
        <f t="shared" si="21"/>
        <v>864.41</v>
      </c>
      <c r="V321" s="159">
        <f t="shared" si="24"/>
        <v>-1160.6500000000001</v>
      </c>
      <c r="W321" s="159">
        <f>D_Emprunts!$U321-D_Emprunts!$V321</f>
        <v>2025.06</v>
      </c>
      <c r="X321" s="160">
        <f>X320-D_Emprunts!$W321</f>
        <v>-395460.49000000017</v>
      </c>
      <c r="Y321">
        <v>314</v>
      </c>
      <c r="Z321" t="str">
        <f t="shared" si="22"/>
        <v>Investissement</v>
      </c>
      <c r="AA321" t="str">
        <f t="shared" si="23"/>
        <v>travaux magasin</v>
      </c>
    </row>
    <row r="322" spans="20:27" x14ac:dyDescent="0.25">
      <c r="T322" s="155">
        <f t="shared" si="20"/>
        <v>53513</v>
      </c>
      <c r="U322" s="164">
        <f t="shared" si="21"/>
        <v>864.41</v>
      </c>
      <c r="V322" s="159">
        <f t="shared" si="24"/>
        <v>-1166.6300000000001</v>
      </c>
      <c r="W322" s="156">
        <f>D_Emprunts!$U322-D_Emprunts!$V322</f>
        <v>2031.04</v>
      </c>
      <c r="X322" s="157">
        <f>X321-D_Emprunts!$W322</f>
        <v>-397491.53000000014</v>
      </c>
      <c r="Y322">
        <v>315</v>
      </c>
      <c r="Z322" t="str">
        <f t="shared" si="22"/>
        <v>Investissement</v>
      </c>
      <c r="AA322" t="str">
        <f t="shared" si="23"/>
        <v>travaux magasin</v>
      </c>
    </row>
    <row r="323" spans="20:27" x14ac:dyDescent="0.25">
      <c r="T323" s="158">
        <f t="shared" si="20"/>
        <v>53544</v>
      </c>
      <c r="U323" s="164">
        <f t="shared" si="21"/>
        <v>864.41</v>
      </c>
      <c r="V323" s="159">
        <f t="shared" si="24"/>
        <v>-1172.6199999999999</v>
      </c>
      <c r="W323" s="159">
        <f>D_Emprunts!$U323-D_Emprunts!$V323</f>
        <v>2037.0299999999997</v>
      </c>
      <c r="X323" s="160">
        <f>X322-D_Emprunts!$W323</f>
        <v>-399528.56000000017</v>
      </c>
      <c r="Y323">
        <v>316</v>
      </c>
      <c r="Z323" t="str">
        <f t="shared" si="22"/>
        <v>Investissement</v>
      </c>
      <c r="AA323" t="str">
        <f t="shared" si="23"/>
        <v>travaux magasin</v>
      </c>
    </row>
    <row r="324" spans="20:27" x14ac:dyDescent="0.25">
      <c r="T324" s="155">
        <f t="shared" si="20"/>
        <v>53575</v>
      </c>
      <c r="U324" s="164">
        <f t="shared" si="21"/>
        <v>864.41</v>
      </c>
      <c r="V324" s="159">
        <f t="shared" si="24"/>
        <v>-1178.6300000000001</v>
      </c>
      <c r="W324" s="156">
        <f>D_Emprunts!$U324-D_Emprunts!$V324</f>
        <v>2043.04</v>
      </c>
      <c r="X324" s="157">
        <f>X323-D_Emprunts!$W324</f>
        <v>-401571.60000000015</v>
      </c>
      <c r="Y324">
        <v>317</v>
      </c>
      <c r="Z324" t="str">
        <f t="shared" si="22"/>
        <v>Investissement</v>
      </c>
      <c r="AA324" t="str">
        <f t="shared" si="23"/>
        <v>travaux magasin</v>
      </c>
    </row>
    <row r="325" spans="20:27" x14ac:dyDescent="0.25">
      <c r="T325" s="158">
        <f t="shared" si="20"/>
        <v>53605</v>
      </c>
      <c r="U325" s="164">
        <f t="shared" si="21"/>
        <v>864.41</v>
      </c>
      <c r="V325" s="159">
        <f t="shared" si="24"/>
        <v>-1184.6600000000001</v>
      </c>
      <c r="W325" s="159">
        <f>D_Emprunts!$U325-D_Emprunts!$V325</f>
        <v>2049.0700000000002</v>
      </c>
      <c r="X325" s="160">
        <f>X324-D_Emprunts!$W325</f>
        <v>-403620.67000000016</v>
      </c>
      <c r="Y325">
        <v>318</v>
      </c>
      <c r="Z325" t="str">
        <f t="shared" si="22"/>
        <v>Investissement</v>
      </c>
      <c r="AA325" t="str">
        <f t="shared" si="23"/>
        <v>travaux magasin</v>
      </c>
    </row>
    <row r="326" spans="20:27" x14ac:dyDescent="0.25">
      <c r="T326" s="155">
        <f t="shared" si="20"/>
        <v>53636</v>
      </c>
      <c r="U326" s="164">
        <f t="shared" si="21"/>
        <v>864.41</v>
      </c>
      <c r="V326" s="159">
        <f t="shared" si="24"/>
        <v>-1190.7</v>
      </c>
      <c r="W326" s="156">
        <f>D_Emprunts!$U326-D_Emprunts!$V326</f>
        <v>2055.11</v>
      </c>
      <c r="X326" s="157">
        <f>X325-D_Emprunts!$W326</f>
        <v>-405675.78000000014</v>
      </c>
      <c r="Y326">
        <v>319</v>
      </c>
      <c r="Z326" t="str">
        <f t="shared" si="22"/>
        <v>Investissement</v>
      </c>
      <c r="AA326" t="str">
        <f t="shared" si="23"/>
        <v>travaux magasin</v>
      </c>
    </row>
    <row r="327" spans="20:27" x14ac:dyDescent="0.25">
      <c r="T327" s="158">
        <f t="shared" si="20"/>
        <v>53666</v>
      </c>
      <c r="U327" s="164">
        <f t="shared" si="21"/>
        <v>864.41</v>
      </c>
      <c r="V327" s="159">
        <f t="shared" si="24"/>
        <v>-1196.76</v>
      </c>
      <c r="W327" s="159">
        <f>D_Emprunts!$U327-D_Emprunts!$V327</f>
        <v>2061.17</v>
      </c>
      <c r="X327" s="160">
        <f>X326-D_Emprunts!$W327</f>
        <v>-407736.95000000013</v>
      </c>
      <c r="Y327">
        <v>320</v>
      </c>
      <c r="Z327" t="str">
        <f t="shared" si="22"/>
        <v>Investissement</v>
      </c>
      <c r="AA327" t="str">
        <f t="shared" si="23"/>
        <v>travaux magasin</v>
      </c>
    </row>
    <row r="328" spans="20:27" x14ac:dyDescent="0.25">
      <c r="T328" s="155">
        <f t="shared" ref="T328:T391" si="25">EDATE(T327,1)</f>
        <v>53697</v>
      </c>
      <c r="U328" s="164">
        <f t="shared" si="21"/>
        <v>864.41</v>
      </c>
      <c r="V328" s="159">
        <f t="shared" si="24"/>
        <v>-1202.8399999999999</v>
      </c>
      <c r="W328" s="156">
        <f>D_Emprunts!$U328-D_Emprunts!$V328</f>
        <v>2067.25</v>
      </c>
      <c r="X328" s="157">
        <f>X327-D_Emprunts!$W328</f>
        <v>-409804.20000000013</v>
      </c>
      <c r="Y328">
        <v>321</v>
      </c>
      <c r="Z328" t="str">
        <f t="shared" si="22"/>
        <v>Investissement</v>
      </c>
      <c r="AA328" t="str">
        <f t="shared" si="23"/>
        <v>travaux magasin</v>
      </c>
    </row>
    <row r="329" spans="20:27" x14ac:dyDescent="0.25">
      <c r="T329" s="158">
        <f t="shared" si="25"/>
        <v>53728</v>
      </c>
      <c r="U329" s="164">
        <f t="shared" ref="U329:U392" si="26">$X$4</f>
        <v>864.41</v>
      </c>
      <c r="V329" s="159">
        <f t="shared" si="24"/>
        <v>-1208.94</v>
      </c>
      <c r="W329" s="159">
        <f>D_Emprunts!$U329-D_Emprunts!$V329</f>
        <v>2073.35</v>
      </c>
      <c r="X329" s="160">
        <f>X328-D_Emprunts!$W329</f>
        <v>-411877.5500000001</v>
      </c>
      <c r="Y329">
        <v>322</v>
      </c>
      <c r="Z329" t="str">
        <f t="shared" ref="Z329:Z392" si="27">$Y$4</f>
        <v>Investissement</v>
      </c>
      <c r="AA329" t="str">
        <f t="shared" ref="AA329:AA392" si="28">$Z$4</f>
        <v>travaux magasin</v>
      </c>
    </row>
    <row r="330" spans="20:27" x14ac:dyDescent="0.25">
      <c r="T330" s="155">
        <f t="shared" si="25"/>
        <v>53756</v>
      </c>
      <c r="U330" s="164">
        <f t="shared" si="26"/>
        <v>864.41</v>
      </c>
      <c r="V330" s="159">
        <f t="shared" ref="V330:V393" si="29">ROUND(X329*$V$4/12,2)</f>
        <v>-1215.06</v>
      </c>
      <c r="W330" s="156">
        <f>D_Emprunts!$U330-D_Emprunts!$V330</f>
        <v>2079.4699999999998</v>
      </c>
      <c r="X330" s="157">
        <f>X329-D_Emprunts!$W330</f>
        <v>-413957.02000000008</v>
      </c>
      <c r="Y330">
        <v>323</v>
      </c>
      <c r="Z330" t="str">
        <f t="shared" si="27"/>
        <v>Investissement</v>
      </c>
      <c r="AA330" t="str">
        <f t="shared" si="28"/>
        <v>travaux magasin</v>
      </c>
    </row>
    <row r="331" spans="20:27" x14ac:dyDescent="0.25">
      <c r="T331" s="158">
        <f t="shared" si="25"/>
        <v>53787</v>
      </c>
      <c r="U331" s="164">
        <f t="shared" si="26"/>
        <v>864.41</v>
      </c>
      <c r="V331" s="159">
        <f t="shared" si="29"/>
        <v>-1221.19</v>
      </c>
      <c r="W331" s="159">
        <f>D_Emprunts!$U331-D_Emprunts!$V331</f>
        <v>2085.6</v>
      </c>
      <c r="X331" s="160">
        <f>X330-D_Emprunts!$W331</f>
        <v>-416042.62000000005</v>
      </c>
      <c r="Y331">
        <v>324</v>
      </c>
      <c r="Z331" t="str">
        <f t="shared" si="27"/>
        <v>Investissement</v>
      </c>
      <c r="AA331" t="str">
        <f t="shared" si="28"/>
        <v>travaux magasin</v>
      </c>
    </row>
    <row r="332" spans="20:27" x14ac:dyDescent="0.25">
      <c r="T332" s="155">
        <f t="shared" si="25"/>
        <v>53817</v>
      </c>
      <c r="U332" s="164">
        <f t="shared" si="26"/>
        <v>864.41</v>
      </c>
      <c r="V332" s="159">
        <f t="shared" si="29"/>
        <v>-1227.3499999999999</v>
      </c>
      <c r="W332" s="156">
        <f>D_Emprunts!$U332-D_Emprunts!$V332</f>
        <v>2091.7599999999998</v>
      </c>
      <c r="X332" s="157">
        <f>X331-D_Emprunts!$W332</f>
        <v>-418134.38000000006</v>
      </c>
      <c r="Y332">
        <v>325</v>
      </c>
      <c r="Z332" t="str">
        <f t="shared" si="27"/>
        <v>Investissement</v>
      </c>
      <c r="AA332" t="str">
        <f t="shared" si="28"/>
        <v>travaux magasin</v>
      </c>
    </row>
    <row r="333" spans="20:27" x14ac:dyDescent="0.25">
      <c r="T333" s="158">
        <f t="shared" si="25"/>
        <v>53848</v>
      </c>
      <c r="U333" s="164">
        <f t="shared" si="26"/>
        <v>864.41</v>
      </c>
      <c r="V333" s="159">
        <f t="shared" si="29"/>
        <v>-1233.52</v>
      </c>
      <c r="W333" s="159">
        <f>D_Emprunts!$U333-D_Emprunts!$V333</f>
        <v>2097.9299999999998</v>
      </c>
      <c r="X333" s="160">
        <f>X332-D_Emprunts!$W333</f>
        <v>-420232.31000000006</v>
      </c>
      <c r="Y333">
        <v>326</v>
      </c>
      <c r="Z333" t="str">
        <f t="shared" si="27"/>
        <v>Investissement</v>
      </c>
      <c r="AA333" t="str">
        <f t="shared" si="28"/>
        <v>travaux magasin</v>
      </c>
    </row>
    <row r="334" spans="20:27" x14ac:dyDescent="0.25">
      <c r="T334" s="155">
        <f t="shared" si="25"/>
        <v>53878</v>
      </c>
      <c r="U334" s="164">
        <f t="shared" si="26"/>
        <v>864.41</v>
      </c>
      <c r="V334" s="159">
        <f t="shared" si="29"/>
        <v>-1239.71</v>
      </c>
      <c r="W334" s="156">
        <f>D_Emprunts!$U334-D_Emprunts!$V334</f>
        <v>2104.12</v>
      </c>
      <c r="X334" s="157">
        <f>X333-D_Emprunts!$W334</f>
        <v>-422336.43000000005</v>
      </c>
      <c r="Y334">
        <v>327</v>
      </c>
      <c r="Z334" t="str">
        <f t="shared" si="27"/>
        <v>Investissement</v>
      </c>
      <c r="AA334" t="str">
        <f t="shared" si="28"/>
        <v>travaux magasin</v>
      </c>
    </row>
    <row r="335" spans="20:27" x14ac:dyDescent="0.25">
      <c r="T335" s="158">
        <f t="shared" si="25"/>
        <v>53909</v>
      </c>
      <c r="U335" s="164">
        <f t="shared" si="26"/>
        <v>864.41</v>
      </c>
      <c r="V335" s="159">
        <f t="shared" si="29"/>
        <v>-1245.9100000000001</v>
      </c>
      <c r="W335" s="159">
        <f>D_Emprunts!$U335-D_Emprunts!$V335</f>
        <v>2110.3200000000002</v>
      </c>
      <c r="X335" s="160">
        <f>X334-D_Emprunts!$W335</f>
        <v>-424446.75000000006</v>
      </c>
      <c r="Y335">
        <v>328</v>
      </c>
      <c r="Z335" t="str">
        <f t="shared" si="27"/>
        <v>Investissement</v>
      </c>
      <c r="AA335" t="str">
        <f t="shared" si="28"/>
        <v>travaux magasin</v>
      </c>
    </row>
    <row r="336" spans="20:27" x14ac:dyDescent="0.25">
      <c r="T336" s="155">
        <f t="shared" si="25"/>
        <v>53940</v>
      </c>
      <c r="U336" s="164">
        <f t="shared" si="26"/>
        <v>864.41</v>
      </c>
      <c r="V336" s="159">
        <f t="shared" si="29"/>
        <v>-1252.1400000000001</v>
      </c>
      <c r="W336" s="156">
        <f>D_Emprunts!$U336-D_Emprunts!$V336</f>
        <v>2116.5500000000002</v>
      </c>
      <c r="X336" s="157">
        <f>X335-D_Emprunts!$W336</f>
        <v>-426563.30000000005</v>
      </c>
      <c r="Y336">
        <v>329</v>
      </c>
      <c r="Z336" t="str">
        <f t="shared" si="27"/>
        <v>Investissement</v>
      </c>
      <c r="AA336" t="str">
        <f t="shared" si="28"/>
        <v>travaux magasin</v>
      </c>
    </row>
    <row r="337" spans="20:27" x14ac:dyDescent="0.25">
      <c r="T337" s="158">
        <f t="shared" si="25"/>
        <v>53970</v>
      </c>
      <c r="U337" s="164">
        <f t="shared" si="26"/>
        <v>864.41</v>
      </c>
      <c r="V337" s="159">
        <f t="shared" si="29"/>
        <v>-1258.3800000000001</v>
      </c>
      <c r="W337" s="159">
        <f>D_Emprunts!$U337-D_Emprunts!$V337</f>
        <v>2122.79</v>
      </c>
      <c r="X337" s="160">
        <f>X336-D_Emprunts!$W337</f>
        <v>-428686.09</v>
      </c>
      <c r="Y337">
        <v>330</v>
      </c>
      <c r="Z337" t="str">
        <f t="shared" si="27"/>
        <v>Investissement</v>
      </c>
      <c r="AA337" t="str">
        <f t="shared" si="28"/>
        <v>travaux magasin</v>
      </c>
    </row>
    <row r="338" spans="20:27" x14ac:dyDescent="0.25">
      <c r="T338" s="155">
        <f t="shared" si="25"/>
        <v>54001</v>
      </c>
      <c r="U338" s="164">
        <f t="shared" si="26"/>
        <v>864.41</v>
      </c>
      <c r="V338" s="159">
        <f t="shared" si="29"/>
        <v>-1264.6500000000001</v>
      </c>
      <c r="W338" s="156">
        <f>D_Emprunts!$U338-D_Emprunts!$V338</f>
        <v>2129.06</v>
      </c>
      <c r="X338" s="157">
        <f>X337-D_Emprunts!$W338</f>
        <v>-430815.15</v>
      </c>
      <c r="Y338">
        <v>331</v>
      </c>
      <c r="Z338" t="str">
        <f t="shared" si="27"/>
        <v>Investissement</v>
      </c>
      <c r="AA338" t="str">
        <f t="shared" si="28"/>
        <v>travaux magasin</v>
      </c>
    </row>
    <row r="339" spans="20:27" x14ac:dyDescent="0.25">
      <c r="T339" s="158">
        <f t="shared" si="25"/>
        <v>54031</v>
      </c>
      <c r="U339" s="164">
        <f t="shared" si="26"/>
        <v>864.41</v>
      </c>
      <c r="V339" s="159">
        <f t="shared" si="29"/>
        <v>-1270.93</v>
      </c>
      <c r="W339" s="159">
        <f>D_Emprunts!$U339-D_Emprunts!$V339</f>
        <v>2135.34</v>
      </c>
      <c r="X339" s="160">
        <f>X338-D_Emprunts!$W339</f>
        <v>-432950.49000000005</v>
      </c>
      <c r="Y339">
        <v>332</v>
      </c>
      <c r="Z339" t="str">
        <f t="shared" si="27"/>
        <v>Investissement</v>
      </c>
      <c r="AA339" t="str">
        <f t="shared" si="28"/>
        <v>travaux magasin</v>
      </c>
    </row>
    <row r="340" spans="20:27" x14ac:dyDescent="0.25">
      <c r="T340" s="155">
        <f t="shared" si="25"/>
        <v>54062</v>
      </c>
      <c r="U340" s="164">
        <f t="shared" si="26"/>
        <v>864.41</v>
      </c>
      <c r="V340" s="159">
        <f t="shared" si="29"/>
        <v>-1277.23</v>
      </c>
      <c r="W340" s="156">
        <f>D_Emprunts!$U340-D_Emprunts!$V340</f>
        <v>2141.64</v>
      </c>
      <c r="X340" s="157">
        <f>X339-D_Emprunts!$W340</f>
        <v>-435092.13000000006</v>
      </c>
      <c r="Y340">
        <v>333</v>
      </c>
      <c r="Z340" t="str">
        <f t="shared" si="27"/>
        <v>Investissement</v>
      </c>
      <c r="AA340" t="str">
        <f t="shared" si="28"/>
        <v>travaux magasin</v>
      </c>
    </row>
    <row r="341" spans="20:27" x14ac:dyDescent="0.25">
      <c r="T341" s="158">
        <f t="shared" si="25"/>
        <v>54093</v>
      </c>
      <c r="U341" s="164">
        <f t="shared" si="26"/>
        <v>864.41</v>
      </c>
      <c r="V341" s="159">
        <f t="shared" si="29"/>
        <v>-1283.54</v>
      </c>
      <c r="W341" s="159">
        <f>D_Emprunts!$U341-D_Emprunts!$V341</f>
        <v>2147.9499999999998</v>
      </c>
      <c r="X341" s="160">
        <f>X340-D_Emprunts!$W341</f>
        <v>-437240.08000000007</v>
      </c>
      <c r="Y341">
        <v>334</v>
      </c>
      <c r="Z341" t="str">
        <f t="shared" si="27"/>
        <v>Investissement</v>
      </c>
      <c r="AA341" t="str">
        <f t="shared" si="28"/>
        <v>travaux magasin</v>
      </c>
    </row>
    <row r="342" spans="20:27" x14ac:dyDescent="0.25">
      <c r="T342" s="155">
        <f t="shared" si="25"/>
        <v>54122</v>
      </c>
      <c r="U342" s="164">
        <f t="shared" si="26"/>
        <v>864.41</v>
      </c>
      <c r="V342" s="159">
        <f t="shared" si="29"/>
        <v>-1289.8800000000001</v>
      </c>
      <c r="W342" s="156">
        <f>D_Emprunts!$U342-D_Emprunts!$V342</f>
        <v>2154.29</v>
      </c>
      <c r="X342" s="157">
        <f>X341-D_Emprunts!$W342</f>
        <v>-439394.37000000005</v>
      </c>
      <c r="Y342">
        <v>335</v>
      </c>
      <c r="Z342" t="str">
        <f t="shared" si="27"/>
        <v>Investissement</v>
      </c>
      <c r="AA342" t="str">
        <f t="shared" si="28"/>
        <v>travaux magasin</v>
      </c>
    </row>
    <row r="343" spans="20:27" x14ac:dyDescent="0.25">
      <c r="T343" s="158">
        <f t="shared" si="25"/>
        <v>54153</v>
      </c>
      <c r="U343" s="164">
        <f t="shared" si="26"/>
        <v>864.41</v>
      </c>
      <c r="V343" s="159">
        <f t="shared" si="29"/>
        <v>-1296.24</v>
      </c>
      <c r="W343" s="159">
        <f>D_Emprunts!$U343-D_Emprunts!$V343</f>
        <v>2160.65</v>
      </c>
      <c r="X343" s="160">
        <f>X342-D_Emprunts!$W343</f>
        <v>-441555.02000000008</v>
      </c>
      <c r="Y343">
        <v>336</v>
      </c>
      <c r="Z343" t="str">
        <f t="shared" si="27"/>
        <v>Investissement</v>
      </c>
      <c r="AA343" t="str">
        <f t="shared" si="28"/>
        <v>travaux magasin</v>
      </c>
    </row>
    <row r="344" spans="20:27" x14ac:dyDescent="0.25">
      <c r="T344" s="155">
        <f t="shared" si="25"/>
        <v>54183</v>
      </c>
      <c r="U344" s="164">
        <f t="shared" si="26"/>
        <v>864.41</v>
      </c>
      <c r="V344" s="159">
        <f t="shared" si="29"/>
        <v>-1302.6099999999999</v>
      </c>
      <c r="W344" s="156">
        <f>D_Emprunts!$U344-D_Emprunts!$V344</f>
        <v>2167.02</v>
      </c>
      <c r="X344" s="157">
        <f>X343-D_Emprunts!$W344</f>
        <v>-443722.0400000001</v>
      </c>
      <c r="Y344">
        <v>337</v>
      </c>
      <c r="Z344" t="str">
        <f t="shared" si="27"/>
        <v>Investissement</v>
      </c>
      <c r="AA344" t="str">
        <f t="shared" si="28"/>
        <v>travaux magasin</v>
      </c>
    </row>
    <row r="345" spans="20:27" x14ac:dyDescent="0.25">
      <c r="T345" s="158">
        <f t="shared" si="25"/>
        <v>54214</v>
      </c>
      <c r="U345" s="164">
        <f t="shared" si="26"/>
        <v>864.41</v>
      </c>
      <c r="V345" s="159">
        <f t="shared" si="29"/>
        <v>-1309</v>
      </c>
      <c r="W345" s="159">
        <f>D_Emprunts!$U345-D_Emprunts!$V345</f>
        <v>2173.41</v>
      </c>
      <c r="X345" s="160">
        <f>X344-D_Emprunts!$W345</f>
        <v>-445895.45000000007</v>
      </c>
      <c r="Y345">
        <v>338</v>
      </c>
      <c r="Z345" t="str">
        <f t="shared" si="27"/>
        <v>Investissement</v>
      </c>
      <c r="AA345" t="str">
        <f t="shared" si="28"/>
        <v>travaux magasin</v>
      </c>
    </row>
    <row r="346" spans="20:27" x14ac:dyDescent="0.25">
      <c r="T346" s="155">
        <f t="shared" si="25"/>
        <v>54244</v>
      </c>
      <c r="U346" s="164">
        <f t="shared" si="26"/>
        <v>864.41</v>
      </c>
      <c r="V346" s="159">
        <f t="shared" si="29"/>
        <v>-1315.41</v>
      </c>
      <c r="W346" s="156">
        <f>D_Emprunts!$U346-D_Emprunts!$V346</f>
        <v>2179.8200000000002</v>
      </c>
      <c r="X346" s="157">
        <f>X345-D_Emprunts!$W346</f>
        <v>-448075.27000000008</v>
      </c>
      <c r="Y346">
        <v>339</v>
      </c>
      <c r="Z346" t="str">
        <f t="shared" si="27"/>
        <v>Investissement</v>
      </c>
      <c r="AA346" t="str">
        <f t="shared" si="28"/>
        <v>travaux magasin</v>
      </c>
    </row>
    <row r="347" spans="20:27" x14ac:dyDescent="0.25">
      <c r="T347" s="158">
        <f t="shared" si="25"/>
        <v>54275</v>
      </c>
      <c r="U347" s="164">
        <f t="shared" si="26"/>
        <v>864.41</v>
      </c>
      <c r="V347" s="159">
        <f t="shared" si="29"/>
        <v>-1321.84</v>
      </c>
      <c r="W347" s="159">
        <f>D_Emprunts!$U347-D_Emprunts!$V347</f>
        <v>2186.25</v>
      </c>
      <c r="X347" s="160">
        <f>X346-D_Emprunts!$W347</f>
        <v>-450261.52000000008</v>
      </c>
      <c r="Y347">
        <v>340</v>
      </c>
      <c r="Z347" t="str">
        <f t="shared" si="27"/>
        <v>Investissement</v>
      </c>
      <c r="AA347" t="str">
        <f t="shared" si="28"/>
        <v>travaux magasin</v>
      </c>
    </row>
    <row r="348" spans="20:27" x14ac:dyDescent="0.25">
      <c r="T348" s="155">
        <f t="shared" si="25"/>
        <v>54306</v>
      </c>
      <c r="U348" s="164">
        <f t="shared" si="26"/>
        <v>864.41</v>
      </c>
      <c r="V348" s="159">
        <f t="shared" si="29"/>
        <v>-1328.29</v>
      </c>
      <c r="W348" s="156">
        <f>D_Emprunts!$U348-D_Emprunts!$V348</f>
        <v>2192.6999999999998</v>
      </c>
      <c r="X348" s="157">
        <f>X347-D_Emprunts!$W348</f>
        <v>-452454.22000000009</v>
      </c>
      <c r="Y348">
        <v>341</v>
      </c>
      <c r="Z348" t="str">
        <f t="shared" si="27"/>
        <v>Investissement</v>
      </c>
      <c r="AA348" t="str">
        <f t="shared" si="28"/>
        <v>travaux magasin</v>
      </c>
    </row>
    <row r="349" spans="20:27" x14ac:dyDescent="0.25">
      <c r="T349" s="158">
        <f t="shared" si="25"/>
        <v>54336</v>
      </c>
      <c r="U349" s="164">
        <f t="shared" si="26"/>
        <v>864.41</v>
      </c>
      <c r="V349" s="159">
        <f t="shared" si="29"/>
        <v>-1334.76</v>
      </c>
      <c r="W349" s="159">
        <f>D_Emprunts!$U349-D_Emprunts!$V349</f>
        <v>2199.17</v>
      </c>
      <c r="X349" s="160">
        <f>X348-D_Emprunts!$W349</f>
        <v>-454653.39000000007</v>
      </c>
      <c r="Y349">
        <v>342</v>
      </c>
      <c r="Z349" t="str">
        <f t="shared" si="27"/>
        <v>Investissement</v>
      </c>
      <c r="AA349" t="str">
        <f t="shared" si="28"/>
        <v>travaux magasin</v>
      </c>
    </row>
    <row r="350" spans="20:27" x14ac:dyDescent="0.25">
      <c r="T350" s="155">
        <f t="shared" si="25"/>
        <v>54367</v>
      </c>
      <c r="U350" s="164">
        <f t="shared" si="26"/>
        <v>864.41</v>
      </c>
      <c r="V350" s="159">
        <f t="shared" si="29"/>
        <v>-1341.25</v>
      </c>
      <c r="W350" s="156">
        <f>D_Emprunts!$U350-D_Emprunts!$V350</f>
        <v>2205.66</v>
      </c>
      <c r="X350" s="157">
        <f>X349-D_Emprunts!$W350</f>
        <v>-456859.05000000005</v>
      </c>
      <c r="Y350">
        <v>343</v>
      </c>
      <c r="Z350" t="str">
        <f t="shared" si="27"/>
        <v>Investissement</v>
      </c>
      <c r="AA350" t="str">
        <f t="shared" si="28"/>
        <v>travaux magasin</v>
      </c>
    </row>
    <row r="351" spans="20:27" x14ac:dyDescent="0.25">
      <c r="T351" s="158">
        <f t="shared" si="25"/>
        <v>54397</v>
      </c>
      <c r="U351" s="164">
        <f t="shared" si="26"/>
        <v>864.41</v>
      </c>
      <c r="V351" s="159">
        <f t="shared" si="29"/>
        <v>-1347.76</v>
      </c>
      <c r="W351" s="159">
        <f>D_Emprunts!$U351-D_Emprunts!$V351</f>
        <v>2212.17</v>
      </c>
      <c r="X351" s="160">
        <f>X350-D_Emprunts!$W351</f>
        <v>-459071.22000000003</v>
      </c>
      <c r="Y351">
        <v>344</v>
      </c>
      <c r="Z351" t="str">
        <f t="shared" si="27"/>
        <v>Investissement</v>
      </c>
      <c r="AA351" t="str">
        <f t="shared" si="28"/>
        <v>travaux magasin</v>
      </c>
    </row>
    <row r="352" spans="20:27" x14ac:dyDescent="0.25">
      <c r="T352" s="155">
        <f t="shared" si="25"/>
        <v>54428</v>
      </c>
      <c r="U352" s="164">
        <f t="shared" si="26"/>
        <v>864.41</v>
      </c>
      <c r="V352" s="159">
        <f t="shared" si="29"/>
        <v>-1354.28</v>
      </c>
      <c r="W352" s="156">
        <f>D_Emprunts!$U352-D_Emprunts!$V352</f>
        <v>2218.69</v>
      </c>
      <c r="X352" s="157">
        <f>X351-D_Emprunts!$W352</f>
        <v>-461289.91000000003</v>
      </c>
      <c r="Y352">
        <v>345</v>
      </c>
      <c r="Z352" t="str">
        <f t="shared" si="27"/>
        <v>Investissement</v>
      </c>
      <c r="AA352" t="str">
        <f t="shared" si="28"/>
        <v>travaux magasin</v>
      </c>
    </row>
    <row r="353" spans="20:27" x14ac:dyDescent="0.25">
      <c r="T353" s="158">
        <f t="shared" si="25"/>
        <v>54459</v>
      </c>
      <c r="U353" s="164">
        <f t="shared" si="26"/>
        <v>864.41</v>
      </c>
      <c r="V353" s="159">
        <f t="shared" si="29"/>
        <v>-1360.83</v>
      </c>
      <c r="W353" s="159">
        <f>D_Emprunts!$U353-D_Emprunts!$V353</f>
        <v>2225.2399999999998</v>
      </c>
      <c r="X353" s="160">
        <f>X352-D_Emprunts!$W353</f>
        <v>-463515.15</v>
      </c>
      <c r="Y353">
        <v>346</v>
      </c>
      <c r="Z353" t="str">
        <f t="shared" si="27"/>
        <v>Investissement</v>
      </c>
      <c r="AA353" t="str">
        <f t="shared" si="28"/>
        <v>travaux magasin</v>
      </c>
    </row>
    <row r="354" spans="20:27" x14ac:dyDescent="0.25">
      <c r="T354" s="155">
        <f t="shared" si="25"/>
        <v>54487</v>
      </c>
      <c r="U354" s="164">
        <f t="shared" si="26"/>
        <v>864.41</v>
      </c>
      <c r="V354" s="159">
        <f t="shared" si="29"/>
        <v>-1367.39</v>
      </c>
      <c r="W354" s="156">
        <f>D_Emprunts!$U354-D_Emprunts!$V354</f>
        <v>2231.8000000000002</v>
      </c>
      <c r="X354" s="157">
        <f>X353-D_Emprunts!$W354</f>
        <v>-465746.95</v>
      </c>
      <c r="Y354">
        <v>347</v>
      </c>
      <c r="Z354" t="str">
        <f t="shared" si="27"/>
        <v>Investissement</v>
      </c>
      <c r="AA354" t="str">
        <f t="shared" si="28"/>
        <v>travaux magasin</v>
      </c>
    </row>
    <row r="355" spans="20:27" x14ac:dyDescent="0.25">
      <c r="T355" s="158">
        <f t="shared" si="25"/>
        <v>54518</v>
      </c>
      <c r="U355" s="164">
        <f t="shared" si="26"/>
        <v>864.41</v>
      </c>
      <c r="V355" s="159">
        <f t="shared" si="29"/>
        <v>-1373.98</v>
      </c>
      <c r="W355" s="159">
        <f>D_Emprunts!$U355-D_Emprunts!$V355</f>
        <v>2238.39</v>
      </c>
      <c r="X355" s="160">
        <f>X354-D_Emprunts!$W355</f>
        <v>-467985.34</v>
      </c>
      <c r="Y355">
        <v>348</v>
      </c>
      <c r="Z355" t="str">
        <f t="shared" si="27"/>
        <v>Investissement</v>
      </c>
      <c r="AA355" t="str">
        <f t="shared" si="28"/>
        <v>travaux magasin</v>
      </c>
    </row>
    <row r="356" spans="20:27" x14ac:dyDescent="0.25">
      <c r="T356" s="155">
        <f t="shared" si="25"/>
        <v>54548</v>
      </c>
      <c r="U356" s="164">
        <f t="shared" si="26"/>
        <v>864.41</v>
      </c>
      <c r="V356" s="159">
        <f t="shared" si="29"/>
        <v>-1380.58</v>
      </c>
      <c r="W356" s="156">
        <f>D_Emprunts!$U356-D_Emprunts!$V356</f>
        <v>2244.9899999999998</v>
      </c>
      <c r="X356" s="157">
        <f>X355-D_Emprunts!$W356</f>
        <v>-470230.33</v>
      </c>
      <c r="Y356">
        <v>349</v>
      </c>
      <c r="Z356" t="str">
        <f t="shared" si="27"/>
        <v>Investissement</v>
      </c>
      <c r="AA356" t="str">
        <f t="shared" si="28"/>
        <v>travaux magasin</v>
      </c>
    </row>
    <row r="357" spans="20:27" x14ac:dyDescent="0.25">
      <c r="T357" s="158">
        <f t="shared" si="25"/>
        <v>54579</v>
      </c>
      <c r="U357" s="164">
        <f t="shared" si="26"/>
        <v>864.41</v>
      </c>
      <c r="V357" s="159">
        <f t="shared" si="29"/>
        <v>-1387.2</v>
      </c>
      <c r="W357" s="159">
        <f>D_Emprunts!$U357-D_Emprunts!$V357</f>
        <v>2251.61</v>
      </c>
      <c r="X357" s="160">
        <f>X356-D_Emprunts!$W357</f>
        <v>-472481.94</v>
      </c>
      <c r="Y357">
        <v>350</v>
      </c>
      <c r="Z357" t="str">
        <f t="shared" si="27"/>
        <v>Investissement</v>
      </c>
      <c r="AA357" t="str">
        <f t="shared" si="28"/>
        <v>travaux magasin</v>
      </c>
    </row>
    <row r="358" spans="20:27" x14ac:dyDescent="0.25">
      <c r="T358" s="155">
        <f t="shared" si="25"/>
        <v>54609</v>
      </c>
      <c r="U358" s="164">
        <f t="shared" si="26"/>
        <v>864.41</v>
      </c>
      <c r="V358" s="159">
        <f t="shared" si="29"/>
        <v>-1393.85</v>
      </c>
      <c r="W358" s="156">
        <f>D_Emprunts!$U358-D_Emprunts!$V358</f>
        <v>2258.2599999999998</v>
      </c>
      <c r="X358" s="157">
        <f>X357-D_Emprunts!$W358</f>
        <v>-474740.2</v>
      </c>
      <c r="Y358">
        <v>351</v>
      </c>
      <c r="Z358" t="str">
        <f t="shared" si="27"/>
        <v>Investissement</v>
      </c>
      <c r="AA358" t="str">
        <f t="shared" si="28"/>
        <v>travaux magasin</v>
      </c>
    </row>
    <row r="359" spans="20:27" x14ac:dyDescent="0.25">
      <c r="T359" s="158">
        <f t="shared" si="25"/>
        <v>54640</v>
      </c>
      <c r="U359" s="164">
        <f t="shared" si="26"/>
        <v>864.41</v>
      </c>
      <c r="V359" s="159">
        <f t="shared" si="29"/>
        <v>-1400.51</v>
      </c>
      <c r="W359" s="159">
        <f>D_Emprunts!$U359-D_Emprunts!$V359</f>
        <v>2264.92</v>
      </c>
      <c r="X359" s="160">
        <f>X358-D_Emprunts!$W359</f>
        <v>-477005.12</v>
      </c>
      <c r="Y359">
        <v>352</v>
      </c>
      <c r="Z359" t="str">
        <f t="shared" si="27"/>
        <v>Investissement</v>
      </c>
      <c r="AA359" t="str">
        <f t="shared" si="28"/>
        <v>travaux magasin</v>
      </c>
    </row>
    <row r="360" spans="20:27" x14ac:dyDescent="0.25">
      <c r="T360" s="155">
        <f t="shared" si="25"/>
        <v>54671</v>
      </c>
      <c r="U360" s="164">
        <f t="shared" si="26"/>
        <v>864.41</v>
      </c>
      <c r="V360" s="159">
        <f t="shared" si="29"/>
        <v>-1407.19</v>
      </c>
      <c r="W360" s="156">
        <f>D_Emprunts!$U360-D_Emprunts!$V360</f>
        <v>2271.6</v>
      </c>
      <c r="X360" s="157">
        <f>X359-D_Emprunts!$W360</f>
        <v>-479276.72</v>
      </c>
      <c r="Y360">
        <v>353</v>
      </c>
      <c r="Z360" t="str">
        <f t="shared" si="27"/>
        <v>Investissement</v>
      </c>
      <c r="AA360" t="str">
        <f t="shared" si="28"/>
        <v>travaux magasin</v>
      </c>
    </row>
    <row r="361" spans="20:27" x14ac:dyDescent="0.25">
      <c r="T361" s="158">
        <f t="shared" si="25"/>
        <v>54701</v>
      </c>
      <c r="U361" s="164">
        <f t="shared" si="26"/>
        <v>864.41</v>
      </c>
      <c r="V361" s="159">
        <f t="shared" si="29"/>
        <v>-1413.89</v>
      </c>
      <c r="W361" s="159">
        <f>D_Emprunts!$U361-D_Emprunts!$V361</f>
        <v>2278.3000000000002</v>
      </c>
      <c r="X361" s="160">
        <f>X360-D_Emprunts!$W361</f>
        <v>-481555.01999999996</v>
      </c>
      <c r="Y361">
        <v>354</v>
      </c>
      <c r="Z361" t="str">
        <f t="shared" si="27"/>
        <v>Investissement</v>
      </c>
      <c r="AA361" t="str">
        <f t="shared" si="28"/>
        <v>travaux magasin</v>
      </c>
    </row>
    <row r="362" spans="20:27" x14ac:dyDescent="0.25">
      <c r="T362" s="155">
        <f t="shared" si="25"/>
        <v>54732</v>
      </c>
      <c r="U362" s="164">
        <f t="shared" si="26"/>
        <v>864.41</v>
      </c>
      <c r="V362" s="159">
        <f t="shared" si="29"/>
        <v>-1420.61</v>
      </c>
      <c r="W362" s="156">
        <f>D_Emprunts!$U362-D_Emprunts!$V362</f>
        <v>2285.02</v>
      </c>
      <c r="X362" s="157">
        <f>X361-D_Emprunts!$W362</f>
        <v>-483840.04</v>
      </c>
      <c r="Y362">
        <v>355</v>
      </c>
      <c r="Z362" t="str">
        <f t="shared" si="27"/>
        <v>Investissement</v>
      </c>
      <c r="AA362" t="str">
        <f t="shared" si="28"/>
        <v>travaux magasin</v>
      </c>
    </row>
    <row r="363" spans="20:27" x14ac:dyDescent="0.25">
      <c r="T363" s="158">
        <f t="shared" si="25"/>
        <v>54762</v>
      </c>
      <c r="U363" s="164">
        <f t="shared" si="26"/>
        <v>864.41</v>
      </c>
      <c r="V363" s="159">
        <f t="shared" si="29"/>
        <v>-1427.35</v>
      </c>
      <c r="W363" s="159">
        <f>D_Emprunts!$U363-D_Emprunts!$V363</f>
        <v>2291.7599999999998</v>
      </c>
      <c r="X363" s="160">
        <f>X362-D_Emprunts!$W363</f>
        <v>-486131.8</v>
      </c>
      <c r="Y363">
        <v>356</v>
      </c>
      <c r="Z363" t="str">
        <f t="shared" si="27"/>
        <v>Investissement</v>
      </c>
      <c r="AA363" t="str">
        <f t="shared" si="28"/>
        <v>travaux magasin</v>
      </c>
    </row>
    <row r="364" spans="20:27" x14ac:dyDescent="0.25">
      <c r="T364" s="155">
        <f t="shared" si="25"/>
        <v>54793</v>
      </c>
      <c r="U364" s="164">
        <f t="shared" si="26"/>
        <v>864.41</v>
      </c>
      <c r="V364" s="159">
        <f t="shared" si="29"/>
        <v>-1434.11</v>
      </c>
      <c r="W364" s="156">
        <f>D_Emprunts!$U364-D_Emprunts!$V364</f>
        <v>2298.52</v>
      </c>
      <c r="X364" s="157">
        <f>X363-D_Emprunts!$W364</f>
        <v>-488430.32</v>
      </c>
      <c r="Y364">
        <v>357</v>
      </c>
      <c r="Z364" t="str">
        <f t="shared" si="27"/>
        <v>Investissement</v>
      </c>
      <c r="AA364" t="str">
        <f t="shared" si="28"/>
        <v>travaux magasin</v>
      </c>
    </row>
    <row r="365" spans="20:27" x14ac:dyDescent="0.25">
      <c r="T365" s="158">
        <f t="shared" si="25"/>
        <v>54824</v>
      </c>
      <c r="U365" s="164">
        <f t="shared" si="26"/>
        <v>864.41</v>
      </c>
      <c r="V365" s="159">
        <f t="shared" si="29"/>
        <v>-1440.89</v>
      </c>
      <c r="W365" s="159">
        <f>D_Emprunts!$U365-D_Emprunts!$V365</f>
        <v>2305.3000000000002</v>
      </c>
      <c r="X365" s="160">
        <f>X364-D_Emprunts!$W365</f>
        <v>-490735.62</v>
      </c>
      <c r="Y365">
        <v>358</v>
      </c>
      <c r="Z365" t="str">
        <f t="shared" si="27"/>
        <v>Investissement</v>
      </c>
      <c r="AA365" t="str">
        <f t="shared" si="28"/>
        <v>travaux magasin</v>
      </c>
    </row>
    <row r="366" spans="20:27" x14ac:dyDescent="0.25">
      <c r="T366" s="155">
        <f t="shared" si="25"/>
        <v>54852</v>
      </c>
      <c r="U366" s="164">
        <f t="shared" si="26"/>
        <v>864.41</v>
      </c>
      <c r="V366" s="159">
        <f t="shared" si="29"/>
        <v>-1447.7</v>
      </c>
      <c r="W366" s="156">
        <f>D_Emprunts!$U366-D_Emprunts!$V366</f>
        <v>2312.11</v>
      </c>
      <c r="X366" s="157">
        <f>X365-D_Emprunts!$W366</f>
        <v>-493047.73</v>
      </c>
      <c r="Y366">
        <v>359</v>
      </c>
      <c r="Z366" t="str">
        <f t="shared" si="27"/>
        <v>Investissement</v>
      </c>
      <c r="AA366" t="str">
        <f t="shared" si="28"/>
        <v>travaux magasin</v>
      </c>
    </row>
    <row r="367" spans="20:27" x14ac:dyDescent="0.25">
      <c r="T367" s="158">
        <f t="shared" si="25"/>
        <v>54883</v>
      </c>
      <c r="U367" s="164">
        <f t="shared" si="26"/>
        <v>864.41</v>
      </c>
      <c r="V367" s="159">
        <f t="shared" si="29"/>
        <v>-1454.52</v>
      </c>
      <c r="W367" s="159">
        <f>D_Emprunts!$U367-D_Emprunts!$V367</f>
        <v>2318.9299999999998</v>
      </c>
      <c r="X367" s="160">
        <f>X366-D_Emprunts!$W367</f>
        <v>-495366.66</v>
      </c>
      <c r="Y367">
        <v>360</v>
      </c>
      <c r="Z367" t="str">
        <f t="shared" si="27"/>
        <v>Investissement</v>
      </c>
      <c r="AA367" t="str">
        <f t="shared" si="28"/>
        <v>travaux magasin</v>
      </c>
    </row>
    <row r="368" spans="20:27" x14ac:dyDescent="0.25">
      <c r="T368" s="155">
        <f t="shared" si="25"/>
        <v>54913</v>
      </c>
      <c r="U368" s="164">
        <f t="shared" si="26"/>
        <v>864.41</v>
      </c>
      <c r="V368" s="159">
        <f t="shared" si="29"/>
        <v>-1461.36</v>
      </c>
      <c r="W368" s="156">
        <f>D_Emprunts!$U368-D_Emprunts!$V368</f>
        <v>2325.77</v>
      </c>
      <c r="X368" s="157">
        <f>X367-D_Emprunts!$W368</f>
        <v>-497692.43</v>
      </c>
      <c r="Y368">
        <v>361</v>
      </c>
      <c r="Z368" t="str">
        <f t="shared" si="27"/>
        <v>Investissement</v>
      </c>
      <c r="AA368" t="str">
        <f t="shared" si="28"/>
        <v>travaux magasin</v>
      </c>
    </row>
    <row r="369" spans="20:27" x14ac:dyDescent="0.25">
      <c r="T369" s="158">
        <f t="shared" si="25"/>
        <v>54944</v>
      </c>
      <c r="U369" s="164">
        <f t="shared" si="26"/>
        <v>864.41</v>
      </c>
      <c r="V369" s="159">
        <f t="shared" si="29"/>
        <v>-1468.22</v>
      </c>
      <c r="W369" s="159">
        <f>D_Emprunts!$U369-D_Emprunts!$V369</f>
        <v>2332.63</v>
      </c>
      <c r="X369" s="160">
        <f>X368-D_Emprunts!$W369</f>
        <v>-500025.06</v>
      </c>
      <c r="Y369">
        <v>362</v>
      </c>
      <c r="Z369" t="str">
        <f t="shared" si="27"/>
        <v>Investissement</v>
      </c>
      <c r="AA369" t="str">
        <f t="shared" si="28"/>
        <v>travaux magasin</v>
      </c>
    </row>
    <row r="370" spans="20:27" x14ac:dyDescent="0.25">
      <c r="T370" s="155">
        <f t="shared" si="25"/>
        <v>54974</v>
      </c>
      <c r="U370" s="164">
        <f t="shared" si="26"/>
        <v>864.41</v>
      </c>
      <c r="V370" s="159">
        <f t="shared" si="29"/>
        <v>-1475.1</v>
      </c>
      <c r="W370" s="156">
        <f>D_Emprunts!$U370-D_Emprunts!$V370</f>
        <v>2339.5099999999998</v>
      </c>
      <c r="X370" s="157">
        <f>X369-D_Emprunts!$W370</f>
        <v>-502364.57</v>
      </c>
      <c r="Y370">
        <v>363</v>
      </c>
      <c r="Z370" t="str">
        <f t="shared" si="27"/>
        <v>Investissement</v>
      </c>
      <c r="AA370" t="str">
        <f t="shared" si="28"/>
        <v>travaux magasin</v>
      </c>
    </row>
    <row r="371" spans="20:27" x14ac:dyDescent="0.25">
      <c r="T371" s="158">
        <f t="shared" si="25"/>
        <v>55005</v>
      </c>
      <c r="U371" s="164">
        <f t="shared" si="26"/>
        <v>864.41</v>
      </c>
      <c r="V371" s="159">
        <f t="shared" si="29"/>
        <v>-1482</v>
      </c>
      <c r="W371" s="159">
        <f>D_Emprunts!$U371-D_Emprunts!$V371</f>
        <v>2346.41</v>
      </c>
      <c r="X371" s="160">
        <f>X370-D_Emprunts!$W371</f>
        <v>-504710.98</v>
      </c>
      <c r="Y371">
        <v>364</v>
      </c>
      <c r="Z371" t="str">
        <f t="shared" si="27"/>
        <v>Investissement</v>
      </c>
      <c r="AA371" t="str">
        <f t="shared" si="28"/>
        <v>travaux magasin</v>
      </c>
    </row>
    <row r="372" spans="20:27" x14ac:dyDescent="0.25">
      <c r="T372" s="155">
        <f t="shared" si="25"/>
        <v>55036</v>
      </c>
      <c r="U372" s="164">
        <f t="shared" si="26"/>
        <v>864.41</v>
      </c>
      <c r="V372" s="159">
        <f t="shared" si="29"/>
        <v>-1488.92</v>
      </c>
      <c r="W372" s="156">
        <f>D_Emprunts!$U372-D_Emprunts!$V372</f>
        <v>2353.33</v>
      </c>
      <c r="X372" s="157">
        <f>X371-D_Emprunts!$W372</f>
        <v>-507064.31</v>
      </c>
      <c r="Y372">
        <v>365</v>
      </c>
      <c r="Z372" t="str">
        <f t="shared" si="27"/>
        <v>Investissement</v>
      </c>
      <c r="AA372" t="str">
        <f t="shared" si="28"/>
        <v>travaux magasin</v>
      </c>
    </row>
    <row r="373" spans="20:27" x14ac:dyDescent="0.25">
      <c r="T373" s="158">
        <f t="shared" si="25"/>
        <v>55066</v>
      </c>
      <c r="U373" s="164">
        <f t="shared" si="26"/>
        <v>864.41</v>
      </c>
      <c r="V373" s="159">
        <f t="shared" si="29"/>
        <v>-1495.87</v>
      </c>
      <c r="W373" s="159">
        <f>D_Emprunts!$U373-D_Emprunts!$V373</f>
        <v>2360.2799999999997</v>
      </c>
      <c r="X373" s="160">
        <f>X372-D_Emprunts!$W373</f>
        <v>-509424.59</v>
      </c>
      <c r="Y373">
        <v>366</v>
      </c>
      <c r="Z373" t="str">
        <f t="shared" si="27"/>
        <v>Investissement</v>
      </c>
      <c r="AA373" t="str">
        <f t="shared" si="28"/>
        <v>travaux magasin</v>
      </c>
    </row>
    <row r="374" spans="20:27" x14ac:dyDescent="0.25">
      <c r="T374" s="155">
        <f t="shared" si="25"/>
        <v>55097</v>
      </c>
      <c r="U374" s="164">
        <f t="shared" si="26"/>
        <v>864.41</v>
      </c>
      <c r="V374" s="159">
        <f t="shared" si="29"/>
        <v>-1502.83</v>
      </c>
      <c r="W374" s="156">
        <f>D_Emprunts!$U374-D_Emprunts!$V374</f>
        <v>2367.2399999999998</v>
      </c>
      <c r="X374" s="157">
        <f>X373-D_Emprunts!$W374</f>
        <v>-511791.83</v>
      </c>
      <c r="Y374">
        <v>367</v>
      </c>
      <c r="Z374" t="str">
        <f t="shared" si="27"/>
        <v>Investissement</v>
      </c>
      <c r="AA374" t="str">
        <f t="shared" si="28"/>
        <v>travaux magasin</v>
      </c>
    </row>
    <row r="375" spans="20:27" x14ac:dyDescent="0.25">
      <c r="T375" s="158">
        <f t="shared" si="25"/>
        <v>55127</v>
      </c>
      <c r="U375" s="164">
        <f t="shared" si="26"/>
        <v>864.41</v>
      </c>
      <c r="V375" s="159">
        <f t="shared" si="29"/>
        <v>-1509.81</v>
      </c>
      <c r="W375" s="159">
        <f>D_Emprunts!$U375-D_Emprunts!$V375</f>
        <v>2374.2199999999998</v>
      </c>
      <c r="X375" s="160">
        <f>X374-D_Emprunts!$W375</f>
        <v>-514166.05</v>
      </c>
      <c r="Y375">
        <v>368</v>
      </c>
      <c r="Z375" t="str">
        <f t="shared" si="27"/>
        <v>Investissement</v>
      </c>
      <c r="AA375" t="str">
        <f t="shared" si="28"/>
        <v>travaux magasin</v>
      </c>
    </row>
    <row r="376" spans="20:27" x14ac:dyDescent="0.25">
      <c r="T376" s="155">
        <f t="shared" si="25"/>
        <v>55158</v>
      </c>
      <c r="U376" s="164">
        <f t="shared" si="26"/>
        <v>864.41</v>
      </c>
      <c r="V376" s="159">
        <f t="shared" si="29"/>
        <v>-1516.82</v>
      </c>
      <c r="W376" s="156">
        <f>D_Emprunts!$U376-D_Emprunts!$V376</f>
        <v>2381.23</v>
      </c>
      <c r="X376" s="157">
        <f>X375-D_Emprunts!$W376</f>
        <v>-516547.27999999997</v>
      </c>
      <c r="Y376">
        <v>369</v>
      </c>
      <c r="Z376" t="str">
        <f t="shared" si="27"/>
        <v>Investissement</v>
      </c>
      <c r="AA376" t="str">
        <f t="shared" si="28"/>
        <v>travaux magasin</v>
      </c>
    </row>
    <row r="377" spans="20:27" x14ac:dyDescent="0.25">
      <c r="T377" s="158">
        <f t="shared" si="25"/>
        <v>55189</v>
      </c>
      <c r="U377" s="164">
        <f t="shared" si="26"/>
        <v>864.41</v>
      </c>
      <c r="V377" s="159">
        <f t="shared" si="29"/>
        <v>-1523.84</v>
      </c>
      <c r="W377" s="159">
        <f>D_Emprunts!$U377-D_Emprunts!$V377</f>
        <v>2388.25</v>
      </c>
      <c r="X377" s="160">
        <f>X376-D_Emprunts!$W377</f>
        <v>-518935.52999999997</v>
      </c>
      <c r="Y377">
        <v>370</v>
      </c>
      <c r="Z377" t="str">
        <f t="shared" si="27"/>
        <v>Investissement</v>
      </c>
      <c r="AA377" t="str">
        <f t="shared" si="28"/>
        <v>travaux magasin</v>
      </c>
    </row>
    <row r="378" spans="20:27" x14ac:dyDescent="0.25">
      <c r="T378" s="155">
        <f t="shared" si="25"/>
        <v>55217</v>
      </c>
      <c r="U378" s="164">
        <f t="shared" si="26"/>
        <v>864.41</v>
      </c>
      <c r="V378" s="159">
        <f t="shared" si="29"/>
        <v>-1530.89</v>
      </c>
      <c r="W378" s="156">
        <f>D_Emprunts!$U378-D_Emprunts!$V378</f>
        <v>2395.3000000000002</v>
      </c>
      <c r="X378" s="157">
        <f>X377-D_Emprunts!$W378</f>
        <v>-521330.82999999996</v>
      </c>
      <c r="Y378">
        <v>371</v>
      </c>
      <c r="Z378" t="str">
        <f t="shared" si="27"/>
        <v>Investissement</v>
      </c>
      <c r="AA378" t="str">
        <f t="shared" si="28"/>
        <v>travaux magasin</v>
      </c>
    </row>
    <row r="379" spans="20:27" x14ac:dyDescent="0.25">
      <c r="T379" s="158">
        <f t="shared" si="25"/>
        <v>55248</v>
      </c>
      <c r="U379" s="164">
        <f t="shared" si="26"/>
        <v>864.41</v>
      </c>
      <c r="V379" s="159">
        <f t="shared" si="29"/>
        <v>-1537.95</v>
      </c>
      <c r="W379" s="159">
        <f>D_Emprunts!$U379-D_Emprunts!$V379</f>
        <v>2402.36</v>
      </c>
      <c r="X379" s="160">
        <f>X378-D_Emprunts!$W379</f>
        <v>-523733.18999999994</v>
      </c>
      <c r="Y379">
        <v>372</v>
      </c>
      <c r="Z379" t="str">
        <f t="shared" si="27"/>
        <v>Investissement</v>
      </c>
      <c r="AA379" t="str">
        <f t="shared" si="28"/>
        <v>travaux magasin</v>
      </c>
    </row>
    <row r="380" spans="20:27" x14ac:dyDescent="0.25">
      <c r="T380" s="155">
        <f t="shared" si="25"/>
        <v>55278</v>
      </c>
      <c r="U380" s="164">
        <f t="shared" si="26"/>
        <v>864.41</v>
      </c>
      <c r="V380" s="159">
        <f t="shared" si="29"/>
        <v>-1545.04</v>
      </c>
      <c r="W380" s="156">
        <f>D_Emprunts!$U380-D_Emprunts!$V380</f>
        <v>2409.4499999999998</v>
      </c>
      <c r="X380" s="157">
        <f>X379-D_Emprunts!$W380</f>
        <v>-526142.6399999999</v>
      </c>
      <c r="Y380">
        <v>373</v>
      </c>
      <c r="Z380" t="str">
        <f t="shared" si="27"/>
        <v>Investissement</v>
      </c>
      <c r="AA380" t="str">
        <f t="shared" si="28"/>
        <v>travaux magasin</v>
      </c>
    </row>
    <row r="381" spans="20:27" x14ac:dyDescent="0.25">
      <c r="T381" s="158">
        <f t="shared" si="25"/>
        <v>55309</v>
      </c>
      <c r="U381" s="164">
        <f t="shared" si="26"/>
        <v>864.41</v>
      </c>
      <c r="V381" s="159">
        <f t="shared" si="29"/>
        <v>-1552.15</v>
      </c>
      <c r="W381" s="159">
        <f>D_Emprunts!$U381-D_Emprunts!$V381</f>
        <v>2416.56</v>
      </c>
      <c r="X381" s="160">
        <f>X380-D_Emprunts!$W381</f>
        <v>-528559.19999999995</v>
      </c>
      <c r="Y381">
        <v>374</v>
      </c>
      <c r="Z381" t="str">
        <f t="shared" si="27"/>
        <v>Investissement</v>
      </c>
      <c r="AA381" t="str">
        <f t="shared" si="28"/>
        <v>travaux magasin</v>
      </c>
    </row>
    <row r="382" spans="20:27" x14ac:dyDescent="0.25">
      <c r="T382" s="155">
        <f t="shared" si="25"/>
        <v>55339</v>
      </c>
      <c r="U382" s="164">
        <f t="shared" si="26"/>
        <v>864.41</v>
      </c>
      <c r="V382" s="159">
        <f t="shared" si="29"/>
        <v>-1559.28</v>
      </c>
      <c r="W382" s="156">
        <f>D_Emprunts!$U382-D_Emprunts!$V382</f>
        <v>2423.69</v>
      </c>
      <c r="X382" s="157">
        <f>X381-D_Emprunts!$W382</f>
        <v>-530982.8899999999</v>
      </c>
      <c r="Y382">
        <v>375</v>
      </c>
      <c r="Z382" t="str">
        <f t="shared" si="27"/>
        <v>Investissement</v>
      </c>
      <c r="AA382" t="str">
        <f t="shared" si="28"/>
        <v>travaux magasin</v>
      </c>
    </row>
    <row r="383" spans="20:27" x14ac:dyDescent="0.25">
      <c r="T383" s="158">
        <f t="shared" si="25"/>
        <v>55370</v>
      </c>
      <c r="U383" s="164">
        <f t="shared" si="26"/>
        <v>864.41</v>
      </c>
      <c r="V383" s="159">
        <f t="shared" si="29"/>
        <v>-1566.43</v>
      </c>
      <c r="W383" s="159">
        <f>D_Emprunts!$U383-D_Emprunts!$V383</f>
        <v>2430.84</v>
      </c>
      <c r="X383" s="160">
        <f>X382-D_Emprunts!$W383</f>
        <v>-533413.72999999986</v>
      </c>
      <c r="Y383">
        <v>376</v>
      </c>
      <c r="Z383" t="str">
        <f t="shared" si="27"/>
        <v>Investissement</v>
      </c>
      <c r="AA383" t="str">
        <f t="shared" si="28"/>
        <v>travaux magasin</v>
      </c>
    </row>
    <row r="384" spans="20:27" x14ac:dyDescent="0.25">
      <c r="T384" s="155">
        <f t="shared" si="25"/>
        <v>55401</v>
      </c>
      <c r="U384" s="164">
        <f t="shared" si="26"/>
        <v>864.41</v>
      </c>
      <c r="V384" s="159">
        <f t="shared" si="29"/>
        <v>-1573.6</v>
      </c>
      <c r="W384" s="156">
        <f>D_Emprunts!$U384-D_Emprunts!$V384</f>
        <v>2438.0099999999998</v>
      </c>
      <c r="X384" s="157">
        <f>X383-D_Emprunts!$W384</f>
        <v>-535851.73999999987</v>
      </c>
      <c r="Y384">
        <v>377</v>
      </c>
      <c r="Z384" t="str">
        <f t="shared" si="27"/>
        <v>Investissement</v>
      </c>
      <c r="AA384" t="str">
        <f t="shared" si="28"/>
        <v>travaux magasin</v>
      </c>
    </row>
    <row r="385" spans="20:27" x14ac:dyDescent="0.25">
      <c r="T385" s="158">
        <f t="shared" si="25"/>
        <v>55431</v>
      </c>
      <c r="U385" s="164">
        <f t="shared" si="26"/>
        <v>864.41</v>
      </c>
      <c r="V385" s="159">
        <f t="shared" si="29"/>
        <v>-1580.79</v>
      </c>
      <c r="W385" s="159">
        <f>D_Emprunts!$U385-D_Emprunts!$V385</f>
        <v>2445.1999999999998</v>
      </c>
      <c r="X385" s="160">
        <f>X384-D_Emprunts!$W385</f>
        <v>-538296.93999999983</v>
      </c>
      <c r="Y385">
        <v>378</v>
      </c>
      <c r="Z385" t="str">
        <f t="shared" si="27"/>
        <v>Investissement</v>
      </c>
      <c r="AA385" t="str">
        <f t="shared" si="28"/>
        <v>travaux magasin</v>
      </c>
    </row>
    <row r="386" spans="20:27" x14ac:dyDescent="0.25">
      <c r="T386" s="155">
        <f t="shared" si="25"/>
        <v>55462</v>
      </c>
      <c r="U386" s="164">
        <f t="shared" si="26"/>
        <v>864.41</v>
      </c>
      <c r="V386" s="159">
        <f t="shared" si="29"/>
        <v>-1588</v>
      </c>
      <c r="W386" s="156">
        <f>D_Emprunts!$U386-D_Emprunts!$V386</f>
        <v>2452.41</v>
      </c>
      <c r="X386" s="157">
        <f>X385-D_Emprunts!$W386</f>
        <v>-540749.34999999986</v>
      </c>
      <c r="Y386">
        <v>379</v>
      </c>
      <c r="Z386" t="str">
        <f t="shared" si="27"/>
        <v>Investissement</v>
      </c>
      <c r="AA386" t="str">
        <f t="shared" si="28"/>
        <v>travaux magasin</v>
      </c>
    </row>
    <row r="387" spans="20:27" x14ac:dyDescent="0.25">
      <c r="T387" s="158">
        <f t="shared" si="25"/>
        <v>55492</v>
      </c>
      <c r="U387" s="164">
        <f t="shared" si="26"/>
        <v>864.41</v>
      </c>
      <c r="V387" s="159">
        <f t="shared" si="29"/>
        <v>-1595.24</v>
      </c>
      <c r="W387" s="159">
        <f>D_Emprunts!$U387-D_Emprunts!$V387</f>
        <v>2459.65</v>
      </c>
      <c r="X387" s="160">
        <f>X386-D_Emprunts!$W387</f>
        <v>-543208.99999999988</v>
      </c>
      <c r="Y387">
        <v>380</v>
      </c>
      <c r="Z387" t="str">
        <f t="shared" si="27"/>
        <v>Investissement</v>
      </c>
      <c r="AA387" t="str">
        <f t="shared" si="28"/>
        <v>travaux magasin</v>
      </c>
    </row>
    <row r="388" spans="20:27" x14ac:dyDescent="0.25">
      <c r="T388" s="155">
        <f t="shared" si="25"/>
        <v>55523</v>
      </c>
      <c r="U388" s="164">
        <f t="shared" si="26"/>
        <v>864.41</v>
      </c>
      <c r="V388" s="159">
        <f t="shared" si="29"/>
        <v>-1602.49</v>
      </c>
      <c r="W388" s="156">
        <f>D_Emprunts!$U388-D_Emprunts!$V388</f>
        <v>2466.9</v>
      </c>
      <c r="X388" s="157">
        <f>X387-D_Emprunts!$W388</f>
        <v>-545675.89999999991</v>
      </c>
      <c r="Y388">
        <v>381</v>
      </c>
      <c r="Z388" t="str">
        <f t="shared" si="27"/>
        <v>Investissement</v>
      </c>
      <c r="AA388" t="str">
        <f t="shared" si="28"/>
        <v>travaux magasin</v>
      </c>
    </row>
    <row r="389" spans="20:27" x14ac:dyDescent="0.25">
      <c r="T389" s="158">
        <f t="shared" si="25"/>
        <v>55554</v>
      </c>
      <c r="U389" s="164">
        <f t="shared" si="26"/>
        <v>864.41</v>
      </c>
      <c r="V389" s="159">
        <f t="shared" si="29"/>
        <v>-1609.77</v>
      </c>
      <c r="W389" s="159">
        <f>D_Emprunts!$U389-D_Emprunts!$V389</f>
        <v>2474.1799999999998</v>
      </c>
      <c r="X389" s="160">
        <f>X388-D_Emprunts!$W389</f>
        <v>-548150.07999999996</v>
      </c>
      <c r="Y389">
        <v>382</v>
      </c>
      <c r="Z389" t="str">
        <f t="shared" si="27"/>
        <v>Investissement</v>
      </c>
      <c r="AA389" t="str">
        <f t="shared" si="28"/>
        <v>travaux magasin</v>
      </c>
    </row>
    <row r="390" spans="20:27" x14ac:dyDescent="0.25">
      <c r="T390" s="155">
        <f t="shared" si="25"/>
        <v>55583</v>
      </c>
      <c r="U390" s="164">
        <f t="shared" si="26"/>
        <v>864.41</v>
      </c>
      <c r="V390" s="159">
        <f t="shared" si="29"/>
        <v>-1617.07</v>
      </c>
      <c r="W390" s="156">
        <f>D_Emprunts!$U390-D_Emprunts!$V390</f>
        <v>2481.48</v>
      </c>
      <c r="X390" s="157">
        <f>X389-D_Emprunts!$W390</f>
        <v>-550631.55999999994</v>
      </c>
      <c r="Y390">
        <v>383</v>
      </c>
      <c r="Z390" t="str">
        <f t="shared" si="27"/>
        <v>Investissement</v>
      </c>
      <c r="AA390" t="str">
        <f t="shared" si="28"/>
        <v>travaux magasin</v>
      </c>
    </row>
    <row r="391" spans="20:27" x14ac:dyDescent="0.25">
      <c r="T391" s="158">
        <f t="shared" si="25"/>
        <v>55614</v>
      </c>
      <c r="U391" s="164">
        <f t="shared" si="26"/>
        <v>864.41</v>
      </c>
      <c r="V391" s="159">
        <f t="shared" si="29"/>
        <v>-1624.39</v>
      </c>
      <c r="W391" s="159">
        <f>D_Emprunts!$U391-D_Emprunts!$V391</f>
        <v>2488.8000000000002</v>
      </c>
      <c r="X391" s="160">
        <f>X390-D_Emprunts!$W391</f>
        <v>-553120.36</v>
      </c>
      <c r="Y391">
        <v>384</v>
      </c>
      <c r="Z391" t="str">
        <f t="shared" si="27"/>
        <v>Investissement</v>
      </c>
      <c r="AA391" t="str">
        <f t="shared" si="28"/>
        <v>travaux magasin</v>
      </c>
    </row>
    <row r="392" spans="20:27" x14ac:dyDescent="0.25">
      <c r="T392" s="155">
        <f t="shared" ref="T392:T455" si="30">EDATE(T391,1)</f>
        <v>55644</v>
      </c>
      <c r="U392" s="164">
        <f t="shared" si="26"/>
        <v>864.41</v>
      </c>
      <c r="V392" s="159">
        <f t="shared" si="29"/>
        <v>-1631.73</v>
      </c>
      <c r="W392" s="156">
        <f>D_Emprunts!$U392-D_Emprunts!$V392</f>
        <v>2496.14</v>
      </c>
      <c r="X392" s="157">
        <f>X391-D_Emprunts!$W392</f>
        <v>-555616.5</v>
      </c>
      <c r="Y392">
        <v>385</v>
      </c>
      <c r="Z392" t="str">
        <f t="shared" si="27"/>
        <v>Investissement</v>
      </c>
      <c r="AA392" t="str">
        <f t="shared" si="28"/>
        <v>travaux magasin</v>
      </c>
    </row>
    <row r="393" spans="20:27" x14ac:dyDescent="0.25">
      <c r="T393" s="158">
        <f t="shared" si="30"/>
        <v>55675</v>
      </c>
      <c r="U393" s="164">
        <f t="shared" ref="U393:U456" si="31">$X$4</f>
        <v>864.41</v>
      </c>
      <c r="V393" s="159">
        <f t="shared" si="29"/>
        <v>-1639.1</v>
      </c>
      <c r="W393" s="159">
        <f>D_Emprunts!$U393-D_Emprunts!$V393</f>
        <v>2503.5099999999998</v>
      </c>
      <c r="X393" s="160">
        <f>X392-D_Emprunts!$W393</f>
        <v>-558120.01</v>
      </c>
      <c r="Y393">
        <v>386</v>
      </c>
      <c r="Z393" t="str">
        <f t="shared" ref="Z393:Z456" si="32">$Y$4</f>
        <v>Investissement</v>
      </c>
      <c r="AA393" t="str">
        <f t="shared" ref="AA393:AA456" si="33">$Z$4</f>
        <v>travaux magasin</v>
      </c>
    </row>
    <row r="394" spans="20:27" x14ac:dyDescent="0.25">
      <c r="T394" s="155">
        <f t="shared" si="30"/>
        <v>55705</v>
      </c>
      <c r="U394" s="164">
        <f t="shared" si="31"/>
        <v>864.41</v>
      </c>
      <c r="V394" s="159">
        <f t="shared" ref="V394:V457" si="34">ROUND(X393*$V$4/12,2)</f>
        <v>-1646.48</v>
      </c>
      <c r="W394" s="156">
        <f>D_Emprunts!$U394-D_Emprunts!$V394</f>
        <v>2510.89</v>
      </c>
      <c r="X394" s="157">
        <f>X393-D_Emprunts!$W394</f>
        <v>-560630.9</v>
      </c>
      <c r="Y394">
        <v>387</v>
      </c>
      <c r="Z394" t="str">
        <f t="shared" si="32"/>
        <v>Investissement</v>
      </c>
      <c r="AA394" t="str">
        <f t="shared" si="33"/>
        <v>travaux magasin</v>
      </c>
    </row>
    <row r="395" spans="20:27" x14ac:dyDescent="0.25">
      <c r="T395" s="158">
        <f t="shared" si="30"/>
        <v>55736</v>
      </c>
      <c r="U395" s="164">
        <f t="shared" si="31"/>
        <v>864.41</v>
      </c>
      <c r="V395" s="159">
        <f t="shared" si="34"/>
        <v>-1653.89</v>
      </c>
      <c r="W395" s="159">
        <f>D_Emprunts!$U395-D_Emprunts!$V395</f>
        <v>2518.3000000000002</v>
      </c>
      <c r="X395" s="160">
        <f>X394-D_Emprunts!$W395</f>
        <v>-563149.20000000007</v>
      </c>
      <c r="Y395">
        <v>388</v>
      </c>
      <c r="Z395" t="str">
        <f t="shared" si="32"/>
        <v>Investissement</v>
      </c>
      <c r="AA395" t="str">
        <f t="shared" si="33"/>
        <v>travaux magasin</v>
      </c>
    </row>
    <row r="396" spans="20:27" x14ac:dyDescent="0.25">
      <c r="T396" s="155">
        <f t="shared" si="30"/>
        <v>55767</v>
      </c>
      <c r="U396" s="164">
        <f t="shared" si="31"/>
        <v>864.41</v>
      </c>
      <c r="V396" s="159">
        <f t="shared" si="34"/>
        <v>-1661.32</v>
      </c>
      <c r="W396" s="156">
        <f>D_Emprunts!$U396-D_Emprunts!$V396</f>
        <v>2525.73</v>
      </c>
      <c r="X396" s="157">
        <f>X395-D_Emprunts!$W396</f>
        <v>-565674.93000000005</v>
      </c>
      <c r="Y396">
        <v>389</v>
      </c>
      <c r="Z396" t="str">
        <f t="shared" si="32"/>
        <v>Investissement</v>
      </c>
      <c r="AA396" t="str">
        <f t="shared" si="33"/>
        <v>travaux magasin</v>
      </c>
    </row>
    <row r="397" spans="20:27" x14ac:dyDescent="0.25">
      <c r="T397" s="158">
        <f t="shared" si="30"/>
        <v>55797</v>
      </c>
      <c r="U397" s="164">
        <f t="shared" si="31"/>
        <v>864.41</v>
      </c>
      <c r="V397" s="159">
        <f t="shared" si="34"/>
        <v>-1668.77</v>
      </c>
      <c r="W397" s="159">
        <f>D_Emprunts!$U397-D_Emprunts!$V397</f>
        <v>2533.1799999999998</v>
      </c>
      <c r="X397" s="160">
        <f>X396-D_Emprunts!$W397</f>
        <v>-568208.1100000001</v>
      </c>
      <c r="Y397">
        <v>390</v>
      </c>
      <c r="Z397" t="str">
        <f t="shared" si="32"/>
        <v>Investissement</v>
      </c>
      <c r="AA397" t="str">
        <f t="shared" si="33"/>
        <v>travaux magasin</v>
      </c>
    </row>
    <row r="398" spans="20:27" x14ac:dyDescent="0.25">
      <c r="T398" s="155">
        <f t="shared" si="30"/>
        <v>55828</v>
      </c>
      <c r="U398" s="164">
        <f t="shared" si="31"/>
        <v>864.41</v>
      </c>
      <c r="V398" s="159">
        <f t="shared" si="34"/>
        <v>-1676.24</v>
      </c>
      <c r="W398" s="156">
        <f>D_Emprunts!$U398-D_Emprunts!$V398</f>
        <v>2540.65</v>
      </c>
      <c r="X398" s="157">
        <f>X397-D_Emprunts!$W398</f>
        <v>-570748.76000000013</v>
      </c>
      <c r="Y398">
        <v>391</v>
      </c>
      <c r="Z398" t="str">
        <f t="shared" si="32"/>
        <v>Investissement</v>
      </c>
      <c r="AA398" t="str">
        <f t="shared" si="33"/>
        <v>travaux magasin</v>
      </c>
    </row>
    <row r="399" spans="20:27" x14ac:dyDescent="0.25">
      <c r="T399" s="158">
        <f t="shared" si="30"/>
        <v>55858</v>
      </c>
      <c r="U399" s="164">
        <f t="shared" si="31"/>
        <v>864.41</v>
      </c>
      <c r="V399" s="159">
        <f t="shared" si="34"/>
        <v>-1683.74</v>
      </c>
      <c r="W399" s="159">
        <f>D_Emprunts!$U399-D_Emprunts!$V399</f>
        <v>2548.15</v>
      </c>
      <c r="X399" s="160">
        <f>X398-D_Emprunts!$W399</f>
        <v>-573296.91000000015</v>
      </c>
      <c r="Y399">
        <v>392</v>
      </c>
      <c r="Z399" t="str">
        <f t="shared" si="32"/>
        <v>Investissement</v>
      </c>
      <c r="AA399" t="str">
        <f t="shared" si="33"/>
        <v>travaux magasin</v>
      </c>
    </row>
    <row r="400" spans="20:27" x14ac:dyDescent="0.25">
      <c r="T400" s="155">
        <f t="shared" si="30"/>
        <v>55889</v>
      </c>
      <c r="U400" s="164">
        <f t="shared" si="31"/>
        <v>864.41</v>
      </c>
      <c r="V400" s="159">
        <f t="shared" si="34"/>
        <v>-1691.26</v>
      </c>
      <c r="W400" s="156">
        <f>D_Emprunts!$U400-D_Emprunts!$V400</f>
        <v>2555.67</v>
      </c>
      <c r="X400" s="157">
        <f>X399-D_Emprunts!$W400</f>
        <v>-575852.58000000019</v>
      </c>
      <c r="Y400">
        <v>393</v>
      </c>
      <c r="Z400" t="str">
        <f t="shared" si="32"/>
        <v>Investissement</v>
      </c>
      <c r="AA400" t="str">
        <f t="shared" si="33"/>
        <v>travaux magasin</v>
      </c>
    </row>
    <row r="401" spans="20:27" x14ac:dyDescent="0.25">
      <c r="T401" s="158">
        <f t="shared" si="30"/>
        <v>55920</v>
      </c>
      <c r="U401" s="164">
        <f t="shared" si="31"/>
        <v>864.41</v>
      </c>
      <c r="V401" s="159">
        <f t="shared" si="34"/>
        <v>-1698.79</v>
      </c>
      <c r="W401" s="159">
        <f>D_Emprunts!$U401-D_Emprunts!$V401</f>
        <v>2563.1999999999998</v>
      </c>
      <c r="X401" s="160">
        <f>X400-D_Emprunts!$W401</f>
        <v>-578415.78000000014</v>
      </c>
      <c r="Y401">
        <v>394</v>
      </c>
      <c r="Z401" t="str">
        <f t="shared" si="32"/>
        <v>Investissement</v>
      </c>
      <c r="AA401" t="str">
        <f t="shared" si="33"/>
        <v>travaux magasin</v>
      </c>
    </row>
    <row r="402" spans="20:27" x14ac:dyDescent="0.25">
      <c r="T402" s="155">
        <f t="shared" si="30"/>
        <v>55948</v>
      </c>
      <c r="U402" s="164">
        <f t="shared" si="31"/>
        <v>864.41</v>
      </c>
      <c r="V402" s="159">
        <f t="shared" si="34"/>
        <v>-1706.36</v>
      </c>
      <c r="W402" s="156">
        <f>D_Emprunts!$U402-D_Emprunts!$V402</f>
        <v>2570.77</v>
      </c>
      <c r="X402" s="157">
        <f>X401-D_Emprunts!$W402</f>
        <v>-580986.55000000016</v>
      </c>
      <c r="Y402">
        <v>395</v>
      </c>
      <c r="Z402" t="str">
        <f t="shared" si="32"/>
        <v>Investissement</v>
      </c>
      <c r="AA402" t="str">
        <f t="shared" si="33"/>
        <v>travaux magasin</v>
      </c>
    </row>
    <row r="403" spans="20:27" x14ac:dyDescent="0.25">
      <c r="T403" s="158">
        <f t="shared" si="30"/>
        <v>55979</v>
      </c>
      <c r="U403" s="164">
        <f t="shared" si="31"/>
        <v>864.41</v>
      </c>
      <c r="V403" s="159">
        <f t="shared" si="34"/>
        <v>-1713.94</v>
      </c>
      <c r="W403" s="159">
        <f>D_Emprunts!$U403-D_Emprunts!$V403</f>
        <v>2578.35</v>
      </c>
      <c r="X403" s="160">
        <f>X402-D_Emprunts!$W403</f>
        <v>-583564.90000000014</v>
      </c>
      <c r="Y403">
        <v>396</v>
      </c>
      <c r="Z403" t="str">
        <f t="shared" si="32"/>
        <v>Investissement</v>
      </c>
      <c r="AA403" t="str">
        <f t="shared" si="33"/>
        <v>travaux magasin</v>
      </c>
    </row>
    <row r="404" spans="20:27" x14ac:dyDescent="0.25">
      <c r="T404" s="155">
        <f t="shared" si="30"/>
        <v>56009</v>
      </c>
      <c r="U404" s="164">
        <f t="shared" si="31"/>
        <v>864.41</v>
      </c>
      <c r="V404" s="159">
        <f t="shared" si="34"/>
        <v>-1721.55</v>
      </c>
      <c r="W404" s="156">
        <f>D_Emprunts!$U404-D_Emprunts!$V404</f>
        <v>2585.96</v>
      </c>
      <c r="X404" s="157">
        <f>X403-D_Emprunts!$W404</f>
        <v>-586150.8600000001</v>
      </c>
      <c r="Y404">
        <v>397</v>
      </c>
      <c r="Z404" t="str">
        <f t="shared" si="32"/>
        <v>Investissement</v>
      </c>
      <c r="AA404" t="str">
        <f t="shared" si="33"/>
        <v>travaux magasin</v>
      </c>
    </row>
    <row r="405" spans="20:27" x14ac:dyDescent="0.25">
      <c r="T405" s="158">
        <f t="shared" si="30"/>
        <v>56040</v>
      </c>
      <c r="U405" s="164">
        <f t="shared" si="31"/>
        <v>864.41</v>
      </c>
      <c r="V405" s="159">
        <f t="shared" si="34"/>
        <v>-1729.18</v>
      </c>
      <c r="W405" s="159">
        <f>D_Emprunts!$U405-D_Emprunts!$V405</f>
        <v>2593.59</v>
      </c>
      <c r="X405" s="160">
        <f>X404-D_Emprunts!$W405</f>
        <v>-588744.45000000007</v>
      </c>
      <c r="Y405">
        <v>398</v>
      </c>
      <c r="Z405" t="str">
        <f t="shared" si="32"/>
        <v>Investissement</v>
      </c>
      <c r="AA405" t="str">
        <f t="shared" si="33"/>
        <v>travaux magasin</v>
      </c>
    </row>
    <row r="406" spans="20:27" x14ac:dyDescent="0.25">
      <c r="T406" s="155">
        <f t="shared" si="30"/>
        <v>56070</v>
      </c>
      <c r="U406" s="164">
        <f t="shared" si="31"/>
        <v>864.41</v>
      </c>
      <c r="V406" s="159">
        <f t="shared" si="34"/>
        <v>-1736.83</v>
      </c>
      <c r="W406" s="156">
        <f>D_Emprunts!$U406-D_Emprunts!$V406</f>
        <v>2601.2399999999998</v>
      </c>
      <c r="X406" s="157">
        <f>X405-D_Emprunts!$W406</f>
        <v>-591345.69000000006</v>
      </c>
      <c r="Y406">
        <v>399</v>
      </c>
      <c r="Z406" t="str">
        <f t="shared" si="32"/>
        <v>Investissement</v>
      </c>
      <c r="AA406" t="str">
        <f t="shared" si="33"/>
        <v>travaux magasin</v>
      </c>
    </row>
    <row r="407" spans="20:27" x14ac:dyDescent="0.25">
      <c r="T407" s="158">
        <f t="shared" si="30"/>
        <v>56101</v>
      </c>
      <c r="U407" s="164">
        <f t="shared" si="31"/>
        <v>864.41</v>
      </c>
      <c r="V407" s="159">
        <f t="shared" si="34"/>
        <v>-1744.5</v>
      </c>
      <c r="W407" s="159">
        <f>D_Emprunts!$U407-D_Emprunts!$V407</f>
        <v>2608.91</v>
      </c>
      <c r="X407" s="160">
        <f>X406-D_Emprunts!$W407</f>
        <v>-593954.60000000009</v>
      </c>
      <c r="Y407">
        <v>400</v>
      </c>
      <c r="Z407" t="str">
        <f t="shared" si="32"/>
        <v>Investissement</v>
      </c>
      <c r="AA407" t="str">
        <f t="shared" si="33"/>
        <v>travaux magasin</v>
      </c>
    </row>
    <row r="408" spans="20:27" x14ac:dyDescent="0.25">
      <c r="T408" s="155">
        <f t="shared" si="30"/>
        <v>56132</v>
      </c>
      <c r="U408" s="164">
        <f t="shared" si="31"/>
        <v>864.41</v>
      </c>
      <c r="V408" s="159">
        <f t="shared" si="34"/>
        <v>-1752.2</v>
      </c>
      <c r="W408" s="156">
        <f>D_Emprunts!$U408-D_Emprunts!$V408</f>
        <v>2616.61</v>
      </c>
      <c r="X408" s="157">
        <f>X407-D_Emprunts!$W408</f>
        <v>-596571.21000000008</v>
      </c>
      <c r="Y408">
        <v>401</v>
      </c>
      <c r="Z408" t="str">
        <f t="shared" si="32"/>
        <v>Investissement</v>
      </c>
      <c r="AA408" t="str">
        <f t="shared" si="33"/>
        <v>travaux magasin</v>
      </c>
    </row>
    <row r="409" spans="20:27" x14ac:dyDescent="0.25">
      <c r="T409" s="158">
        <f t="shared" si="30"/>
        <v>56162</v>
      </c>
      <c r="U409" s="164">
        <f t="shared" si="31"/>
        <v>864.41</v>
      </c>
      <c r="V409" s="159">
        <f t="shared" si="34"/>
        <v>-1759.92</v>
      </c>
      <c r="W409" s="159">
        <f>D_Emprunts!$U409-D_Emprunts!$V409</f>
        <v>2624.33</v>
      </c>
      <c r="X409" s="160">
        <f>X408-D_Emprunts!$W409</f>
        <v>-599195.54</v>
      </c>
      <c r="Y409">
        <v>402</v>
      </c>
      <c r="Z409" t="str">
        <f t="shared" si="32"/>
        <v>Investissement</v>
      </c>
      <c r="AA409" t="str">
        <f t="shared" si="33"/>
        <v>travaux magasin</v>
      </c>
    </row>
    <row r="410" spans="20:27" x14ac:dyDescent="0.25">
      <c r="T410" s="155">
        <f t="shared" si="30"/>
        <v>56193</v>
      </c>
      <c r="U410" s="164">
        <f t="shared" si="31"/>
        <v>864.41</v>
      </c>
      <c r="V410" s="159">
        <f t="shared" si="34"/>
        <v>-1767.66</v>
      </c>
      <c r="W410" s="156">
        <f>D_Emprunts!$U410-D_Emprunts!$V410</f>
        <v>2632.07</v>
      </c>
      <c r="X410" s="157">
        <f>X409-D_Emprunts!$W410</f>
        <v>-601827.61</v>
      </c>
      <c r="Y410">
        <v>403</v>
      </c>
      <c r="Z410" t="str">
        <f t="shared" si="32"/>
        <v>Investissement</v>
      </c>
      <c r="AA410" t="str">
        <f t="shared" si="33"/>
        <v>travaux magasin</v>
      </c>
    </row>
    <row r="411" spans="20:27" x14ac:dyDescent="0.25">
      <c r="T411" s="158">
        <f t="shared" si="30"/>
        <v>56223</v>
      </c>
      <c r="U411" s="164">
        <f t="shared" si="31"/>
        <v>864.41</v>
      </c>
      <c r="V411" s="159">
        <f t="shared" si="34"/>
        <v>-1775.42</v>
      </c>
      <c r="W411" s="159">
        <f>D_Emprunts!$U411-D_Emprunts!$V411</f>
        <v>2639.83</v>
      </c>
      <c r="X411" s="160">
        <f>X410-D_Emprunts!$W411</f>
        <v>-604467.43999999994</v>
      </c>
      <c r="Y411">
        <v>404</v>
      </c>
      <c r="Z411" t="str">
        <f t="shared" si="32"/>
        <v>Investissement</v>
      </c>
      <c r="AA411" t="str">
        <f t="shared" si="33"/>
        <v>travaux magasin</v>
      </c>
    </row>
    <row r="412" spans="20:27" x14ac:dyDescent="0.25">
      <c r="T412" s="155">
        <f t="shared" si="30"/>
        <v>56254</v>
      </c>
      <c r="U412" s="164">
        <f t="shared" si="31"/>
        <v>864.41</v>
      </c>
      <c r="V412" s="159">
        <f t="shared" si="34"/>
        <v>-1783.21</v>
      </c>
      <c r="W412" s="156">
        <f>D_Emprunts!$U412-D_Emprunts!$V412</f>
        <v>2647.62</v>
      </c>
      <c r="X412" s="157">
        <f>X411-D_Emprunts!$W412</f>
        <v>-607115.05999999994</v>
      </c>
      <c r="Y412">
        <v>405</v>
      </c>
      <c r="Z412" t="str">
        <f t="shared" si="32"/>
        <v>Investissement</v>
      </c>
      <c r="AA412" t="str">
        <f t="shared" si="33"/>
        <v>travaux magasin</v>
      </c>
    </row>
    <row r="413" spans="20:27" x14ac:dyDescent="0.25">
      <c r="T413" s="158">
        <f t="shared" si="30"/>
        <v>56285</v>
      </c>
      <c r="U413" s="164">
        <f t="shared" si="31"/>
        <v>864.41</v>
      </c>
      <c r="V413" s="159">
        <f t="shared" si="34"/>
        <v>-1791.02</v>
      </c>
      <c r="W413" s="159">
        <f>D_Emprunts!$U413-D_Emprunts!$V413</f>
        <v>2655.43</v>
      </c>
      <c r="X413" s="160">
        <f>X412-D_Emprunts!$W413</f>
        <v>-609770.49</v>
      </c>
      <c r="Y413">
        <v>406</v>
      </c>
      <c r="Z413" t="str">
        <f t="shared" si="32"/>
        <v>Investissement</v>
      </c>
      <c r="AA413" t="str">
        <f t="shared" si="33"/>
        <v>travaux magasin</v>
      </c>
    </row>
    <row r="414" spans="20:27" x14ac:dyDescent="0.25">
      <c r="T414" s="155">
        <f t="shared" si="30"/>
        <v>56313</v>
      </c>
      <c r="U414" s="164">
        <f t="shared" si="31"/>
        <v>864.41</v>
      </c>
      <c r="V414" s="159">
        <f t="shared" si="34"/>
        <v>-1798.85</v>
      </c>
      <c r="W414" s="156">
        <f>D_Emprunts!$U414-D_Emprunts!$V414</f>
        <v>2663.2599999999998</v>
      </c>
      <c r="X414" s="157">
        <f>X413-D_Emprunts!$W414</f>
        <v>-612433.75</v>
      </c>
      <c r="Y414">
        <v>407</v>
      </c>
      <c r="Z414" t="str">
        <f t="shared" si="32"/>
        <v>Investissement</v>
      </c>
      <c r="AA414" t="str">
        <f t="shared" si="33"/>
        <v>travaux magasin</v>
      </c>
    </row>
    <row r="415" spans="20:27" x14ac:dyDescent="0.25">
      <c r="T415" s="158">
        <f t="shared" si="30"/>
        <v>56344</v>
      </c>
      <c r="U415" s="164">
        <f t="shared" si="31"/>
        <v>864.41</v>
      </c>
      <c r="V415" s="159">
        <f t="shared" si="34"/>
        <v>-1806.71</v>
      </c>
      <c r="W415" s="159">
        <f>D_Emprunts!$U415-D_Emprunts!$V415</f>
        <v>2671.12</v>
      </c>
      <c r="X415" s="160">
        <f>X414-D_Emprunts!$W415</f>
        <v>-615104.87</v>
      </c>
      <c r="Y415">
        <v>408</v>
      </c>
      <c r="Z415" t="str">
        <f t="shared" si="32"/>
        <v>Investissement</v>
      </c>
      <c r="AA415" t="str">
        <f t="shared" si="33"/>
        <v>travaux magasin</v>
      </c>
    </row>
    <row r="416" spans="20:27" x14ac:dyDescent="0.25">
      <c r="T416" s="155">
        <f t="shared" si="30"/>
        <v>56374</v>
      </c>
      <c r="U416" s="164">
        <f t="shared" si="31"/>
        <v>864.41</v>
      </c>
      <c r="V416" s="159">
        <f t="shared" si="34"/>
        <v>-1814.59</v>
      </c>
      <c r="W416" s="156">
        <f>D_Emprunts!$U416-D_Emprunts!$V416</f>
        <v>2679</v>
      </c>
      <c r="X416" s="157">
        <f>X415-D_Emprunts!$W416</f>
        <v>-617783.87</v>
      </c>
      <c r="Y416">
        <v>409</v>
      </c>
      <c r="Z416" t="str">
        <f t="shared" si="32"/>
        <v>Investissement</v>
      </c>
      <c r="AA416" t="str">
        <f t="shared" si="33"/>
        <v>travaux magasin</v>
      </c>
    </row>
    <row r="417" spans="20:27" x14ac:dyDescent="0.25">
      <c r="T417" s="158">
        <f t="shared" si="30"/>
        <v>56405</v>
      </c>
      <c r="U417" s="164">
        <f t="shared" si="31"/>
        <v>864.41</v>
      </c>
      <c r="V417" s="159">
        <f t="shared" si="34"/>
        <v>-1822.49</v>
      </c>
      <c r="W417" s="159">
        <f>D_Emprunts!$U417-D_Emprunts!$V417</f>
        <v>2686.9</v>
      </c>
      <c r="X417" s="160">
        <f>X416-D_Emprunts!$W417</f>
        <v>-620470.77</v>
      </c>
      <c r="Y417">
        <v>410</v>
      </c>
      <c r="Z417" t="str">
        <f t="shared" si="32"/>
        <v>Investissement</v>
      </c>
      <c r="AA417" t="str">
        <f t="shared" si="33"/>
        <v>travaux magasin</v>
      </c>
    </row>
    <row r="418" spans="20:27" x14ac:dyDescent="0.25">
      <c r="T418" s="155">
        <f t="shared" si="30"/>
        <v>56435</v>
      </c>
      <c r="U418" s="164">
        <f t="shared" si="31"/>
        <v>864.41</v>
      </c>
      <c r="V418" s="159">
        <f t="shared" si="34"/>
        <v>-1830.42</v>
      </c>
      <c r="W418" s="156">
        <f>D_Emprunts!$U418-D_Emprunts!$V418</f>
        <v>2694.83</v>
      </c>
      <c r="X418" s="157">
        <f>X417-D_Emprunts!$W418</f>
        <v>-623165.6</v>
      </c>
      <c r="Y418">
        <v>411</v>
      </c>
      <c r="Z418" t="str">
        <f t="shared" si="32"/>
        <v>Investissement</v>
      </c>
      <c r="AA418" t="str">
        <f t="shared" si="33"/>
        <v>travaux magasin</v>
      </c>
    </row>
    <row r="419" spans="20:27" x14ac:dyDescent="0.25">
      <c r="T419" s="158">
        <f t="shared" si="30"/>
        <v>56466</v>
      </c>
      <c r="U419" s="164">
        <f t="shared" si="31"/>
        <v>864.41</v>
      </c>
      <c r="V419" s="159">
        <f t="shared" si="34"/>
        <v>-1838.37</v>
      </c>
      <c r="W419" s="159">
        <f>D_Emprunts!$U419-D_Emprunts!$V419</f>
        <v>2702.7799999999997</v>
      </c>
      <c r="X419" s="160">
        <f>X418-D_Emprunts!$W419</f>
        <v>-625868.38</v>
      </c>
      <c r="Y419">
        <v>412</v>
      </c>
      <c r="Z419" t="str">
        <f t="shared" si="32"/>
        <v>Investissement</v>
      </c>
      <c r="AA419" t="str">
        <f t="shared" si="33"/>
        <v>travaux magasin</v>
      </c>
    </row>
    <row r="420" spans="20:27" x14ac:dyDescent="0.25">
      <c r="T420" s="155">
        <f t="shared" si="30"/>
        <v>56497</v>
      </c>
      <c r="U420" s="164">
        <f t="shared" si="31"/>
        <v>864.41</v>
      </c>
      <c r="V420" s="159">
        <f t="shared" si="34"/>
        <v>-1846.34</v>
      </c>
      <c r="W420" s="156">
        <f>D_Emprunts!$U420-D_Emprunts!$V420</f>
        <v>2710.75</v>
      </c>
      <c r="X420" s="157">
        <f>X419-D_Emprunts!$W420</f>
        <v>-628579.13</v>
      </c>
      <c r="Y420">
        <v>413</v>
      </c>
      <c r="Z420" t="str">
        <f t="shared" si="32"/>
        <v>Investissement</v>
      </c>
      <c r="AA420" t="str">
        <f t="shared" si="33"/>
        <v>travaux magasin</v>
      </c>
    </row>
    <row r="421" spans="20:27" x14ac:dyDescent="0.25">
      <c r="T421" s="158">
        <f t="shared" si="30"/>
        <v>56527</v>
      </c>
      <c r="U421" s="164">
        <f t="shared" si="31"/>
        <v>864.41</v>
      </c>
      <c r="V421" s="159">
        <f t="shared" si="34"/>
        <v>-1854.34</v>
      </c>
      <c r="W421" s="159">
        <f>D_Emprunts!$U421-D_Emprunts!$V421</f>
        <v>2718.75</v>
      </c>
      <c r="X421" s="160">
        <f>X420-D_Emprunts!$W421</f>
        <v>-631297.88</v>
      </c>
      <c r="Y421">
        <v>414</v>
      </c>
      <c r="Z421" t="str">
        <f t="shared" si="32"/>
        <v>Investissement</v>
      </c>
      <c r="AA421" t="str">
        <f t="shared" si="33"/>
        <v>travaux magasin</v>
      </c>
    </row>
    <row r="422" spans="20:27" x14ac:dyDescent="0.25">
      <c r="T422" s="155">
        <f t="shared" si="30"/>
        <v>56558</v>
      </c>
      <c r="U422" s="164">
        <f t="shared" si="31"/>
        <v>864.41</v>
      </c>
      <c r="V422" s="159">
        <f t="shared" si="34"/>
        <v>-1862.36</v>
      </c>
      <c r="W422" s="156">
        <f>D_Emprunts!$U422-D_Emprunts!$V422</f>
        <v>2726.77</v>
      </c>
      <c r="X422" s="157">
        <f>X421-D_Emprunts!$W422</f>
        <v>-634024.65</v>
      </c>
      <c r="Y422">
        <v>415</v>
      </c>
      <c r="Z422" t="str">
        <f t="shared" si="32"/>
        <v>Investissement</v>
      </c>
      <c r="AA422" t="str">
        <f t="shared" si="33"/>
        <v>travaux magasin</v>
      </c>
    </row>
    <row r="423" spans="20:27" x14ac:dyDescent="0.25">
      <c r="T423" s="158">
        <f t="shared" si="30"/>
        <v>56588</v>
      </c>
      <c r="U423" s="164">
        <f t="shared" si="31"/>
        <v>864.41</v>
      </c>
      <c r="V423" s="159">
        <f t="shared" si="34"/>
        <v>-1870.41</v>
      </c>
      <c r="W423" s="159">
        <f>D_Emprunts!$U423-D_Emprunts!$V423</f>
        <v>2734.82</v>
      </c>
      <c r="X423" s="160">
        <f>X422-D_Emprunts!$W423</f>
        <v>-636759.47</v>
      </c>
      <c r="Y423">
        <v>416</v>
      </c>
      <c r="Z423" t="str">
        <f t="shared" si="32"/>
        <v>Investissement</v>
      </c>
      <c r="AA423" t="str">
        <f t="shared" si="33"/>
        <v>travaux magasin</v>
      </c>
    </row>
    <row r="424" spans="20:27" x14ac:dyDescent="0.25">
      <c r="T424" s="155">
        <f t="shared" si="30"/>
        <v>56619</v>
      </c>
      <c r="U424" s="164">
        <f t="shared" si="31"/>
        <v>864.41</v>
      </c>
      <c r="V424" s="159">
        <f t="shared" si="34"/>
        <v>-1878.47</v>
      </c>
      <c r="W424" s="156">
        <f>D_Emprunts!$U424-D_Emprunts!$V424</f>
        <v>2742.88</v>
      </c>
      <c r="X424" s="157">
        <f>X423-D_Emprunts!$W424</f>
        <v>-639502.35</v>
      </c>
      <c r="Y424">
        <v>417</v>
      </c>
      <c r="Z424" t="str">
        <f t="shared" si="32"/>
        <v>Investissement</v>
      </c>
      <c r="AA424" t="str">
        <f t="shared" si="33"/>
        <v>travaux magasin</v>
      </c>
    </row>
    <row r="425" spans="20:27" x14ac:dyDescent="0.25">
      <c r="T425" s="158">
        <f t="shared" si="30"/>
        <v>56650</v>
      </c>
      <c r="U425" s="164">
        <f t="shared" si="31"/>
        <v>864.41</v>
      </c>
      <c r="V425" s="159">
        <f t="shared" si="34"/>
        <v>-1886.56</v>
      </c>
      <c r="W425" s="159">
        <f>D_Emprunts!$U425-D_Emprunts!$V425</f>
        <v>2750.97</v>
      </c>
      <c r="X425" s="160">
        <f>X424-D_Emprunts!$W425</f>
        <v>-642253.31999999995</v>
      </c>
      <c r="Y425">
        <v>418</v>
      </c>
      <c r="Z425" t="str">
        <f t="shared" si="32"/>
        <v>Investissement</v>
      </c>
      <c r="AA425" t="str">
        <f t="shared" si="33"/>
        <v>travaux magasin</v>
      </c>
    </row>
    <row r="426" spans="20:27" x14ac:dyDescent="0.25">
      <c r="T426" s="155">
        <f t="shared" si="30"/>
        <v>56678</v>
      </c>
      <c r="U426" s="164">
        <f t="shared" si="31"/>
        <v>864.41</v>
      </c>
      <c r="V426" s="159">
        <f t="shared" si="34"/>
        <v>-1894.68</v>
      </c>
      <c r="W426" s="156">
        <f>D_Emprunts!$U426-D_Emprunts!$V426</f>
        <v>2759.09</v>
      </c>
      <c r="X426" s="157">
        <f>X425-D_Emprunts!$W426</f>
        <v>-645012.40999999992</v>
      </c>
      <c r="Y426">
        <v>419</v>
      </c>
      <c r="Z426" t="str">
        <f t="shared" si="32"/>
        <v>Investissement</v>
      </c>
      <c r="AA426" t="str">
        <f t="shared" si="33"/>
        <v>travaux magasin</v>
      </c>
    </row>
    <row r="427" spans="20:27" x14ac:dyDescent="0.25">
      <c r="T427" s="158">
        <f t="shared" si="30"/>
        <v>56709</v>
      </c>
      <c r="U427" s="164">
        <f t="shared" si="31"/>
        <v>864.41</v>
      </c>
      <c r="V427" s="159">
        <f t="shared" si="34"/>
        <v>-1902.82</v>
      </c>
      <c r="W427" s="159">
        <f>D_Emprunts!$U427-D_Emprunts!$V427</f>
        <v>2767.23</v>
      </c>
      <c r="X427" s="160">
        <f>X426-D_Emprunts!$W427</f>
        <v>-647779.6399999999</v>
      </c>
      <c r="Y427">
        <v>420</v>
      </c>
      <c r="Z427" t="str">
        <f t="shared" si="32"/>
        <v>Investissement</v>
      </c>
      <c r="AA427" t="str">
        <f t="shared" si="33"/>
        <v>travaux magasin</v>
      </c>
    </row>
    <row r="428" spans="20:27" x14ac:dyDescent="0.25">
      <c r="T428" s="155">
        <f t="shared" si="30"/>
        <v>56739</v>
      </c>
      <c r="U428" s="164">
        <f t="shared" si="31"/>
        <v>864.41</v>
      </c>
      <c r="V428" s="159">
        <f t="shared" si="34"/>
        <v>-1910.98</v>
      </c>
      <c r="W428" s="156">
        <f>D_Emprunts!$U428-D_Emprunts!$V428</f>
        <v>2775.39</v>
      </c>
      <c r="X428" s="157">
        <f>X427-D_Emprunts!$W428</f>
        <v>-650555.02999999991</v>
      </c>
      <c r="Y428">
        <v>421</v>
      </c>
      <c r="Z428" t="str">
        <f t="shared" si="32"/>
        <v>Investissement</v>
      </c>
      <c r="AA428" t="str">
        <f t="shared" si="33"/>
        <v>travaux magasin</v>
      </c>
    </row>
    <row r="429" spans="20:27" x14ac:dyDescent="0.25">
      <c r="T429" s="158">
        <f t="shared" si="30"/>
        <v>56770</v>
      </c>
      <c r="U429" s="164">
        <f t="shared" si="31"/>
        <v>864.41</v>
      </c>
      <c r="V429" s="159">
        <f t="shared" si="34"/>
        <v>-1919.17</v>
      </c>
      <c r="W429" s="159">
        <f>D_Emprunts!$U429-D_Emprunts!$V429</f>
        <v>2783.58</v>
      </c>
      <c r="X429" s="160">
        <f>X428-D_Emprunts!$W429</f>
        <v>-653338.60999999987</v>
      </c>
      <c r="Y429">
        <v>422</v>
      </c>
      <c r="Z429" t="str">
        <f t="shared" si="32"/>
        <v>Investissement</v>
      </c>
      <c r="AA429" t="str">
        <f t="shared" si="33"/>
        <v>travaux magasin</v>
      </c>
    </row>
    <row r="430" spans="20:27" x14ac:dyDescent="0.25">
      <c r="T430" s="155">
        <f t="shared" si="30"/>
        <v>56800</v>
      </c>
      <c r="U430" s="164">
        <f t="shared" si="31"/>
        <v>864.41</v>
      </c>
      <c r="V430" s="159">
        <f t="shared" si="34"/>
        <v>-1927.38</v>
      </c>
      <c r="W430" s="156">
        <f>D_Emprunts!$U430-D_Emprunts!$V430</f>
        <v>2791.79</v>
      </c>
      <c r="X430" s="157">
        <f>X429-D_Emprunts!$W430</f>
        <v>-656130.39999999991</v>
      </c>
      <c r="Y430">
        <v>423</v>
      </c>
      <c r="Z430" t="str">
        <f t="shared" si="32"/>
        <v>Investissement</v>
      </c>
      <c r="AA430" t="str">
        <f t="shared" si="33"/>
        <v>travaux magasin</v>
      </c>
    </row>
    <row r="431" spans="20:27" x14ac:dyDescent="0.25">
      <c r="T431" s="158">
        <f t="shared" si="30"/>
        <v>56831</v>
      </c>
      <c r="U431" s="164">
        <f t="shared" si="31"/>
        <v>864.41</v>
      </c>
      <c r="V431" s="159">
        <f t="shared" si="34"/>
        <v>-1935.62</v>
      </c>
      <c r="W431" s="159">
        <f>D_Emprunts!$U431-D_Emprunts!$V431</f>
        <v>2800.0299999999997</v>
      </c>
      <c r="X431" s="160">
        <f>X430-D_Emprunts!$W431</f>
        <v>-658930.42999999993</v>
      </c>
      <c r="Y431">
        <v>424</v>
      </c>
      <c r="Z431" t="str">
        <f t="shared" si="32"/>
        <v>Investissement</v>
      </c>
      <c r="AA431" t="str">
        <f t="shared" si="33"/>
        <v>travaux magasin</v>
      </c>
    </row>
    <row r="432" spans="20:27" x14ac:dyDescent="0.25">
      <c r="T432" s="155">
        <f t="shared" si="30"/>
        <v>56862</v>
      </c>
      <c r="U432" s="164">
        <f t="shared" si="31"/>
        <v>864.41</v>
      </c>
      <c r="V432" s="159">
        <f t="shared" si="34"/>
        <v>-1943.88</v>
      </c>
      <c r="W432" s="156">
        <f>D_Emprunts!$U432-D_Emprunts!$V432</f>
        <v>2808.29</v>
      </c>
      <c r="X432" s="157">
        <f>X431-D_Emprunts!$W432</f>
        <v>-661738.72</v>
      </c>
      <c r="Y432">
        <v>425</v>
      </c>
      <c r="Z432" t="str">
        <f t="shared" si="32"/>
        <v>Investissement</v>
      </c>
      <c r="AA432" t="str">
        <f t="shared" si="33"/>
        <v>travaux magasin</v>
      </c>
    </row>
    <row r="433" spans="20:27" x14ac:dyDescent="0.25">
      <c r="T433" s="158">
        <f t="shared" si="30"/>
        <v>56892</v>
      </c>
      <c r="U433" s="164">
        <f t="shared" si="31"/>
        <v>864.41</v>
      </c>
      <c r="V433" s="159">
        <f t="shared" si="34"/>
        <v>-1952.16</v>
      </c>
      <c r="W433" s="159">
        <f>D_Emprunts!$U433-D_Emprunts!$V433</f>
        <v>2816.57</v>
      </c>
      <c r="X433" s="160">
        <f>X432-D_Emprunts!$W433</f>
        <v>-664555.28999999992</v>
      </c>
      <c r="Y433">
        <v>426</v>
      </c>
      <c r="Z433" t="str">
        <f t="shared" si="32"/>
        <v>Investissement</v>
      </c>
      <c r="AA433" t="str">
        <f t="shared" si="33"/>
        <v>travaux magasin</v>
      </c>
    </row>
    <row r="434" spans="20:27" x14ac:dyDescent="0.25">
      <c r="T434" s="155">
        <f t="shared" si="30"/>
        <v>56923</v>
      </c>
      <c r="U434" s="164">
        <f t="shared" si="31"/>
        <v>864.41</v>
      </c>
      <c r="V434" s="159">
        <f t="shared" si="34"/>
        <v>-1960.47</v>
      </c>
      <c r="W434" s="156">
        <f>D_Emprunts!$U434-D_Emprunts!$V434</f>
        <v>2824.88</v>
      </c>
      <c r="X434" s="157">
        <f>X433-D_Emprunts!$W434</f>
        <v>-667380.16999999993</v>
      </c>
      <c r="Y434">
        <v>427</v>
      </c>
      <c r="Z434" t="str">
        <f t="shared" si="32"/>
        <v>Investissement</v>
      </c>
      <c r="AA434" t="str">
        <f t="shared" si="33"/>
        <v>travaux magasin</v>
      </c>
    </row>
    <row r="435" spans="20:27" x14ac:dyDescent="0.25">
      <c r="T435" s="158">
        <f t="shared" si="30"/>
        <v>56953</v>
      </c>
      <c r="U435" s="164">
        <f t="shared" si="31"/>
        <v>864.41</v>
      </c>
      <c r="V435" s="159">
        <f t="shared" si="34"/>
        <v>-1968.81</v>
      </c>
      <c r="W435" s="159">
        <f>D_Emprunts!$U435-D_Emprunts!$V435</f>
        <v>2833.22</v>
      </c>
      <c r="X435" s="160">
        <f>X434-D_Emprunts!$W435</f>
        <v>-670213.3899999999</v>
      </c>
      <c r="Y435">
        <v>428</v>
      </c>
      <c r="Z435" t="str">
        <f t="shared" si="32"/>
        <v>Investissement</v>
      </c>
      <c r="AA435" t="str">
        <f t="shared" si="33"/>
        <v>travaux magasin</v>
      </c>
    </row>
    <row r="436" spans="20:27" x14ac:dyDescent="0.25">
      <c r="T436" s="155">
        <f t="shared" si="30"/>
        <v>56984</v>
      </c>
      <c r="U436" s="164">
        <f t="shared" si="31"/>
        <v>864.41</v>
      </c>
      <c r="V436" s="159">
        <f t="shared" si="34"/>
        <v>-1977.16</v>
      </c>
      <c r="W436" s="156">
        <f>D_Emprunts!$U436-D_Emprunts!$V436</f>
        <v>2841.57</v>
      </c>
      <c r="X436" s="157">
        <f>X435-D_Emprunts!$W436</f>
        <v>-673054.95999999985</v>
      </c>
      <c r="Y436">
        <v>429</v>
      </c>
      <c r="Z436" t="str">
        <f t="shared" si="32"/>
        <v>Investissement</v>
      </c>
      <c r="AA436" t="str">
        <f t="shared" si="33"/>
        <v>travaux magasin</v>
      </c>
    </row>
    <row r="437" spans="20:27" x14ac:dyDescent="0.25">
      <c r="T437" s="158">
        <f t="shared" si="30"/>
        <v>57015</v>
      </c>
      <c r="U437" s="164">
        <f t="shared" si="31"/>
        <v>864.41</v>
      </c>
      <c r="V437" s="159">
        <f t="shared" si="34"/>
        <v>-1985.55</v>
      </c>
      <c r="W437" s="159">
        <f>D_Emprunts!$U437-D_Emprunts!$V437</f>
        <v>2849.96</v>
      </c>
      <c r="X437" s="160">
        <f>X436-D_Emprunts!$W437</f>
        <v>-675904.91999999981</v>
      </c>
      <c r="Y437">
        <v>430</v>
      </c>
      <c r="Z437" t="str">
        <f t="shared" si="32"/>
        <v>Investissement</v>
      </c>
      <c r="AA437" t="str">
        <f t="shared" si="33"/>
        <v>travaux magasin</v>
      </c>
    </row>
    <row r="438" spans="20:27" x14ac:dyDescent="0.25">
      <c r="T438" s="155">
        <f t="shared" si="30"/>
        <v>57044</v>
      </c>
      <c r="U438" s="164">
        <f t="shared" si="31"/>
        <v>864.41</v>
      </c>
      <c r="V438" s="159">
        <f t="shared" si="34"/>
        <v>-1993.95</v>
      </c>
      <c r="W438" s="156">
        <f>D_Emprunts!$U438-D_Emprunts!$V438</f>
        <v>2858.36</v>
      </c>
      <c r="X438" s="157">
        <f>X437-D_Emprunts!$W438</f>
        <v>-678763.2799999998</v>
      </c>
      <c r="Y438">
        <v>431</v>
      </c>
      <c r="Z438" t="str">
        <f t="shared" si="32"/>
        <v>Investissement</v>
      </c>
      <c r="AA438" t="str">
        <f t="shared" si="33"/>
        <v>travaux magasin</v>
      </c>
    </row>
    <row r="439" spans="20:27" x14ac:dyDescent="0.25">
      <c r="T439" s="158">
        <f t="shared" si="30"/>
        <v>57075</v>
      </c>
      <c r="U439" s="164">
        <f t="shared" si="31"/>
        <v>864.41</v>
      </c>
      <c r="V439" s="159">
        <f t="shared" si="34"/>
        <v>-2002.39</v>
      </c>
      <c r="W439" s="159">
        <f>D_Emprunts!$U439-D_Emprunts!$V439</f>
        <v>2866.8</v>
      </c>
      <c r="X439" s="160">
        <f>X438-D_Emprunts!$W439</f>
        <v>-681630.07999999984</v>
      </c>
      <c r="Y439">
        <v>432</v>
      </c>
      <c r="Z439" t="str">
        <f t="shared" si="32"/>
        <v>Investissement</v>
      </c>
      <c r="AA439" t="str">
        <f t="shared" si="33"/>
        <v>travaux magasin</v>
      </c>
    </row>
    <row r="440" spans="20:27" x14ac:dyDescent="0.25">
      <c r="T440" s="155">
        <f t="shared" si="30"/>
        <v>57105</v>
      </c>
      <c r="U440" s="164">
        <f t="shared" si="31"/>
        <v>864.41</v>
      </c>
      <c r="V440" s="159">
        <f t="shared" si="34"/>
        <v>-2010.84</v>
      </c>
      <c r="W440" s="156">
        <f>D_Emprunts!$U440-D_Emprunts!$V440</f>
        <v>2875.25</v>
      </c>
      <c r="X440" s="157">
        <f>X439-D_Emprunts!$W440</f>
        <v>-684505.32999999984</v>
      </c>
      <c r="Y440">
        <v>433</v>
      </c>
      <c r="Z440" t="str">
        <f t="shared" si="32"/>
        <v>Investissement</v>
      </c>
      <c r="AA440" t="str">
        <f t="shared" si="33"/>
        <v>travaux magasin</v>
      </c>
    </row>
    <row r="441" spans="20:27" x14ac:dyDescent="0.25">
      <c r="T441" s="158">
        <f t="shared" si="30"/>
        <v>57136</v>
      </c>
      <c r="U441" s="164">
        <f t="shared" si="31"/>
        <v>864.41</v>
      </c>
      <c r="V441" s="159">
        <f t="shared" si="34"/>
        <v>-2019.33</v>
      </c>
      <c r="W441" s="159">
        <f>D_Emprunts!$U441-D_Emprunts!$V441</f>
        <v>2883.74</v>
      </c>
      <c r="X441" s="160">
        <f>X440-D_Emprunts!$W441</f>
        <v>-687389.06999999983</v>
      </c>
      <c r="Y441">
        <v>434</v>
      </c>
      <c r="Z441" t="str">
        <f t="shared" si="32"/>
        <v>Investissement</v>
      </c>
      <c r="AA441" t="str">
        <f t="shared" si="33"/>
        <v>travaux magasin</v>
      </c>
    </row>
    <row r="442" spans="20:27" x14ac:dyDescent="0.25">
      <c r="T442" s="155">
        <f t="shared" si="30"/>
        <v>57166</v>
      </c>
      <c r="U442" s="164">
        <f t="shared" si="31"/>
        <v>864.41</v>
      </c>
      <c r="V442" s="159">
        <f t="shared" si="34"/>
        <v>-2027.83</v>
      </c>
      <c r="W442" s="156">
        <f>D_Emprunts!$U442-D_Emprunts!$V442</f>
        <v>2892.24</v>
      </c>
      <c r="X442" s="157">
        <f>X441-D_Emprunts!$W442</f>
        <v>-690281.30999999982</v>
      </c>
      <c r="Y442">
        <v>435</v>
      </c>
      <c r="Z442" t="str">
        <f t="shared" si="32"/>
        <v>Investissement</v>
      </c>
      <c r="AA442" t="str">
        <f t="shared" si="33"/>
        <v>travaux magasin</v>
      </c>
    </row>
    <row r="443" spans="20:27" x14ac:dyDescent="0.25">
      <c r="T443" s="158">
        <f t="shared" si="30"/>
        <v>57197</v>
      </c>
      <c r="U443" s="164">
        <f t="shared" si="31"/>
        <v>864.41</v>
      </c>
      <c r="V443" s="159">
        <f t="shared" si="34"/>
        <v>-2036.37</v>
      </c>
      <c r="W443" s="159">
        <f>D_Emprunts!$U443-D_Emprunts!$V443</f>
        <v>2900.7799999999997</v>
      </c>
      <c r="X443" s="160">
        <f>X442-D_Emprunts!$W443</f>
        <v>-693182.08999999985</v>
      </c>
      <c r="Y443">
        <v>436</v>
      </c>
      <c r="Z443" t="str">
        <f t="shared" si="32"/>
        <v>Investissement</v>
      </c>
      <c r="AA443" t="str">
        <f t="shared" si="33"/>
        <v>travaux magasin</v>
      </c>
    </row>
    <row r="444" spans="20:27" x14ac:dyDescent="0.25">
      <c r="T444" s="155">
        <f t="shared" si="30"/>
        <v>57228</v>
      </c>
      <c r="U444" s="164">
        <f t="shared" si="31"/>
        <v>864.41</v>
      </c>
      <c r="V444" s="159">
        <f t="shared" si="34"/>
        <v>-2044.92</v>
      </c>
      <c r="W444" s="156">
        <f>D_Emprunts!$U444-D_Emprunts!$V444</f>
        <v>2909.33</v>
      </c>
      <c r="X444" s="157">
        <f>X443-D_Emprunts!$W444</f>
        <v>-696091.41999999981</v>
      </c>
      <c r="Y444">
        <v>437</v>
      </c>
      <c r="Z444" t="str">
        <f t="shared" si="32"/>
        <v>Investissement</v>
      </c>
      <c r="AA444" t="str">
        <f t="shared" si="33"/>
        <v>travaux magasin</v>
      </c>
    </row>
    <row r="445" spans="20:27" x14ac:dyDescent="0.25">
      <c r="T445" s="158">
        <f t="shared" si="30"/>
        <v>57258</v>
      </c>
      <c r="U445" s="164">
        <f t="shared" si="31"/>
        <v>864.41</v>
      </c>
      <c r="V445" s="159">
        <f t="shared" si="34"/>
        <v>-2053.5100000000002</v>
      </c>
      <c r="W445" s="159">
        <f>D_Emprunts!$U445-D_Emprunts!$V445</f>
        <v>2917.92</v>
      </c>
      <c r="X445" s="160">
        <f>X444-D_Emprunts!$W445</f>
        <v>-699009.33999999985</v>
      </c>
      <c r="Y445">
        <v>438</v>
      </c>
      <c r="Z445" t="str">
        <f t="shared" si="32"/>
        <v>Investissement</v>
      </c>
      <c r="AA445" t="str">
        <f t="shared" si="33"/>
        <v>travaux magasin</v>
      </c>
    </row>
    <row r="446" spans="20:27" x14ac:dyDescent="0.25">
      <c r="T446" s="155">
        <f t="shared" si="30"/>
        <v>57289</v>
      </c>
      <c r="U446" s="164">
        <f t="shared" si="31"/>
        <v>864.41</v>
      </c>
      <c r="V446" s="159">
        <f t="shared" si="34"/>
        <v>-2062.11</v>
      </c>
      <c r="W446" s="156">
        <f>D_Emprunts!$U446-D_Emprunts!$V446</f>
        <v>2926.52</v>
      </c>
      <c r="X446" s="157">
        <f>X445-D_Emprunts!$W446</f>
        <v>-701935.85999999987</v>
      </c>
      <c r="Y446">
        <v>439</v>
      </c>
      <c r="Z446" t="str">
        <f t="shared" si="32"/>
        <v>Investissement</v>
      </c>
      <c r="AA446" t="str">
        <f t="shared" si="33"/>
        <v>travaux magasin</v>
      </c>
    </row>
    <row r="447" spans="20:27" x14ac:dyDescent="0.25">
      <c r="T447" s="158">
        <f t="shared" si="30"/>
        <v>57319</v>
      </c>
      <c r="U447" s="164">
        <f t="shared" si="31"/>
        <v>864.41</v>
      </c>
      <c r="V447" s="159">
        <f t="shared" si="34"/>
        <v>-2070.75</v>
      </c>
      <c r="W447" s="159">
        <f>D_Emprunts!$U447-D_Emprunts!$V447</f>
        <v>2935.16</v>
      </c>
      <c r="X447" s="160">
        <f>X446-D_Emprunts!$W447</f>
        <v>-704871.0199999999</v>
      </c>
      <c r="Y447">
        <v>440</v>
      </c>
      <c r="Z447" t="str">
        <f t="shared" si="32"/>
        <v>Investissement</v>
      </c>
      <c r="AA447" t="str">
        <f t="shared" si="33"/>
        <v>travaux magasin</v>
      </c>
    </row>
    <row r="448" spans="20:27" x14ac:dyDescent="0.25">
      <c r="T448" s="155">
        <f t="shared" si="30"/>
        <v>57350</v>
      </c>
      <c r="U448" s="164">
        <f t="shared" si="31"/>
        <v>864.41</v>
      </c>
      <c r="V448" s="159">
        <f t="shared" si="34"/>
        <v>-2079.41</v>
      </c>
      <c r="W448" s="156">
        <f>D_Emprunts!$U448-D_Emprunts!$V448</f>
        <v>2943.8199999999997</v>
      </c>
      <c r="X448" s="157">
        <f>X447-D_Emprunts!$W448</f>
        <v>-707814.83999999985</v>
      </c>
      <c r="Y448">
        <v>441</v>
      </c>
      <c r="Z448" t="str">
        <f t="shared" si="32"/>
        <v>Investissement</v>
      </c>
      <c r="AA448" t="str">
        <f t="shared" si="33"/>
        <v>travaux magasin</v>
      </c>
    </row>
    <row r="449" spans="20:27" x14ac:dyDescent="0.25">
      <c r="T449" s="158">
        <f t="shared" si="30"/>
        <v>57381</v>
      </c>
      <c r="U449" s="164">
        <f t="shared" si="31"/>
        <v>864.41</v>
      </c>
      <c r="V449" s="159">
        <f t="shared" si="34"/>
        <v>-2088.09</v>
      </c>
      <c r="W449" s="159">
        <f>D_Emprunts!$U449-D_Emprunts!$V449</f>
        <v>2952.5</v>
      </c>
      <c r="X449" s="160">
        <f>X448-D_Emprunts!$W449</f>
        <v>-710767.33999999985</v>
      </c>
      <c r="Y449">
        <v>442</v>
      </c>
      <c r="Z449" t="str">
        <f t="shared" si="32"/>
        <v>Investissement</v>
      </c>
      <c r="AA449" t="str">
        <f t="shared" si="33"/>
        <v>travaux magasin</v>
      </c>
    </row>
    <row r="450" spans="20:27" x14ac:dyDescent="0.25">
      <c r="T450" s="155">
        <f t="shared" si="30"/>
        <v>57409</v>
      </c>
      <c r="U450" s="164">
        <f t="shared" si="31"/>
        <v>864.41</v>
      </c>
      <c r="V450" s="159">
        <f t="shared" si="34"/>
        <v>-2096.8000000000002</v>
      </c>
      <c r="W450" s="156">
        <f>D_Emprunts!$U450-D_Emprunts!$V450</f>
        <v>2961.21</v>
      </c>
      <c r="X450" s="157">
        <f>X449-D_Emprunts!$W450</f>
        <v>-713728.54999999981</v>
      </c>
      <c r="Y450">
        <v>443</v>
      </c>
      <c r="Z450" t="str">
        <f t="shared" si="32"/>
        <v>Investissement</v>
      </c>
      <c r="AA450" t="str">
        <f t="shared" si="33"/>
        <v>travaux magasin</v>
      </c>
    </row>
    <row r="451" spans="20:27" x14ac:dyDescent="0.25">
      <c r="T451" s="158">
        <f t="shared" si="30"/>
        <v>57440</v>
      </c>
      <c r="U451" s="164">
        <f t="shared" si="31"/>
        <v>864.41</v>
      </c>
      <c r="V451" s="159">
        <f t="shared" si="34"/>
        <v>-2105.54</v>
      </c>
      <c r="W451" s="159">
        <f>D_Emprunts!$U451-D_Emprunts!$V451</f>
        <v>2969.95</v>
      </c>
      <c r="X451" s="160">
        <f>X450-D_Emprunts!$W451</f>
        <v>-716698.49999999977</v>
      </c>
      <c r="Y451">
        <v>444</v>
      </c>
      <c r="Z451" t="str">
        <f t="shared" si="32"/>
        <v>Investissement</v>
      </c>
      <c r="AA451" t="str">
        <f t="shared" si="33"/>
        <v>travaux magasin</v>
      </c>
    </row>
    <row r="452" spans="20:27" x14ac:dyDescent="0.25">
      <c r="T452" s="155">
        <f t="shared" si="30"/>
        <v>57470</v>
      </c>
      <c r="U452" s="164">
        <f t="shared" si="31"/>
        <v>864.41</v>
      </c>
      <c r="V452" s="159">
        <f t="shared" si="34"/>
        <v>-2114.3000000000002</v>
      </c>
      <c r="W452" s="156">
        <f>D_Emprunts!$U452-D_Emprunts!$V452</f>
        <v>2978.71</v>
      </c>
      <c r="X452" s="157">
        <f>X451-D_Emprunts!$W452</f>
        <v>-719677.20999999973</v>
      </c>
      <c r="Y452">
        <v>445</v>
      </c>
      <c r="Z452" t="str">
        <f t="shared" si="32"/>
        <v>Investissement</v>
      </c>
      <c r="AA452" t="str">
        <f t="shared" si="33"/>
        <v>travaux magasin</v>
      </c>
    </row>
    <row r="453" spans="20:27" x14ac:dyDescent="0.25">
      <c r="T453" s="158">
        <f t="shared" si="30"/>
        <v>57501</v>
      </c>
      <c r="U453" s="164">
        <f t="shared" si="31"/>
        <v>864.41</v>
      </c>
      <c r="V453" s="159">
        <f t="shared" si="34"/>
        <v>-2123.08</v>
      </c>
      <c r="W453" s="159">
        <f>D_Emprunts!$U453-D_Emprunts!$V453</f>
        <v>2987.49</v>
      </c>
      <c r="X453" s="160">
        <f>X452-D_Emprunts!$W453</f>
        <v>-722664.69999999972</v>
      </c>
      <c r="Y453">
        <v>446</v>
      </c>
      <c r="Z453" t="str">
        <f t="shared" si="32"/>
        <v>Investissement</v>
      </c>
      <c r="AA453" t="str">
        <f t="shared" si="33"/>
        <v>travaux magasin</v>
      </c>
    </row>
    <row r="454" spans="20:27" x14ac:dyDescent="0.25">
      <c r="T454" s="155">
        <f t="shared" si="30"/>
        <v>57531</v>
      </c>
      <c r="U454" s="164">
        <f t="shared" si="31"/>
        <v>864.41</v>
      </c>
      <c r="V454" s="159">
        <f t="shared" si="34"/>
        <v>-2131.9</v>
      </c>
      <c r="W454" s="156">
        <f>D_Emprunts!$U454-D_Emprunts!$V454</f>
        <v>2996.31</v>
      </c>
      <c r="X454" s="157">
        <f>X453-D_Emprunts!$W454</f>
        <v>-725661.00999999978</v>
      </c>
      <c r="Y454">
        <v>447</v>
      </c>
      <c r="Z454" t="str">
        <f t="shared" si="32"/>
        <v>Investissement</v>
      </c>
      <c r="AA454" t="str">
        <f t="shared" si="33"/>
        <v>travaux magasin</v>
      </c>
    </row>
    <row r="455" spans="20:27" x14ac:dyDescent="0.25">
      <c r="T455" s="158">
        <f t="shared" si="30"/>
        <v>57562</v>
      </c>
      <c r="U455" s="164">
        <f t="shared" si="31"/>
        <v>864.41</v>
      </c>
      <c r="V455" s="159">
        <f t="shared" si="34"/>
        <v>-2140.7399999999998</v>
      </c>
      <c r="W455" s="159">
        <f>D_Emprunts!$U455-D_Emprunts!$V455</f>
        <v>3005.1499999999996</v>
      </c>
      <c r="X455" s="160">
        <f>X454-D_Emprunts!$W455</f>
        <v>-728666.1599999998</v>
      </c>
      <c r="Y455">
        <v>448</v>
      </c>
      <c r="Z455" t="str">
        <f t="shared" si="32"/>
        <v>Investissement</v>
      </c>
      <c r="AA455" t="str">
        <f t="shared" si="33"/>
        <v>travaux magasin</v>
      </c>
    </row>
    <row r="456" spans="20:27" x14ac:dyDescent="0.25">
      <c r="T456" s="155">
        <f t="shared" ref="T456:T519" si="35">EDATE(T455,1)</f>
        <v>57593</v>
      </c>
      <c r="U456" s="164">
        <f t="shared" si="31"/>
        <v>864.41</v>
      </c>
      <c r="V456" s="159">
        <f t="shared" si="34"/>
        <v>-2149.6</v>
      </c>
      <c r="W456" s="156">
        <f>D_Emprunts!$U456-D_Emprunts!$V456</f>
        <v>3014.0099999999998</v>
      </c>
      <c r="X456" s="157">
        <f>X455-D_Emprunts!$W456</f>
        <v>-731680.16999999981</v>
      </c>
      <c r="Y456">
        <v>449</v>
      </c>
      <c r="Z456" t="str">
        <f t="shared" si="32"/>
        <v>Investissement</v>
      </c>
      <c r="AA456" t="str">
        <f t="shared" si="33"/>
        <v>travaux magasin</v>
      </c>
    </row>
    <row r="457" spans="20:27" x14ac:dyDescent="0.25">
      <c r="T457" s="158">
        <f t="shared" si="35"/>
        <v>57623</v>
      </c>
      <c r="U457" s="164">
        <f t="shared" ref="U457:U520" si="36">$X$4</f>
        <v>864.41</v>
      </c>
      <c r="V457" s="159">
        <f t="shared" si="34"/>
        <v>-2158.4899999999998</v>
      </c>
      <c r="W457" s="159">
        <f>D_Emprunts!$U457-D_Emprunts!$V457</f>
        <v>3022.8999999999996</v>
      </c>
      <c r="X457" s="160">
        <f>X456-D_Emprunts!$W457</f>
        <v>-734703.06999999983</v>
      </c>
      <c r="Y457">
        <v>450</v>
      </c>
      <c r="Z457" t="str">
        <f t="shared" ref="Z457:Z520" si="37">$Y$4</f>
        <v>Investissement</v>
      </c>
      <c r="AA457" t="str">
        <f t="shared" ref="AA457:AA520" si="38">$Z$4</f>
        <v>travaux magasin</v>
      </c>
    </row>
    <row r="458" spans="20:27" x14ac:dyDescent="0.25">
      <c r="T458" s="155">
        <f t="shared" si="35"/>
        <v>57654</v>
      </c>
      <c r="U458" s="164">
        <f t="shared" si="36"/>
        <v>864.41</v>
      </c>
      <c r="V458" s="159">
        <f t="shared" ref="V458:V521" si="39">ROUND(X457*$V$4/12,2)</f>
        <v>-2167.41</v>
      </c>
      <c r="W458" s="156">
        <f>D_Emprunts!$U458-D_Emprunts!$V458</f>
        <v>3031.8199999999997</v>
      </c>
      <c r="X458" s="157">
        <f>X457-D_Emprunts!$W458</f>
        <v>-737734.88999999978</v>
      </c>
      <c r="Y458">
        <v>451</v>
      </c>
      <c r="Z458" t="str">
        <f t="shared" si="37"/>
        <v>Investissement</v>
      </c>
      <c r="AA458" t="str">
        <f t="shared" si="38"/>
        <v>travaux magasin</v>
      </c>
    </row>
    <row r="459" spans="20:27" x14ac:dyDescent="0.25">
      <c r="T459" s="158">
        <f t="shared" si="35"/>
        <v>57684</v>
      </c>
      <c r="U459" s="164">
        <f t="shared" si="36"/>
        <v>864.41</v>
      </c>
      <c r="V459" s="159">
        <f t="shared" si="39"/>
        <v>-2176.36</v>
      </c>
      <c r="W459" s="159">
        <f>D_Emprunts!$U459-D_Emprunts!$V459</f>
        <v>3040.77</v>
      </c>
      <c r="X459" s="160">
        <f>X458-D_Emprunts!$W459</f>
        <v>-740775.6599999998</v>
      </c>
      <c r="Y459">
        <v>452</v>
      </c>
      <c r="Z459" t="str">
        <f t="shared" si="37"/>
        <v>Investissement</v>
      </c>
      <c r="AA459" t="str">
        <f t="shared" si="38"/>
        <v>travaux magasin</v>
      </c>
    </row>
    <row r="460" spans="20:27" x14ac:dyDescent="0.25">
      <c r="T460" s="155">
        <f t="shared" si="35"/>
        <v>57715</v>
      </c>
      <c r="U460" s="164">
        <f t="shared" si="36"/>
        <v>864.41</v>
      </c>
      <c r="V460" s="159">
        <f t="shared" si="39"/>
        <v>-2185.33</v>
      </c>
      <c r="W460" s="156">
        <f>D_Emprunts!$U460-D_Emprunts!$V460</f>
        <v>3049.74</v>
      </c>
      <c r="X460" s="157">
        <f>X459-D_Emprunts!$W460</f>
        <v>-743825.39999999979</v>
      </c>
      <c r="Y460">
        <v>453</v>
      </c>
      <c r="Z460" t="str">
        <f t="shared" si="37"/>
        <v>Investissement</v>
      </c>
      <c r="AA460" t="str">
        <f t="shared" si="38"/>
        <v>travaux magasin</v>
      </c>
    </row>
    <row r="461" spans="20:27" x14ac:dyDescent="0.25">
      <c r="T461" s="158">
        <f t="shared" si="35"/>
        <v>57746</v>
      </c>
      <c r="U461" s="164">
        <f t="shared" si="36"/>
        <v>864.41</v>
      </c>
      <c r="V461" s="159">
        <f t="shared" si="39"/>
        <v>-2194.3200000000002</v>
      </c>
      <c r="W461" s="159">
        <f>D_Emprunts!$U461-D_Emprunts!$V461</f>
        <v>3058.73</v>
      </c>
      <c r="X461" s="160">
        <f>X460-D_Emprunts!$W461</f>
        <v>-746884.12999999977</v>
      </c>
      <c r="Y461">
        <v>454</v>
      </c>
      <c r="Z461" t="str">
        <f t="shared" si="37"/>
        <v>Investissement</v>
      </c>
      <c r="AA461" t="str">
        <f t="shared" si="38"/>
        <v>travaux magasin</v>
      </c>
    </row>
    <row r="462" spans="20:27" x14ac:dyDescent="0.25">
      <c r="T462" s="155">
        <f t="shared" si="35"/>
        <v>57774</v>
      </c>
      <c r="U462" s="164">
        <f t="shared" si="36"/>
        <v>864.41</v>
      </c>
      <c r="V462" s="159">
        <f t="shared" si="39"/>
        <v>-2203.35</v>
      </c>
      <c r="W462" s="156">
        <f>D_Emprunts!$U462-D_Emprunts!$V462</f>
        <v>3067.7599999999998</v>
      </c>
      <c r="X462" s="157">
        <f>X461-D_Emprunts!$W462</f>
        <v>-749951.88999999978</v>
      </c>
      <c r="Y462">
        <v>455</v>
      </c>
      <c r="Z462" t="str">
        <f t="shared" si="37"/>
        <v>Investissement</v>
      </c>
      <c r="AA462" t="str">
        <f t="shared" si="38"/>
        <v>travaux magasin</v>
      </c>
    </row>
    <row r="463" spans="20:27" x14ac:dyDescent="0.25">
      <c r="T463" s="158">
        <f t="shared" si="35"/>
        <v>57805</v>
      </c>
      <c r="U463" s="164">
        <f t="shared" si="36"/>
        <v>864.41</v>
      </c>
      <c r="V463" s="159">
        <f t="shared" si="39"/>
        <v>-2212.4</v>
      </c>
      <c r="W463" s="159">
        <f>D_Emprunts!$U463-D_Emprunts!$V463</f>
        <v>3076.81</v>
      </c>
      <c r="X463" s="160">
        <f>X462-D_Emprunts!$W463</f>
        <v>-753028.69999999984</v>
      </c>
      <c r="Y463">
        <v>456</v>
      </c>
      <c r="Z463" t="str">
        <f t="shared" si="37"/>
        <v>Investissement</v>
      </c>
      <c r="AA463" t="str">
        <f t="shared" si="38"/>
        <v>travaux magasin</v>
      </c>
    </row>
    <row r="464" spans="20:27" x14ac:dyDescent="0.25">
      <c r="T464" s="155">
        <f t="shared" si="35"/>
        <v>57835</v>
      </c>
      <c r="U464" s="164">
        <f t="shared" si="36"/>
        <v>864.41</v>
      </c>
      <c r="V464" s="159">
        <f t="shared" si="39"/>
        <v>-2221.4699999999998</v>
      </c>
      <c r="W464" s="156">
        <f>D_Emprunts!$U464-D_Emprunts!$V464</f>
        <v>3085.8799999999997</v>
      </c>
      <c r="X464" s="157">
        <f>X463-D_Emprunts!$W464</f>
        <v>-756114.57999999984</v>
      </c>
      <c r="Y464">
        <v>457</v>
      </c>
      <c r="Z464" t="str">
        <f t="shared" si="37"/>
        <v>Investissement</v>
      </c>
      <c r="AA464" t="str">
        <f t="shared" si="38"/>
        <v>travaux magasin</v>
      </c>
    </row>
    <row r="465" spans="20:27" x14ac:dyDescent="0.25">
      <c r="T465" s="158">
        <f t="shared" si="35"/>
        <v>57866</v>
      </c>
      <c r="U465" s="164">
        <f t="shared" si="36"/>
        <v>864.41</v>
      </c>
      <c r="V465" s="159">
        <f t="shared" si="39"/>
        <v>-2230.58</v>
      </c>
      <c r="W465" s="159">
        <f>D_Emprunts!$U465-D_Emprunts!$V465</f>
        <v>3094.99</v>
      </c>
      <c r="X465" s="160">
        <f>X464-D_Emprunts!$W465</f>
        <v>-759209.56999999983</v>
      </c>
      <c r="Y465">
        <v>458</v>
      </c>
      <c r="Z465" t="str">
        <f t="shared" si="37"/>
        <v>Investissement</v>
      </c>
      <c r="AA465" t="str">
        <f t="shared" si="38"/>
        <v>travaux magasin</v>
      </c>
    </row>
    <row r="466" spans="20:27" x14ac:dyDescent="0.25">
      <c r="T466" s="155">
        <f t="shared" si="35"/>
        <v>57896</v>
      </c>
      <c r="U466" s="164">
        <f t="shared" si="36"/>
        <v>864.41</v>
      </c>
      <c r="V466" s="159">
        <f t="shared" si="39"/>
        <v>-2239.71</v>
      </c>
      <c r="W466" s="156">
        <f>D_Emprunts!$U466-D_Emprunts!$V466</f>
        <v>3104.12</v>
      </c>
      <c r="X466" s="157">
        <f>X465-D_Emprunts!$W466</f>
        <v>-762313.68999999983</v>
      </c>
      <c r="Y466">
        <v>459</v>
      </c>
      <c r="Z466" t="str">
        <f t="shared" si="37"/>
        <v>Investissement</v>
      </c>
      <c r="AA466" t="str">
        <f t="shared" si="38"/>
        <v>travaux magasin</v>
      </c>
    </row>
    <row r="467" spans="20:27" x14ac:dyDescent="0.25">
      <c r="T467" s="158">
        <f t="shared" si="35"/>
        <v>57927</v>
      </c>
      <c r="U467" s="164">
        <f t="shared" si="36"/>
        <v>864.41</v>
      </c>
      <c r="V467" s="159">
        <f t="shared" si="39"/>
        <v>-2248.86</v>
      </c>
      <c r="W467" s="159">
        <f>D_Emprunts!$U467-D_Emprunts!$V467</f>
        <v>3113.27</v>
      </c>
      <c r="X467" s="160">
        <f>X466-D_Emprunts!$W467</f>
        <v>-765426.95999999985</v>
      </c>
      <c r="Y467">
        <v>460</v>
      </c>
      <c r="Z467" t="str">
        <f t="shared" si="37"/>
        <v>Investissement</v>
      </c>
      <c r="AA467" t="str">
        <f t="shared" si="38"/>
        <v>travaux magasin</v>
      </c>
    </row>
    <row r="468" spans="20:27" x14ac:dyDescent="0.25">
      <c r="T468" s="155">
        <f t="shared" si="35"/>
        <v>57958</v>
      </c>
      <c r="U468" s="164">
        <f t="shared" si="36"/>
        <v>864.41</v>
      </c>
      <c r="V468" s="159">
        <f t="shared" si="39"/>
        <v>-2258.0500000000002</v>
      </c>
      <c r="W468" s="156">
        <f>D_Emprunts!$U468-D_Emprunts!$V468</f>
        <v>3122.46</v>
      </c>
      <c r="X468" s="157">
        <f>X467-D_Emprunts!$W468</f>
        <v>-768549.41999999981</v>
      </c>
      <c r="Y468">
        <v>461</v>
      </c>
      <c r="Z468" t="str">
        <f t="shared" si="37"/>
        <v>Investissement</v>
      </c>
      <c r="AA468" t="str">
        <f t="shared" si="38"/>
        <v>travaux magasin</v>
      </c>
    </row>
    <row r="469" spans="20:27" x14ac:dyDescent="0.25">
      <c r="T469" s="158">
        <f t="shared" si="35"/>
        <v>57988</v>
      </c>
      <c r="U469" s="164">
        <f t="shared" si="36"/>
        <v>864.41</v>
      </c>
      <c r="V469" s="159">
        <f t="shared" si="39"/>
        <v>-2267.2600000000002</v>
      </c>
      <c r="W469" s="159">
        <f>D_Emprunts!$U469-D_Emprunts!$V469</f>
        <v>3131.67</v>
      </c>
      <c r="X469" s="160">
        <f>X468-D_Emprunts!$W469</f>
        <v>-771681.08999999985</v>
      </c>
      <c r="Y469">
        <v>462</v>
      </c>
      <c r="Z469" t="str">
        <f t="shared" si="37"/>
        <v>Investissement</v>
      </c>
      <c r="AA469" t="str">
        <f t="shared" si="38"/>
        <v>travaux magasin</v>
      </c>
    </row>
    <row r="470" spans="20:27" x14ac:dyDescent="0.25">
      <c r="T470" s="155">
        <f t="shared" si="35"/>
        <v>58019</v>
      </c>
      <c r="U470" s="164">
        <f t="shared" si="36"/>
        <v>864.41</v>
      </c>
      <c r="V470" s="159">
        <f t="shared" si="39"/>
        <v>-2276.5</v>
      </c>
      <c r="W470" s="156">
        <f>D_Emprunts!$U470-D_Emprunts!$V470</f>
        <v>3140.91</v>
      </c>
      <c r="X470" s="157">
        <f>X469-D_Emprunts!$W470</f>
        <v>-774821.99999999988</v>
      </c>
      <c r="Y470">
        <v>463</v>
      </c>
      <c r="Z470" t="str">
        <f t="shared" si="37"/>
        <v>Investissement</v>
      </c>
      <c r="AA470" t="str">
        <f t="shared" si="38"/>
        <v>travaux magasin</v>
      </c>
    </row>
    <row r="471" spans="20:27" x14ac:dyDescent="0.25">
      <c r="T471" s="158">
        <f t="shared" si="35"/>
        <v>58049</v>
      </c>
      <c r="U471" s="164">
        <f t="shared" si="36"/>
        <v>864.41</v>
      </c>
      <c r="V471" s="159">
        <f t="shared" si="39"/>
        <v>-2285.7600000000002</v>
      </c>
      <c r="W471" s="159">
        <f>D_Emprunts!$U471-D_Emprunts!$V471</f>
        <v>3150.17</v>
      </c>
      <c r="X471" s="160">
        <f>X470-D_Emprunts!$W471</f>
        <v>-777972.16999999993</v>
      </c>
      <c r="Y471">
        <v>464</v>
      </c>
      <c r="Z471" t="str">
        <f t="shared" si="37"/>
        <v>Investissement</v>
      </c>
      <c r="AA471" t="str">
        <f t="shared" si="38"/>
        <v>travaux magasin</v>
      </c>
    </row>
    <row r="472" spans="20:27" x14ac:dyDescent="0.25">
      <c r="T472" s="155">
        <f t="shared" si="35"/>
        <v>58080</v>
      </c>
      <c r="U472" s="164">
        <f t="shared" si="36"/>
        <v>864.41</v>
      </c>
      <c r="V472" s="159">
        <f t="shared" si="39"/>
        <v>-2295.06</v>
      </c>
      <c r="W472" s="156">
        <f>D_Emprunts!$U472-D_Emprunts!$V472</f>
        <v>3159.47</v>
      </c>
      <c r="X472" s="157">
        <f>X471-D_Emprunts!$W472</f>
        <v>-781131.6399999999</v>
      </c>
      <c r="Y472">
        <v>465</v>
      </c>
      <c r="Z472" t="str">
        <f t="shared" si="37"/>
        <v>Investissement</v>
      </c>
      <c r="AA472" t="str">
        <f t="shared" si="38"/>
        <v>travaux magasin</v>
      </c>
    </row>
    <row r="473" spans="20:27" x14ac:dyDescent="0.25">
      <c r="T473" s="158">
        <f t="shared" si="35"/>
        <v>58111</v>
      </c>
      <c r="U473" s="164">
        <f t="shared" si="36"/>
        <v>864.41</v>
      </c>
      <c r="V473" s="159">
        <f t="shared" si="39"/>
        <v>-2304.38</v>
      </c>
      <c r="W473" s="159">
        <f>D_Emprunts!$U473-D_Emprunts!$V473</f>
        <v>3168.79</v>
      </c>
      <c r="X473" s="160">
        <f>X472-D_Emprunts!$W473</f>
        <v>-784300.42999999993</v>
      </c>
      <c r="Y473">
        <v>466</v>
      </c>
      <c r="Z473" t="str">
        <f t="shared" si="37"/>
        <v>Investissement</v>
      </c>
      <c r="AA473" t="str">
        <f t="shared" si="38"/>
        <v>travaux magasin</v>
      </c>
    </row>
    <row r="474" spans="20:27" x14ac:dyDescent="0.25">
      <c r="T474" s="155">
        <f t="shared" si="35"/>
        <v>58139</v>
      </c>
      <c r="U474" s="164">
        <f t="shared" si="36"/>
        <v>864.41</v>
      </c>
      <c r="V474" s="159">
        <f t="shared" si="39"/>
        <v>-2313.73</v>
      </c>
      <c r="W474" s="156">
        <f>D_Emprunts!$U474-D_Emprunts!$V474</f>
        <v>3178.14</v>
      </c>
      <c r="X474" s="157">
        <f>X473-D_Emprunts!$W474</f>
        <v>-787478.57</v>
      </c>
      <c r="Y474">
        <v>467</v>
      </c>
      <c r="Z474" t="str">
        <f t="shared" si="37"/>
        <v>Investissement</v>
      </c>
      <c r="AA474" t="str">
        <f t="shared" si="38"/>
        <v>travaux magasin</v>
      </c>
    </row>
    <row r="475" spans="20:27" x14ac:dyDescent="0.25">
      <c r="T475" s="158">
        <f t="shared" si="35"/>
        <v>58170</v>
      </c>
      <c r="U475" s="164">
        <f t="shared" si="36"/>
        <v>864.41</v>
      </c>
      <c r="V475" s="159">
        <f t="shared" si="39"/>
        <v>-2323.1</v>
      </c>
      <c r="W475" s="159">
        <f>D_Emprunts!$U475-D_Emprunts!$V475</f>
        <v>3187.5099999999998</v>
      </c>
      <c r="X475" s="160">
        <f>X474-D_Emprunts!$W475</f>
        <v>-790666.08</v>
      </c>
      <c r="Y475">
        <v>468</v>
      </c>
      <c r="Z475" t="str">
        <f t="shared" si="37"/>
        <v>Investissement</v>
      </c>
      <c r="AA475" t="str">
        <f t="shared" si="38"/>
        <v>travaux magasin</v>
      </c>
    </row>
    <row r="476" spans="20:27" x14ac:dyDescent="0.25">
      <c r="T476" s="155">
        <f t="shared" si="35"/>
        <v>58200</v>
      </c>
      <c r="U476" s="164">
        <f t="shared" si="36"/>
        <v>864.41</v>
      </c>
      <c r="V476" s="159">
        <f t="shared" si="39"/>
        <v>-2332.5100000000002</v>
      </c>
      <c r="W476" s="156">
        <f>D_Emprunts!$U476-D_Emprunts!$V476</f>
        <v>3196.92</v>
      </c>
      <c r="X476" s="157">
        <f>X475-D_Emprunts!$W476</f>
        <v>-793863</v>
      </c>
      <c r="Y476">
        <v>469</v>
      </c>
      <c r="Z476" t="str">
        <f t="shared" si="37"/>
        <v>Investissement</v>
      </c>
      <c r="AA476" t="str">
        <f t="shared" si="38"/>
        <v>travaux magasin</v>
      </c>
    </row>
    <row r="477" spans="20:27" x14ac:dyDescent="0.25">
      <c r="T477" s="158">
        <f t="shared" si="35"/>
        <v>58231</v>
      </c>
      <c r="U477" s="164">
        <f t="shared" si="36"/>
        <v>864.41</v>
      </c>
      <c r="V477" s="159">
        <f t="shared" si="39"/>
        <v>-2341.94</v>
      </c>
      <c r="W477" s="159">
        <f>D_Emprunts!$U477-D_Emprunts!$V477</f>
        <v>3206.35</v>
      </c>
      <c r="X477" s="160">
        <f>X476-D_Emprunts!$W477</f>
        <v>-797069.35</v>
      </c>
      <c r="Y477">
        <v>470</v>
      </c>
      <c r="Z477" t="str">
        <f t="shared" si="37"/>
        <v>Investissement</v>
      </c>
      <c r="AA477" t="str">
        <f t="shared" si="38"/>
        <v>travaux magasin</v>
      </c>
    </row>
    <row r="478" spans="20:27" x14ac:dyDescent="0.25">
      <c r="T478" s="155">
        <f t="shared" si="35"/>
        <v>58261</v>
      </c>
      <c r="U478" s="164">
        <f t="shared" si="36"/>
        <v>864.41</v>
      </c>
      <c r="V478" s="159">
        <f t="shared" si="39"/>
        <v>-2351.4</v>
      </c>
      <c r="W478" s="156">
        <f>D_Emprunts!$U478-D_Emprunts!$V478</f>
        <v>3215.81</v>
      </c>
      <c r="X478" s="157">
        <f>X477-D_Emprunts!$W478</f>
        <v>-800285.16</v>
      </c>
      <c r="Y478">
        <v>471</v>
      </c>
      <c r="Z478" t="str">
        <f t="shared" si="37"/>
        <v>Investissement</v>
      </c>
      <c r="AA478" t="str">
        <f t="shared" si="38"/>
        <v>travaux magasin</v>
      </c>
    </row>
    <row r="479" spans="20:27" x14ac:dyDescent="0.25">
      <c r="T479" s="158">
        <f t="shared" si="35"/>
        <v>58292</v>
      </c>
      <c r="U479" s="164">
        <f t="shared" si="36"/>
        <v>864.41</v>
      </c>
      <c r="V479" s="159">
        <f t="shared" si="39"/>
        <v>-2360.88</v>
      </c>
      <c r="W479" s="159">
        <f>D_Emprunts!$U479-D_Emprunts!$V479</f>
        <v>3225.29</v>
      </c>
      <c r="X479" s="160">
        <f>X478-D_Emprunts!$W479</f>
        <v>-803510.45000000007</v>
      </c>
      <c r="Y479">
        <v>472</v>
      </c>
      <c r="Z479" t="str">
        <f t="shared" si="37"/>
        <v>Investissement</v>
      </c>
      <c r="AA479" t="str">
        <f t="shared" si="38"/>
        <v>travaux magasin</v>
      </c>
    </row>
    <row r="480" spans="20:27" x14ac:dyDescent="0.25">
      <c r="T480" s="155">
        <f t="shared" si="35"/>
        <v>58323</v>
      </c>
      <c r="U480" s="164">
        <f t="shared" si="36"/>
        <v>864.41</v>
      </c>
      <c r="V480" s="159">
        <f t="shared" si="39"/>
        <v>-2370.4</v>
      </c>
      <c r="W480" s="156">
        <f>D_Emprunts!$U480-D_Emprunts!$V480</f>
        <v>3234.81</v>
      </c>
      <c r="X480" s="157">
        <f>X479-D_Emprunts!$W480</f>
        <v>-806745.26000000013</v>
      </c>
      <c r="Y480">
        <v>473</v>
      </c>
      <c r="Z480" t="str">
        <f t="shared" si="37"/>
        <v>Investissement</v>
      </c>
      <c r="AA480" t="str">
        <f t="shared" si="38"/>
        <v>travaux magasin</v>
      </c>
    </row>
    <row r="481" spans="20:27" x14ac:dyDescent="0.25">
      <c r="T481" s="158">
        <f t="shared" si="35"/>
        <v>58353</v>
      </c>
      <c r="U481" s="164">
        <f t="shared" si="36"/>
        <v>864.41</v>
      </c>
      <c r="V481" s="159">
        <f t="shared" si="39"/>
        <v>-2379.94</v>
      </c>
      <c r="W481" s="159">
        <f>D_Emprunts!$U481-D_Emprunts!$V481</f>
        <v>3244.35</v>
      </c>
      <c r="X481" s="160">
        <f>X480-D_Emprunts!$W481</f>
        <v>-809989.6100000001</v>
      </c>
      <c r="Y481">
        <v>474</v>
      </c>
      <c r="Z481" t="str">
        <f t="shared" si="37"/>
        <v>Investissement</v>
      </c>
      <c r="AA481" t="str">
        <f t="shared" si="38"/>
        <v>travaux magasin</v>
      </c>
    </row>
    <row r="482" spans="20:27" x14ac:dyDescent="0.25">
      <c r="T482" s="155">
        <f t="shared" si="35"/>
        <v>58384</v>
      </c>
      <c r="U482" s="164">
        <f t="shared" si="36"/>
        <v>864.41</v>
      </c>
      <c r="V482" s="159">
        <f t="shared" si="39"/>
        <v>-2389.5100000000002</v>
      </c>
      <c r="W482" s="156">
        <f>D_Emprunts!$U482-D_Emprunts!$V482</f>
        <v>3253.92</v>
      </c>
      <c r="X482" s="157">
        <f>X481-D_Emprunts!$W482</f>
        <v>-813243.53000000014</v>
      </c>
      <c r="Y482">
        <v>475</v>
      </c>
      <c r="Z482" t="str">
        <f t="shared" si="37"/>
        <v>Investissement</v>
      </c>
      <c r="AA482" t="str">
        <f t="shared" si="38"/>
        <v>travaux magasin</v>
      </c>
    </row>
    <row r="483" spans="20:27" x14ac:dyDescent="0.25">
      <c r="T483" s="158">
        <f t="shared" si="35"/>
        <v>58414</v>
      </c>
      <c r="U483" s="164">
        <f t="shared" si="36"/>
        <v>864.41</v>
      </c>
      <c r="V483" s="159">
        <f t="shared" si="39"/>
        <v>-2399.11</v>
      </c>
      <c r="W483" s="159">
        <f>D_Emprunts!$U483-D_Emprunts!$V483</f>
        <v>3263.52</v>
      </c>
      <c r="X483" s="160">
        <f>X482-D_Emprunts!$W483</f>
        <v>-816507.05000000016</v>
      </c>
      <c r="Y483">
        <v>476</v>
      </c>
      <c r="Z483" t="str">
        <f t="shared" si="37"/>
        <v>Investissement</v>
      </c>
      <c r="AA483" t="str">
        <f t="shared" si="38"/>
        <v>travaux magasin</v>
      </c>
    </row>
    <row r="484" spans="20:27" x14ac:dyDescent="0.25">
      <c r="T484" s="155">
        <f t="shared" si="35"/>
        <v>58445</v>
      </c>
      <c r="U484" s="164">
        <f t="shared" si="36"/>
        <v>864.41</v>
      </c>
      <c r="V484" s="159">
        <f t="shared" si="39"/>
        <v>-2408.7399999999998</v>
      </c>
      <c r="W484" s="156">
        <f>D_Emprunts!$U484-D_Emprunts!$V484</f>
        <v>3273.1499999999996</v>
      </c>
      <c r="X484" s="157">
        <f>X483-D_Emprunts!$W484</f>
        <v>-819780.20000000019</v>
      </c>
      <c r="Y484">
        <v>477</v>
      </c>
      <c r="Z484" t="str">
        <f t="shared" si="37"/>
        <v>Investissement</v>
      </c>
      <c r="AA484" t="str">
        <f t="shared" si="38"/>
        <v>travaux magasin</v>
      </c>
    </row>
    <row r="485" spans="20:27" x14ac:dyDescent="0.25">
      <c r="T485" s="158">
        <f t="shared" si="35"/>
        <v>58476</v>
      </c>
      <c r="U485" s="164">
        <f t="shared" si="36"/>
        <v>864.41</v>
      </c>
      <c r="V485" s="159">
        <f t="shared" si="39"/>
        <v>-2418.39</v>
      </c>
      <c r="W485" s="159">
        <f>D_Emprunts!$U485-D_Emprunts!$V485</f>
        <v>3282.7999999999997</v>
      </c>
      <c r="X485" s="160">
        <f>X484-D_Emprunts!$W485</f>
        <v>-823063.00000000023</v>
      </c>
      <c r="Y485">
        <v>478</v>
      </c>
      <c r="Z485" t="str">
        <f t="shared" si="37"/>
        <v>Investissement</v>
      </c>
      <c r="AA485" t="str">
        <f t="shared" si="38"/>
        <v>travaux magasin</v>
      </c>
    </row>
    <row r="486" spans="20:27" x14ac:dyDescent="0.25">
      <c r="T486" s="155">
        <f t="shared" si="35"/>
        <v>58505</v>
      </c>
      <c r="U486" s="164">
        <f t="shared" si="36"/>
        <v>864.41</v>
      </c>
      <c r="V486" s="159">
        <f t="shared" si="39"/>
        <v>-2428.08</v>
      </c>
      <c r="W486" s="156">
        <f>D_Emprunts!$U486-D_Emprunts!$V486</f>
        <v>3292.49</v>
      </c>
      <c r="X486" s="157">
        <f>X485-D_Emprunts!$W486</f>
        <v>-826355.49000000022</v>
      </c>
      <c r="Y486">
        <v>479</v>
      </c>
      <c r="Z486" t="str">
        <f t="shared" si="37"/>
        <v>Investissement</v>
      </c>
      <c r="AA486" t="str">
        <f t="shared" si="38"/>
        <v>travaux magasin</v>
      </c>
    </row>
    <row r="487" spans="20:27" x14ac:dyDescent="0.25">
      <c r="T487" s="158">
        <f t="shared" si="35"/>
        <v>58536</v>
      </c>
      <c r="U487" s="164">
        <f t="shared" si="36"/>
        <v>864.41</v>
      </c>
      <c r="V487" s="159">
        <f t="shared" si="39"/>
        <v>-2437.79</v>
      </c>
      <c r="W487" s="159">
        <f>D_Emprunts!$U487-D_Emprunts!$V487</f>
        <v>3302.2</v>
      </c>
      <c r="X487" s="160">
        <f>X486-D_Emprunts!$W487</f>
        <v>-829657.69000000018</v>
      </c>
      <c r="Y487">
        <v>480</v>
      </c>
      <c r="Z487" t="str">
        <f t="shared" si="37"/>
        <v>Investissement</v>
      </c>
      <c r="AA487" t="str">
        <f t="shared" si="38"/>
        <v>travaux magasin</v>
      </c>
    </row>
    <row r="488" spans="20:27" x14ac:dyDescent="0.25">
      <c r="T488" s="155">
        <f t="shared" si="35"/>
        <v>58566</v>
      </c>
      <c r="U488" s="164">
        <f t="shared" si="36"/>
        <v>864.41</v>
      </c>
      <c r="V488" s="159">
        <f t="shared" si="39"/>
        <v>-2447.5300000000002</v>
      </c>
      <c r="W488" s="156">
        <f>D_Emprunts!$U488-D_Emprunts!$V488</f>
        <v>3311.94</v>
      </c>
      <c r="X488" s="157">
        <f>X487-D_Emprunts!$W488</f>
        <v>-832969.63000000012</v>
      </c>
      <c r="Y488">
        <v>481</v>
      </c>
      <c r="Z488" t="str">
        <f t="shared" si="37"/>
        <v>Investissement</v>
      </c>
      <c r="AA488" t="str">
        <f t="shared" si="38"/>
        <v>travaux magasin</v>
      </c>
    </row>
    <row r="489" spans="20:27" x14ac:dyDescent="0.25">
      <c r="T489" s="158">
        <f t="shared" si="35"/>
        <v>58597</v>
      </c>
      <c r="U489" s="164">
        <f t="shared" si="36"/>
        <v>864.41</v>
      </c>
      <c r="V489" s="159">
        <f t="shared" si="39"/>
        <v>-2457.3000000000002</v>
      </c>
      <c r="W489" s="159">
        <f>D_Emprunts!$U489-D_Emprunts!$V489</f>
        <v>3321.71</v>
      </c>
      <c r="X489" s="160">
        <f>X488-D_Emprunts!$W489</f>
        <v>-836291.34000000008</v>
      </c>
      <c r="Y489">
        <v>482</v>
      </c>
      <c r="Z489" t="str">
        <f t="shared" si="37"/>
        <v>Investissement</v>
      </c>
      <c r="AA489" t="str">
        <f t="shared" si="38"/>
        <v>travaux magasin</v>
      </c>
    </row>
    <row r="490" spans="20:27" x14ac:dyDescent="0.25">
      <c r="T490" s="155">
        <f t="shared" si="35"/>
        <v>58627</v>
      </c>
      <c r="U490" s="164">
        <f t="shared" si="36"/>
        <v>864.41</v>
      </c>
      <c r="V490" s="159">
        <f t="shared" si="39"/>
        <v>-2467.1</v>
      </c>
      <c r="W490" s="156">
        <f>D_Emprunts!$U490-D_Emprunts!$V490</f>
        <v>3331.5099999999998</v>
      </c>
      <c r="X490" s="157">
        <f>X489-D_Emprunts!$W490</f>
        <v>-839622.85000000009</v>
      </c>
      <c r="Y490">
        <v>483</v>
      </c>
      <c r="Z490" t="str">
        <f t="shared" si="37"/>
        <v>Investissement</v>
      </c>
      <c r="AA490" t="str">
        <f t="shared" si="38"/>
        <v>travaux magasin</v>
      </c>
    </row>
    <row r="491" spans="20:27" x14ac:dyDescent="0.25">
      <c r="T491" s="158">
        <f t="shared" si="35"/>
        <v>58658</v>
      </c>
      <c r="U491" s="164">
        <f t="shared" si="36"/>
        <v>864.41</v>
      </c>
      <c r="V491" s="159">
        <f t="shared" si="39"/>
        <v>-2476.9299999999998</v>
      </c>
      <c r="W491" s="159">
        <f>D_Emprunts!$U491-D_Emprunts!$V491</f>
        <v>3341.3399999999997</v>
      </c>
      <c r="X491" s="160">
        <f>X490-D_Emprunts!$W491</f>
        <v>-842964.19000000006</v>
      </c>
      <c r="Y491">
        <v>484</v>
      </c>
      <c r="Z491" t="str">
        <f t="shared" si="37"/>
        <v>Investissement</v>
      </c>
      <c r="AA491" t="str">
        <f t="shared" si="38"/>
        <v>travaux magasin</v>
      </c>
    </row>
    <row r="492" spans="20:27" x14ac:dyDescent="0.25">
      <c r="T492" s="155">
        <f t="shared" si="35"/>
        <v>58689</v>
      </c>
      <c r="U492" s="164">
        <f t="shared" si="36"/>
        <v>864.41</v>
      </c>
      <c r="V492" s="159">
        <f t="shared" si="39"/>
        <v>-2486.79</v>
      </c>
      <c r="W492" s="156">
        <f>D_Emprunts!$U492-D_Emprunts!$V492</f>
        <v>3351.2</v>
      </c>
      <c r="X492" s="157">
        <f>X491-D_Emprunts!$W492</f>
        <v>-846315.39</v>
      </c>
      <c r="Y492">
        <v>485</v>
      </c>
      <c r="Z492" t="str">
        <f t="shared" si="37"/>
        <v>Investissement</v>
      </c>
      <c r="AA492" t="str">
        <f t="shared" si="38"/>
        <v>travaux magasin</v>
      </c>
    </row>
    <row r="493" spans="20:27" x14ac:dyDescent="0.25">
      <c r="T493" s="158">
        <f t="shared" si="35"/>
        <v>58719</v>
      </c>
      <c r="U493" s="164">
        <f t="shared" si="36"/>
        <v>864.41</v>
      </c>
      <c r="V493" s="159">
        <f t="shared" si="39"/>
        <v>-2496.67</v>
      </c>
      <c r="W493" s="159">
        <f>D_Emprunts!$U493-D_Emprunts!$V493</f>
        <v>3361.08</v>
      </c>
      <c r="X493" s="160">
        <f>X492-D_Emprunts!$W493</f>
        <v>-849676.47</v>
      </c>
      <c r="Y493">
        <v>486</v>
      </c>
      <c r="Z493" t="str">
        <f t="shared" si="37"/>
        <v>Investissement</v>
      </c>
      <c r="AA493" t="str">
        <f t="shared" si="38"/>
        <v>travaux magasin</v>
      </c>
    </row>
    <row r="494" spans="20:27" x14ac:dyDescent="0.25">
      <c r="T494" s="155">
        <f t="shared" si="35"/>
        <v>58750</v>
      </c>
      <c r="U494" s="164">
        <f t="shared" si="36"/>
        <v>864.41</v>
      </c>
      <c r="V494" s="159">
        <f t="shared" si="39"/>
        <v>-2506.59</v>
      </c>
      <c r="W494" s="156">
        <f>D_Emprunts!$U494-D_Emprunts!$V494</f>
        <v>3371</v>
      </c>
      <c r="X494" s="157">
        <f>X493-D_Emprunts!$W494</f>
        <v>-853047.47</v>
      </c>
      <c r="Y494">
        <v>487</v>
      </c>
      <c r="Z494" t="str">
        <f t="shared" si="37"/>
        <v>Investissement</v>
      </c>
      <c r="AA494" t="str">
        <f t="shared" si="38"/>
        <v>travaux magasin</v>
      </c>
    </row>
    <row r="495" spans="20:27" x14ac:dyDescent="0.25">
      <c r="T495" s="158">
        <f t="shared" si="35"/>
        <v>58780</v>
      </c>
      <c r="U495" s="164">
        <f t="shared" si="36"/>
        <v>864.41</v>
      </c>
      <c r="V495" s="159">
        <f t="shared" si="39"/>
        <v>-2516.5300000000002</v>
      </c>
      <c r="W495" s="159">
        <f>D_Emprunts!$U495-D_Emprunts!$V495</f>
        <v>3380.94</v>
      </c>
      <c r="X495" s="160">
        <f>X494-D_Emprunts!$W495</f>
        <v>-856428.40999999992</v>
      </c>
      <c r="Y495">
        <v>488</v>
      </c>
      <c r="Z495" t="str">
        <f t="shared" si="37"/>
        <v>Investissement</v>
      </c>
      <c r="AA495" t="str">
        <f t="shared" si="38"/>
        <v>travaux magasin</v>
      </c>
    </row>
    <row r="496" spans="20:27" x14ac:dyDescent="0.25">
      <c r="T496" s="155">
        <f t="shared" si="35"/>
        <v>58811</v>
      </c>
      <c r="U496" s="164">
        <f t="shared" si="36"/>
        <v>864.41</v>
      </c>
      <c r="V496" s="159">
        <f t="shared" si="39"/>
        <v>-2526.5100000000002</v>
      </c>
      <c r="W496" s="156">
        <f>D_Emprunts!$U496-D_Emprunts!$V496</f>
        <v>3390.92</v>
      </c>
      <c r="X496" s="157">
        <f>X495-D_Emprunts!$W496</f>
        <v>-859819.33</v>
      </c>
      <c r="Y496">
        <v>489</v>
      </c>
      <c r="Z496" t="str">
        <f t="shared" si="37"/>
        <v>Investissement</v>
      </c>
      <c r="AA496" t="str">
        <f t="shared" si="38"/>
        <v>travaux magasin</v>
      </c>
    </row>
    <row r="497" spans="20:27" x14ac:dyDescent="0.25">
      <c r="T497" s="158">
        <f t="shared" si="35"/>
        <v>58842</v>
      </c>
      <c r="U497" s="164">
        <f t="shared" si="36"/>
        <v>864.41</v>
      </c>
      <c r="V497" s="159">
        <f t="shared" si="39"/>
        <v>-2536.5100000000002</v>
      </c>
      <c r="W497" s="159">
        <f>D_Emprunts!$U497-D_Emprunts!$V497</f>
        <v>3400.92</v>
      </c>
      <c r="X497" s="160">
        <f>X496-D_Emprunts!$W497</f>
        <v>-863220.25</v>
      </c>
      <c r="Y497">
        <v>490</v>
      </c>
      <c r="Z497" t="str">
        <f t="shared" si="37"/>
        <v>Investissement</v>
      </c>
      <c r="AA497" t="str">
        <f t="shared" si="38"/>
        <v>travaux magasin</v>
      </c>
    </row>
    <row r="498" spans="20:27" x14ac:dyDescent="0.25">
      <c r="T498" s="155">
        <f t="shared" si="35"/>
        <v>58870</v>
      </c>
      <c r="U498" s="164">
        <f t="shared" si="36"/>
        <v>864.41</v>
      </c>
      <c r="V498" s="159">
        <f t="shared" si="39"/>
        <v>-2546.54</v>
      </c>
      <c r="W498" s="156">
        <f>D_Emprunts!$U498-D_Emprunts!$V498</f>
        <v>3410.95</v>
      </c>
      <c r="X498" s="157">
        <f>X497-D_Emprunts!$W498</f>
        <v>-866631.2</v>
      </c>
      <c r="Y498">
        <v>491</v>
      </c>
      <c r="Z498" t="str">
        <f t="shared" si="37"/>
        <v>Investissement</v>
      </c>
      <c r="AA498" t="str">
        <f t="shared" si="38"/>
        <v>travaux magasin</v>
      </c>
    </row>
    <row r="499" spans="20:27" x14ac:dyDescent="0.25">
      <c r="T499" s="158">
        <f t="shared" si="35"/>
        <v>58901</v>
      </c>
      <c r="U499" s="164">
        <f t="shared" si="36"/>
        <v>864.41</v>
      </c>
      <c r="V499" s="159">
        <f t="shared" si="39"/>
        <v>-2556.61</v>
      </c>
      <c r="W499" s="159">
        <f>D_Emprunts!$U499-D_Emprunts!$V499</f>
        <v>3421.02</v>
      </c>
      <c r="X499" s="160">
        <f>X498-D_Emprunts!$W499</f>
        <v>-870052.22</v>
      </c>
      <c r="Y499">
        <v>492</v>
      </c>
      <c r="Z499" t="str">
        <f t="shared" si="37"/>
        <v>Investissement</v>
      </c>
      <c r="AA499" t="str">
        <f t="shared" si="38"/>
        <v>travaux magasin</v>
      </c>
    </row>
    <row r="500" spans="20:27" x14ac:dyDescent="0.25">
      <c r="T500" s="155">
        <f t="shared" si="35"/>
        <v>58931</v>
      </c>
      <c r="U500" s="164">
        <f t="shared" si="36"/>
        <v>864.41</v>
      </c>
      <c r="V500" s="159">
        <f t="shared" si="39"/>
        <v>-2566.6999999999998</v>
      </c>
      <c r="W500" s="156">
        <f>D_Emprunts!$U500-D_Emprunts!$V500</f>
        <v>3431.1099999999997</v>
      </c>
      <c r="X500" s="157">
        <f>X499-D_Emprunts!$W500</f>
        <v>-873483.33</v>
      </c>
      <c r="Y500">
        <v>493</v>
      </c>
      <c r="Z500" t="str">
        <f t="shared" si="37"/>
        <v>Investissement</v>
      </c>
      <c r="AA500" t="str">
        <f t="shared" si="38"/>
        <v>travaux magasin</v>
      </c>
    </row>
    <row r="501" spans="20:27" x14ac:dyDescent="0.25">
      <c r="T501" s="158">
        <f t="shared" si="35"/>
        <v>58962</v>
      </c>
      <c r="U501" s="164">
        <f t="shared" si="36"/>
        <v>864.41</v>
      </c>
      <c r="V501" s="159">
        <f t="shared" si="39"/>
        <v>-2576.8200000000002</v>
      </c>
      <c r="W501" s="159">
        <f>D_Emprunts!$U501-D_Emprunts!$V501</f>
        <v>3441.23</v>
      </c>
      <c r="X501" s="160">
        <f>X500-D_Emprunts!$W501</f>
        <v>-876924.55999999994</v>
      </c>
      <c r="Y501">
        <v>494</v>
      </c>
      <c r="Z501" t="str">
        <f t="shared" si="37"/>
        <v>Investissement</v>
      </c>
      <c r="AA501" t="str">
        <f t="shared" si="38"/>
        <v>travaux magasin</v>
      </c>
    </row>
    <row r="502" spans="20:27" x14ac:dyDescent="0.25">
      <c r="T502" s="155">
        <f t="shared" si="35"/>
        <v>58992</v>
      </c>
      <c r="U502" s="164">
        <f t="shared" si="36"/>
        <v>864.41</v>
      </c>
      <c r="V502" s="159">
        <f t="shared" si="39"/>
        <v>-2586.9699999999998</v>
      </c>
      <c r="W502" s="156">
        <f>D_Emprunts!$U502-D_Emprunts!$V502</f>
        <v>3451.3799999999997</v>
      </c>
      <c r="X502" s="157">
        <f>X501-D_Emprunts!$W502</f>
        <v>-880375.94</v>
      </c>
      <c r="Y502">
        <v>495</v>
      </c>
      <c r="Z502" t="str">
        <f t="shared" si="37"/>
        <v>Investissement</v>
      </c>
      <c r="AA502" t="str">
        <f t="shared" si="38"/>
        <v>travaux magasin</v>
      </c>
    </row>
    <row r="503" spans="20:27" x14ac:dyDescent="0.25">
      <c r="T503" s="158">
        <f t="shared" si="35"/>
        <v>59023</v>
      </c>
      <c r="U503" s="164">
        <f t="shared" si="36"/>
        <v>864.41</v>
      </c>
      <c r="V503" s="159">
        <f t="shared" si="39"/>
        <v>-2597.15</v>
      </c>
      <c r="W503" s="159">
        <f>D_Emprunts!$U503-D_Emprunts!$V503</f>
        <v>3461.56</v>
      </c>
      <c r="X503" s="160">
        <f>X502-D_Emprunts!$W503</f>
        <v>-883837.5</v>
      </c>
      <c r="Y503">
        <v>496</v>
      </c>
      <c r="Z503" t="str">
        <f t="shared" si="37"/>
        <v>Investissement</v>
      </c>
      <c r="AA503" t="str">
        <f t="shared" si="38"/>
        <v>travaux magasin</v>
      </c>
    </row>
    <row r="504" spans="20:27" x14ac:dyDescent="0.25">
      <c r="T504" s="155">
        <f t="shared" si="35"/>
        <v>59054</v>
      </c>
      <c r="U504" s="164">
        <f t="shared" si="36"/>
        <v>864.41</v>
      </c>
      <c r="V504" s="159">
        <f t="shared" si="39"/>
        <v>-2607.37</v>
      </c>
      <c r="W504" s="156">
        <f>D_Emprunts!$U504-D_Emprunts!$V504</f>
        <v>3471.7799999999997</v>
      </c>
      <c r="X504" s="157">
        <f>X503-D_Emprunts!$W504</f>
        <v>-887309.28</v>
      </c>
      <c r="Y504">
        <v>497</v>
      </c>
      <c r="Z504" t="str">
        <f t="shared" si="37"/>
        <v>Investissement</v>
      </c>
      <c r="AA504" t="str">
        <f t="shared" si="38"/>
        <v>travaux magasin</v>
      </c>
    </row>
    <row r="505" spans="20:27" x14ac:dyDescent="0.25">
      <c r="T505" s="158">
        <f t="shared" si="35"/>
        <v>59084</v>
      </c>
      <c r="U505" s="164">
        <f t="shared" si="36"/>
        <v>864.41</v>
      </c>
      <c r="V505" s="159">
        <f t="shared" si="39"/>
        <v>-2617.61</v>
      </c>
      <c r="W505" s="159">
        <f>D_Emprunts!$U505-D_Emprunts!$V505</f>
        <v>3482.02</v>
      </c>
      <c r="X505" s="160">
        <f>X504-D_Emprunts!$W505</f>
        <v>-890791.3</v>
      </c>
      <c r="Y505">
        <v>498</v>
      </c>
      <c r="Z505" t="str">
        <f t="shared" si="37"/>
        <v>Investissement</v>
      </c>
      <c r="AA505" t="str">
        <f t="shared" si="38"/>
        <v>travaux magasin</v>
      </c>
    </row>
    <row r="506" spans="20:27" x14ac:dyDescent="0.25">
      <c r="T506" s="155">
        <f t="shared" si="35"/>
        <v>59115</v>
      </c>
      <c r="U506" s="164">
        <f t="shared" si="36"/>
        <v>864.41</v>
      </c>
      <c r="V506" s="159">
        <f t="shared" si="39"/>
        <v>-2627.88</v>
      </c>
      <c r="W506" s="156">
        <f>D_Emprunts!$U506-D_Emprunts!$V506</f>
        <v>3492.29</v>
      </c>
      <c r="X506" s="157">
        <f>X505-D_Emprunts!$W506</f>
        <v>-894283.59000000008</v>
      </c>
      <c r="Y506">
        <v>499</v>
      </c>
      <c r="Z506" t="str">
        <f t="shared" si="37"/>
        <v>Investissement</v>
      </c>
      <c r="AA506" t="str">
        <f t="shared" si="38"/>
        <v>travaux magasin</v>
      </c>
    </row>
    <row r="507" spans="20:27" x14ac:dyDescent="0.25">
      <c r="T507" s="158">
        <f t="shared" si="35"/>
        <v>59145</v>
      </c>
      <c r="U507" s="164">
        <f t="shared" si="36"/>
        <v>864.41</v>
      </c>
      <c r="V507" s="159">
        <f t="shared" si="39"/>
        <v>-2638.18</v>
      </c>
      <c r="W507" s="159">
        <f>D_Emprunts!$U507-D_Emprunts!$V507</f>
        <v>3502.5899999999997</v>
      </c>
      <c r="X507" s="160">
        <f>X506-D_Emprunts!$W507</f>
        <v>-897786.18</v>
      </c>
      <c r="Y507">
        <v>500</v>
      </c>
      <c r="Z507" t="str">
        <f t="shared" si="37"/>
        <v>Investissement</v>
      </c>
      <c r="AA507" t="str">
        <f t="shared" si="38"/>
        <v>travaux magasin</v>
      </c>
    </row>
    <row r="508" spans="20:27" x14ac:dyDescent="0.25">
      <c r="T508" s="155">
        <f t="shared" si="35"/>
        <v>59176</v>
      </c>
      <c r="U508" s="164">
        <f t="shared" si="36"/>
        <v>864.41</v>
      </c>
      <c r="V508" s="159">
        <f t="shared" si="39"/>
        <v>-2648.52</v>
      </c>
      <c r="W508" s="156">
        <f>D_Emprunts!$U508-D_Emprunts!$V508</f>
        <v>3512.93</v>
      </c>
      <c r="X508" s="157">
        <f>X507-D_Emprunts!$W508</f>
        <v>-901299.1100000001</v>
      </c>
      <c r="Y508">
        <v>501</v>
      </c>
      <c r="Z508" t="str">
        <f t="shared" si="37"/>
        <v>Investissement</v>
      </c>
      <c r="AA508" t="str">
        <f t="shared" si="38"/>
        <v>travaux magasin</v>
      </c>
    </row>
    <row r="509" spans="20:27" x14ac:dyDescent="0.25">
      <c r="T509" s="158">
        <f t="shared" si="35"/>
        <v>59207</v>
      </c>
      <c r="U509" s="164">
        <f t="shared" si="36"/>
        <v>864.41</v>
      </c>
      <c r="V509" s="159">
        <f t="shared" si="39"/>
        <v>-2658.88</v>
      </c>
      <c r="W509" s="159">
        <f>D_Emprunts!$U509-D_Emprunts!$V509</f>
        <v>3523.29</v>
      </c>
      <c r="X509" s="160">
        <f>X508-D_Emprunts!$W509</f>
        <v>-904822.40000000014</v>
      </c>
      <c r="Y509">
        <v>502</v>
      </c>
      <c r="Z509" t="str">
        <f t="shared" si="37"/>
        <v>Investissement</v>
      </c>
      <c r="AA509" t="str">
        <f t="shared" si="38"/>
        <v>travaux magasin</v>
      </c>
    </row>
    <row r="510" spans="20:27" x14ac:dyDescent="0.25">
      <c r="T510" s="155">
        <f t="shared" si="35"/>
        <v>59235</v>
      </c>
      <c r="U510" s="164">
        <f t="shared" si="36"/>
        <v>864.41</v>
      </c>
      <c r="V510" s="159">
        <f t="shared" si="39"/>
        <v>-2669.27</v>
      </c>
      <c r="W510" s="156">
        <f>D_Emprunts!$U510-D_Emprunts!$V510</f>
        <v>3533.68</v>
      </c>
      <c r="X510" s="157">
        <f>X509-D_Emprunts!$W510</f>
        <v>-908356.08000000019</v>
      </c>
      <c r="Y510">
        <v>503</v>
      </c>
      <c r="Z510" t="str">
        <f t="shared" si="37"/>
        <v>Investissement</v>
      </c>
      <c r="AA510" t="str">
        <f t="shared" si="38"/>
        <v>travaux magasin</v>
      </c>
    </row>
    <row r="511" spans="20:27" x14ac:dyDescent="0.25">
      <c r="T511" s="158">
        <f t="shared" si="35"/>
        <v>59266</v>
      </c>
      <c r="U511" s="164">
        <f t="shared" si="36"/>
        <v>864.41</v>
      </c>
      <c r="V511" s="159">
        <f t="shared" si="39"/>
        <v>-2679.7</v>
      </c>
      <c r="W511" s="159">
        <f>D_Emprunts!$U511-D_Emprunts!$V511</f>
        <v>3544.1099999999997</v>
      </c>
      <c r="X511" s="160">
        <f>X510-D_Emprunts!$W511</f>
        <v>-911900.19000000018</v>
      </c>
      <c r="Y511">
        <v>504</v>
      </c>
      <c r="Z511" t="str">
        <f t="shared" si="37"/>
        <v>Investissement</v>
      </c>
      <c r="AA511" t="str">
        <f t="shared" si="38"/>
        <v>travaux magasin</v>
      </c>
    </row>
    <row r="512" spans="20:27" x14ac:dyDescent="0.25">
      <c r="T512" s="155">
        <f t="shared" si="35"/>
        <v>59296</v>
      </c>
      <c r="U512" s="164">
        <f t="shared" si="36"/>
        <v>864.41</v>
      </c>
      <c r="V512" s="159">
        <f t="shared" si="39"/>
        <v>-2690.15</v>
      </c>
      <c r="W512" s="156">
        <f>D_Emprunts!$U512-D_Emprunts!$V512</f>
        <v>3554.56</v>
      </c>
      <c r="X512" s="157">
        <f>X511-D_Emprunts!$W512</f>
        <v>-915454.75000000023</v>
      </c>
      <c r="Y512">
        <v>505</v>
      </c>
      <c r="Z512" t="str">
        <f t="shared" si="37"/>
        <v>Investissement</v>
      </c>
      <c r="AA512" t="str">
        <f t="shared" si="38"/>
        <v>travaux magasin</v>
      </c>
    </row>
    <row r="513" spans="20:27" x14ac:dyDescent="0.25">
      <c r="T513" s="158">
        <f t="shared" si="35"/>
        <v>59327</v>
      </c>
      <c r="U513" s="164">
        <f t="shared" si="36"/>
        <v>864.41</v>
      </c>
      <c r="V513" s="159">
        <f t="shared" si="39"/>
        <v>-2700.64</v>
      </c>
      <c r="W513" s="159">
        <f>D_Emprunts!$U513-D_Emprunts!$V513</f>
        <v>3565.0499999999997</v>
      </c>
      <c r="X513" s="160">
        <f>X512-D_Emprunts!$W513</f>
        <v>-919019.80000000028</v>
      </c>
      <c r="Y513">
        <v>506</v>
      </c>
      <c r="Z513" t="str">
        <f t="shared" si="37"/>
        <v>Investissement</v>
      </c>
      <c r="AA513" t="str">
        <f t="shared" si="38"/>
        <v>travaux magasin</v>
      </c>
    </row>
    <row r="514" spans="20:27" x14ac:dyDescent="0.25">
      <c r="T514" s="155">
        <f t="shared" si="35"/>
        <v>59357</v>
      </c>
      <c r="U514" s="164">
        <f t="shared" si="36"/>
        <v>864.41</v>
      </c>
      <c r="V514" s="159">
        <f t="shared" si="39"/>
        <v>-2711.16</v>
      </c>
      <c r="W514" s="156">
        <f>D_Emprunts!$U514-D_Emprunts!$V514</f>
        <v>3575.5699999999997</v>
      </c>
      <c r="X514" s="157">
        <f>X513-D_Emprunts!$W514</f>
        <v>-922595.37000000023</v>
      </c>
      <c r="Y514">
        <v>507</v>
      </c>
      <c r="Z514" t="str">
        <f t="shared" si="37"/>
        <v>Investissement</v>
      </c>
      <c r="AA514" t="str">
        <f t="shared" si="38"/>
        <v>travaux magasin</v>
      </c>
    </row>
    <row r="515" spans="20:27" x14ac:dyDescent="0.25">
      <c r="T515" s="158">
        <f t="shared" si="35"/>
        <v>59388</v>
      </c>
      <c r="U515" s="164">
        <f t="shared" si="36"/>
        <v>864.41</v>
      </c>
      <c r="V515" s="159">
        <f t="shared" si="39"/>
        <v>-2721.7</v>
      </c>
      <c r="W515" s="159">
        <f>D_Emprunts!$U515-D_Emprunts!$V515</f>
        <v>3586.1099999999997</v>
      </c>
      <c r="X515" s="160">
        <f>X514-D_Emprunts!$W515</f>
        <v>-926181.48000000021</v>
      </c>
      <c r="Y515">
        <v>508</v>
      </c>
      <c r="Z515" t="str">
        <f t="shared" si="37"/>
        <v>Investissement</v>
      </c>
      <c r="AA515" t="str">
        <f t="shared" si="38"/>
        <v>travaux magasin</v>
      </c>
    </row>
    <row r="516" spans="20:27" x14ac:dyDescent="0.25">
      <c r="T516" s="155">
        <f t="shared" si="35"/>
        <v>59419</v>
      </c>
      <c r="U516" s="164">
        <f t="shared" si="36"/>
        <v>864.41</v>
      </c>
      <c r="V516" s="159">
        <f t="shared" si="39"/>
        <v>-2732.28</v>
      </c>
      <c r="W516" s="156">
        <f>D_Emprunts!$U516-D_Emprunts!$V516</f>
        <v>3596.69</v>
      </c>
      <c r="X516" s="157">
        <f>X515-D_Emprunts!$W516</f>
        <v>-929778.17000000016</v>
      </c>
      <c r="Y516">
        <v>509</v>
      </c>
      <c r="Z516" t="str">
        <f t="shared" si="37"/>
        <v>Investissement</v>
      </c>
      <c r="AA516" t="str">
        <f t="shared" si="38"/>
        <v>travaux magasin</v>
      </c>
    </row>
    <row r="517" spans="20:27" x14ac:dyDescent="0.25">
      <c r="T517" s="158">
        <f t="shared" si="35"/>
        <v>59449</v>
      </c>
      <c r="U517" s="164">
        <f t="shared" si="36"/>
        <v>864.41</v>
      </c>
      <c r="V517" s="159">
        <f t="shared" si="39"/>
        <v>-2742.89</v>
      </c>
      <c r="W517" s="159">
        <f>D_Emprunts!$U517-D_Emprunts!$V517</f>
        <v>3607.2999999999997</v>
      </c>
      <c r="X517" s="160">
        <f>X516-D_Emprunts!$W517</f>
        <v>-933385.4700000002</v>
      </c>
      <c r="Y517">
        <v>510</v>
      </c>
      <c r="Z517" t="str">
        <f t="shared" si="37"/>
        <v>Investissement</v>
      </c>
      <c r="AA517" t="str">
        <f t="shared" si="38"/>
        <v>travaux magasin</v>
      </c>
    </row>
    <row r="518" spans="20:27" x14ac:dyDescent="0.25">
      <c r="T518" s="155">
        <f t="shared" si="35"/>
        <v>59480</v>
      </c>
      <c r="U518" s="164">
        <f t="shared" si="36"/>
        <v>864.41</v>
      </c>
      <c r="V518" s="159">
        <f t="shared" si="39"/>
        <v>-2753.53</v>
      </c>
      <c r="W518" s="156">
        <f>D_Emprunts!$U518-D_Emprunts!$V518</f>
        <v>3617.94</v>
      </c>
      <c r="X518" s="157">
        <f>X517-D_Emprunts!$W518</f>
        <v>-937003.41000000015</v>
      </c>
      <c r="Y518">
        <v>511</v>
      </c>
      <c r="Z518" t="str">
        <f t="shared" si="37"/>
        <v>Investissement</v>
      </c>
      <c r="AA518" t="str">
        <f t="shared" si="38"/>
        <v>travaux magasin</v>
      </c>
    </row>
    <row r="519" spans="20:27" x14ac:dyDescent="0.25">
      <c r="T519" s="158">
        <f t="shared" si="35"/>
        <v>59510</v>
      </c>
      <c r="U519" s="164">
        <f t="shared" si="36"/>
        <v>864.41</v>
      </c>
      <c r="V519" s="159">
        <f t="shared" si="39"/>
        <v>-2764.21</v>
      </c>
      <c r="W519" s="159">
        <f>D_Emprunts!$U519-D_Emprunts!$V519</f>
        <v>3628.62</v>
      </c>
      <c r="X519" s="160">
        <f>X518-D_Emprunts!$W519</f>
        <v>-940632.03000000014</v>
      </c>
      <c r="Y519">
        <v>512</v>
      </c>
      <c r="Z519" t="str">
        <f t="shared" si="37"/>
        <v>Investissement</v>
      </c>
      <c r="AA519" t="str">
        <f t="shared" si="38"/>
        <v>travaux magasin</v>
      </c>
    </row>
    <row r="520" spans="20:27" x14ac:dyDescent="0.25">
      <c r="T520" s="155">
        <f t="shared" ref="T520:T583" si="40">EDATE(T519,1)</f>
        <v>59541</v>
      </c>
      <c r="U520" s="164">
        <f t="shared" si="36"/>
        <v>864.41</v>
      </c>
      <c r="V520" s="159">
        <f t="shared" si="39"/>
        <v>-2774.91</v>
      </c>
      <c r="W520" s="156">
        <f>D_Emprunts!$U520-D_Emprunts!$V520</f>
        <v>3639.3199999999997</v>
      </c>
      <c r="X520" s="157">
        <f>X519-D_Emprunts!$W520</f>
        <v>-944271.35000000009</v>
      </c>
      <c r="Y520">
        <v>513</v>
      </c>
      <c r="Z520" t="str">
        <f t="shared" si="37"/>
        <v>Investissement</v>
      </c>
      <c r="AA520" t="str">
        <f t="shared" si="38"/>
        <v>travaux magasin</v>
      </c>
    </row>
    <row r="521" spans="20:27" x14ac:dyDescent="0.25">
      <c r="T521" s="158">
        <f t="shared" si="40"/>
        <v>59572</v>
      </c>
      <c r="U521" s="164">
        <f t="shared" ref="U521:U584" si="41">$X$4</f>
        <v>864.41</v>
      </c>
      <c r="V521" s="159">
        <f t="shared" si="39"/>
        <v>-2785.65</v>
      </c>
      <c r="W521" s="159">
        <f>D_Emprunts!$U521-D_Emprunts!$V521</f>
        <v>3650.06</v>
      </c>
      <c r="X521" s="160">
        <f>X520-D_Emprunts!$W521</f>
        <v>-947921.41000000015</v>
      </c>
      <c r="Y521">
        <v>514</v>
      </c>
      <c r="Z521" t="str">
        <f t="shared" ref="Z521:Z584" si="42">$Y$4</f>
        <v>Investissement</v>
      </c>
      <c r="AA521" t="str">
        <f t="shared" ref="AA521:AA584" si="43">$Z$4</f>
        <v>travaux magasin</v>
      </c>
    </row>
    <row r="522" spans="20:27" x14ac:dyDescent="0.25">
      <c r="T522" s="155">
        <f t="shared" si="40"/>
        <v>59600</v>
      </c>
      <c r="U522" s="164">
        <f t="shared" si="41"/>
        <v>864.41</v>
      </c>
      <c r="V522" s="159">
        <f t="shared" ref="V522:V585" si="44">ROUND(X521*$V$4/12,2)</f>
        <v>-2796.42</v>
      </c>
      <c r="W522" s="156">
        <f>D_Emprunts!$U522-D_Emprunts!$V522</f>
        <v>3660.83</v>
      </c>
      <c r="X522" s="157">
        <f>X521-D_Emprunts!$W522</f>
        <v>-951582.24000000011</v>
      </c>
      <c r="Y522">
        <v>515</v>
      </c>
      <c r="Z522" t="str">
        <f t="shared" si="42"/>
        <v>Investissement</v>
      </c>
      <c r="AA522" t="str">
        <f t="shared" si="43"/>
        <v>travaux magasin</v>
      </c>
    </row>
    <row r="523" spans="20:27" x14ac:dyDescent="0.25">
      <c r="T523" s="158">
        <f t="shared" si="40"/>
        <v>59631</v>
      </c>
      <c r="U523" s="164">
        <f t="shared" si="41"/>
        <v>864.41</v>
      </c>
      <c r="V523" s="159">
        <f t="shared" si="44"/>
        <v>-2807.22</v>
      </c>
      <c r="W523" s="159">
        <f>D_Emprunts!$U523-D_Emprunts!$V523</f>
        <v>3671.6299999999997</v>
      </c>
      <c r="X523" s="160">
        <f>X522-D_Emprunts!$W523</f>
        <v>-955253.87000000011</v>
      </c>
      <c r="Y523">
        <v>516</v>
      </c>
      <c r="Z523" t="str">
        <f t="shared" si="42"/>
        <v>Investissement</v>
      </c>
      <c r="AA523" t="str">
        <f t="shared" si="43"/>
        <v>travaux magasin</v>
      </c>
    </row>
    <row r="524" spans="20:27" x14ac:dyDescent="0.25">
      <c r="T524" s="155">
        <f t="shared" si="40"/>
        <v>59661</v>
      </c>
      <c r="U524" s="164">
        <f t="shared" si="41"/>
        <v>864.41</v>
      </c>
      <c r="V524" s="159">
        <f t="shared" si="44"/>
        <v>-2818.05</v>
      </c>
      <c r="W524" s="156">
        <f>D_Emprunts!$U524-D_Emprunts!$V524</f>
        <v>3682.46</v>
      </c>
      <c r="X524" s="157">
        <f>X523-D_Emprunts!$W524</f>
        <v>-958936.33000000007</v>
      </c>
      <c r="Y524">
        <v>517</v>
      </c>
      <c r="Z524" t="str">
        <f t="shared" si="42"/>
        <v>Investissement</v>
      </c>
      <c r="AA524" t="str">
        <f t="shared" si="43"/>
        <v>travaux magasin</v>
      </c>
    </row>
    <row r="525" spans="20:27" x14ac:dyDescent="0.25">
      <c r="T525" s="158">
        <f t="shared" si="40"/>
        <v>59692</v>
      </c>
      <c r="U525" s="164">
        <f t="shared" si="41"/>
        <v>864.41</v>
      </c>
      <c r="V525" s="159">
        <f t="shared" si="44"/>
        <v>-2828.91</v>
      </c>
      <c r="W525" s="159">
        <f>D_Emprunts!$U525-D_Emprunts!$V525</f>
        <v>3693.3199999999997</v>
      </c>
      <c r="X525" s="160">
        <f>X524-D_Emprunts!$W525</f>
        <v>-962629.65</v>
      </c>
      <c r="Y525">
        <v>518</v>
      </c>
      <c r="Z525" t="str">
        <f t="shared" si="42"/>
        <v>Investissement</v>
      </c>
      <c r="AA525" t="str">
        <f t="shared" si="43"/>
        <v>travaux magasin</v>
      </c>
    </row>
    <row r="526" spans="20:27" x14ac:dyDescent="0.25">
      <c r="T526" s="155">
        <f t="shared" si="40"/>
        <v>59722</v>
      </c>
      <c r="U526" s="164">
        <f t="shared" si="41"/>
        <v>864.41</v>
      </c>
      <c r="V526" s="159">
        <f t="shared" si="44"/>
        <v>-2839.81</v>
      </c>
      <c r="W526" s="156">
        <f>D_Emprunts!$U526-D_Emprunts!$V526</f>
        <v>3704.22</v>
      </c>
      <c r="X526" s="157">
        <f>X525-D_Emprunts!$W526</f>
        <v>-966333.87</v>
      </c>
      <c r="Y526">
        <v>519</v>
      </c>
      <c r="Z526" t="str">
        <f t="shared" si="42"/>
        <v>Investissement</v>
      </c>
      <c r="AA526" t="str">
        <f t="shared" si="43"/>
        <v>travaux magasin</v>
      </c>
    </row>
    <row r="527" spans="20:27" x14ac:dyDescent="0.25">
      <c r="T527" s="158">
        <f t="shared" si="40"/>
        <v>59753</v>
      </c>
      <c r="U527" s="164">
        <f t="shared" si="41"/>
        <v>864.41</v>
      </c>
      <c r="V527" s="159">
        <f t="shared" si="44"/>
        <v>-2850.73</v>
      </c>
      <c r="W527" s="159">
        <f>D_Emprunts!$U527-D_Emprunts!$V527</f>
        <v>3715.14</v>
      </c>
      <c r="X527" s="160">
        <f>X526-D_Emprunts!$W527</f>
        <v>-970049.01</v>
      </c>
      <c r="Y527">
        <v>520</v>
      </c>
      <c r="Z527" t="str">
        <f t="shared" si="42"/>
        <v>Investissement</v>
      </c>
      <c r="AA527" t="str">
        <f t="shared" si="43"/>
        <v>travaux magasin</v>
      </c>
    </row>
    <row r="528" spans="20:27" x14ac:dyDescent="0.25">
      <c r="T528" s="155">
        <f t="shared" si="40"/>
        <v>59784</v>
      </c>
      <c r="U528" s="164">
        <f t="shared" si="41"/>
        <v>864.41</v>
      </c>
      <c r="V528" s="159">
        <f t="shared" si="44"/>
        <v>-2861.69</v>
      </c>
      <c r="W528" s="156">
        <f>D_Emprunts!$U528-D_Emprunts!$V528</f>
        <v>3726.1</v>
      </c>
      <c r="X528" s="157">
        <f>X527-D_Emprunts!$W528</f>
        <v>-973775.11</v>
      </c>
      <c r="Y528">
        <v>521</v>
      </c>
      <c r="Z528" t="str">
        <f t="shared" si="42"/>
        <v>Investissement</v>
      </c>
      <c r="AA528" t="str">
        <f t="shared" si="43"/>
        <v>travaux magasin</v>
      </c>
    </row>
    <row r="529" spans="20:27" x14ac:dyDescent="0.25">
      <c r="T529" s="158">
        <f t="shared" si="40"/>
        <v>59814</v>
      </c>
      <c r="U529" s="164">
        <f t="shared" si="41"/>
        <v>864.41</v>
      </c>
      <c r="V529" s="159">
        <f t="shared" si="44"/>
        <v>-2872.69</v>
      </c>
      <c r="W529" s="159">
        <f>D_Emprunts!$U529-D_Emprunts!$V529</f>
        <v>3737.1</v>
      </c>
      <c r="X529" s="160">
        <f>X528-D_Emprunts!$W529</f>
        <v>-977512.21</v>
      </c>
      <c r="Y529">
        <v>522</v>
      </c>
      <c r="Z529" t="str">
        <f t="shared" si="42"/>
        <v>Investissement</v>
      </c>
      <c r="AA529" t="str">
        <f t="shared" si="43"/>
        <v>travaux magasin</v>
      </c>
    </row>
    <row r="530" spans="20:27" x14ac:dyDescent="0.25">
      <c r="T530" s="155">
        <f t="shared" si="40"/>
        <v>59845</v>
      </c>
      <c r="U530" s="164">
        <f t="shared" si="41"/>
        <v>864.41</v>
      </c>
      <c r="V530" s="159">
        <f t="shared" si="44"/>
        <v>-2883.71</v>
      </c>
      <c r="W530" s="156">
        <f>D_Emprunts!$U530-D_Emprunts!$V530</f>
        <v>3748.12</v>
      </c>
      <c r="X530" s="157">
        <f>X529-D_Emprunts!$W530</f>
        <v>-981260.33</v>
      </c>
      <c r="Y530">
        <v>523</v>
      </c>
      <c r="Z530" t="str">
        <f t="shared" si="42"/>
        <v>Investissement</v>
      </c>
      <c r="AA530" t="str">
        <f t="shared" si="43"/>
        <v>travaux magasin</v>
      </c>
    </row>
    <row r="531" spans="20:27" x14ac:dyDescent="0.25">
      <c r="T531" s="158">
        <f t="shared" si="40"/>
        <v>59875</v>
      </c>
      <c r="U531" s="164">
        <f t="shared" si="41"/>
        <v>864.41</v>
      </c>
      <c r="V531" s="159">
        <f t="shared" si="44"/>
        <v>-2894.77</v>
      </c>
      <c r="W531" s="159">
        <f>D_Emprunts!$U531-D_Emprunts!$V531</f>
        <v>3759.18</v>
      </c>
      <c r="X531" s="160">
        <f>X530-D_Emprunts!$W531</f>
        <v>-985019.51</v>
      </c>
      <c r="Y531">
        <v>524</v>
      </c>
      <c r="Z531" t="str">
        <f t="shared" si="42"/>
        <v>Investissement</v>
      </c>
      <c r="AA531" t="str">
        <f t="shared" si="43"/>
        <v>travaux magasin</v>
      </c>
    </row>
    <row r="532" spans="20:27" x14ac:dyDescent="0.25">
      <c r="T532" s="155">
        <f t="shared" si="40"/>
        <v>59906</v>
      </c>
      <c r="U532" s="164">
        <f t="shared" si="41"/>
        <v>864.41</v>
      </c>
      <c r="V532" s="159">
        <f t="shared" si="44"/>
        <v>-2905.86</v>
      </c>
      <c r="W532" s="156">
        <f>D_Emprunts!$U532-D_Emprunts!$V532</f>
        <v>3770.27</v>
      </c>
      <c r="X532" s="157">
        <f>X531-D_Emprunts!$W532</f>
        <v>-988789.78</v>
      </c>
      <c r="Y532">
        <v>525</v>
      </c>
      <c r="Z532" t="str">
        <f t="shared" si="42"/>
        <v>Investissement</v>
      </c>
      <c r="AA532" t="str">
        <f t="shared" si="43"/>
        <v>travaux magasin</v>
      </c>
    </row>
    <row r="533" spans="20:27" x14ac:dyDescent="0.25">
      <c r="T533" s="158">
        <f t="shared" si="40"/>
        <v>59937</v>
      </c>
      <c r="U533" s="164">
        <f t="shared" si="41"/>
        <v>864.41</v>
      </c>
      <c r="V533" s="159">
        <f t="shared" si="44"/>
        <v>-2916.98</v>
      </c>
      <c r="W533" s="159">
        <f>D_Emprunts!$U533-D_Emprunts!$V533</f>
        <v>3781.39</v>
      </c>
      <c r="X533" s="160">
        <f>X532-D_Emprunts!$W533</f>
        <v>-992571.17</v>
      </c>
      <c r="Y533">
        <v>526</v>
      </c>
      <c r="Z533" t="str">
        <f t="shared" si="42"/>
        <v>Investissement</v>
      </c>
      <c r="AA533" t="str">
        <f t="shared" si="43"/>
        <v>travaux magasin</v>
      </c>
    </row>
    <row r="534" spans="20:27" x14ac:dyDescent="0.25">
      <c r="T534" s="155">
        <f t="shared" si="40"/>
        <v>59966</v>
      </c>
      <c r="U534" s="164">
        <f t="shared" si="41"/>
        <v>864.41</v>
      </c>
      <c r="V534" s="159">
        <f t="shared" si="44"/>
        <v>-2928.14</v>
      </c>
      <c r="W534" s="156">
        <f>D_Emprunts!$U534-D_Emprunts!$V534</f>
        <v>3792.5499999999997</v>
      </c>
      <c r="X534" s="157">
        <f>X533-D_Emprunts!$W534</f>
        <v>-996363.72000000009</v>
      </c>
      <c r="Y534">
        <v>527</v>
      </c>
      <c r="Z534" t="str">
        <f t="shared" si="42"/>
        <v>Investissement</v>
      </c>
      <c r="AA534" t="str">
        <f t="shared" si="43"/>
        <v>travaux magasin</v>
      </c>
    </row>
    <row r="535" spans="20:27" x14ac:dyDescent="0.25">
      <c r="T535" s="158">
        <f t="shared" si="40"/>
        <v>59997</v>
      </c>
      <c r="U535" s="164">
        <f t="shared" si="41"/>
        <v>864.41</v>
      </c>
      <c r="V535" s="159">
        <f t="shared" si="44"/>
        <v>-2939.32</v>
      </c>
      <c r="W535" s="159">
        <f>D_Emprunts!$U535-D_Emprunts!$V535</f>
        <v>3803.73</v>
      </c>
      <c r="X535" s="160">
        <f>X534-D_Emprunts!$W535</f>
        <v>-1000167.4500000001</v>
      </c>
      <c r="Y535">
        <v>528</v>
      </c>
      <c r="Z535" t="str">
        <f t="shared" si="42"/>
        <v>Investissement</v>
      </c>
      <c r="AA535" t="str">
        <f t="shared" si="43"/>
        <v>travaux magasin</v>
      </c>
    </row>
    <row r="536" spans="20:27" x14ac:dyDescent="0.25">
      <c r="T536" s="155">
        <f t="shared" si="40"/>
        <v>60027</v>
      </c>
      <c r="U536" s="164">
        <f t="shared" si="41"/>
        <v>864.41</v>
      </c>
      <c r="V536" s="159">
        <f t="shared" si="44"/>
        <v>-2950.55</v>
      </c>
      <c r="W536" s="156">
        <f>D_Emprunts!$U536-D_Emprunts!$V536</f>
        <v>3814.96</v>
      </c>
      <c r="X536" s="157">
        <f>X535-D_Emprunts!$W536</f>
        <v>-1003982.41</v>
      </c>
      <c r="Y536">
        <v>529</v>
      </c>
      <c r="Z536" t="str">
        <f t="shared" si="42"/>
        <v>Investissement</v>
      </c>
      <c r="AA536" t="str">
        <f t="shared" si="43"/>
        <v>travaux magasin</v>
      </c>
    </row>
    <row r="537" spans="20:27" x14ac:dyDescent="0.25">
      <c r="T537" s="158">
        <f t="shared" si="40"/>
        <v>60058</v>
      </c>
      <c r="U537" s="164">
        <f t="shared" si="41"/>
        <v>864.41</v>
      </c>
      <c r="V537" s="159">
        <f t="shared" si="44"/>
        <v>-2961.8</v>
      </c>
      <c r="W537" s="159">
        <f>D_Emprunts!$U537-D_Emprunts!$V537</f>
        <v>3826.21</v>
      </c>
      <c r="X537" s="160">
        <f>X536-D_Emprunts!$W537</f>
        <v>-1007808.62</v>
      </c>
      <c r="Y537">
        <v>530</v>
      </c>
      <c r="Z537" t="str">
        <f t="shared" si="42"/>
        <v>Investissement</v>
      </c>
      <c r="AA537" t="str">
        <f t="shared" si="43"/>
        <v>travaux magasin</v>
      </c>
    </row>
    <row r="538" spans="20:27" x14ac:dyDescent="0.25">
      <c r="T538" s="155">
        <f t="shared" si="40"/>
        <v>60088</v>
      </c>
      <c r="U538" s="164">
        <f t="shared" si="41"/>
        <v>864.41</v>
      </c>
      <c r="V538" s="159">
        <f t="shared" si="44"/>
        <v>-2973.09</v>
      </c>
      <c r="W538" s="156">
        <f>D_Emprunts!$U538-D_Emprunts!$V538</f>
        <v>3837.5</v>
      </c>
      <c r="X538" s="157">
        <f>X537-D_Emprunts!$W538</f>
        <v>-1011646.12</v>
      </c>
      <c r="Y538">
        <v>531</v>
      </c>
      <c r="Z538" t="str">
        <f t="shared" si="42"/>
        <v>Investissement</v>
      </c>
      <c r="AA538" t="str">
        <f t="shared" si="43"/>
        <v>travaux magasin</v>
      </c>
    </row>
    <row r="539" spans="20:27" x14ac:dyDescent="0.25">
      <c r="T539" s="158">
        <f t="shared" si="40"/>
        <v>60119</v>
      </c>
      <c r="U539" s="164">
        <f t="shared" si="41"/>
        <v>864.41</v>
      </c>
      <c r="V539" s="159">
        <f t="shared" si="44"/>
        <v>-2984.41</v>
      </c>
      <c r="W539" s="159">
        <f>D_Emprunts!$U539-D_Emprunts!$V539</f>
        <v>3848.8199999999997</v>
      </c>
      <c r="X539" s="160">
        <f>X538-D_Emprunts!$W539</f>
        <v>-1015494.94</v>
      </c>
      <c r="Y539">
        <v>532</v>
      </c>
      <c r="Z539" t="str">
        <f t="shared" si="42"/>
        <v>Investissement</v>
      </c>
      <c r="AA539" t="str">
        <f t="shared" si="43"/>
        <v>travaux magasin</v>
      </c>
    </row>
    <row r="540" spans="20:27" x14ac:dyDescent="0.25">
      <c r="T540" s="155">
        <f t="shared" si="40"/>
        <v>60150</v>
      </c>
      <c r="U540" s="164">
        <f t="shared" si="41"/>
        <v>864.41</v>
      </c>
      <c r="V540" s="159">
        <f t="shared" si="44"/>
        <v>-2995.76</v>
      </c>
      <c r="W540" s="156">
        <f>D_Emprunts!$U540-D_Emprunts!$V540</f>
        <v>3860.17</v>
      </c>
      <c r="X540" s="157">
        <f>X539-D_Emprunts!$W540</f>
        <v>-1019355.11</v>
      </c>
      <c r="Y540">
        <v>533</v>
      </c>
      <c r="Z540" t="str">
        <f t="shared" si="42"/>
        <v>Investissement</v>
      </c>
      <c r="AA540" t="str">
        <f t="shared" si="43"/>
        <v>travaux magasin</v>
      </c>
    </row>
    <row r="541" spans="20:27" x14ac:dyDescent="0.25">
      <c r="T541" s="158">
        <f t="shared" si="40"/>
        <v>60180</v>
      </c>
      <c r="U541" s="164">
        <f t="shared" si="41"/>
        <v>864.41</v>
      </c>
      <c r="V541" s="159">
        <f t="shared" si="44"/>
        <v>-3007.15</v>
      </c>
      <c r="W541" s="159">
        <f>D_Emprunts!$U541-D_Emprunts!$V541</f>
        <v>3871.56</v>
      </c>
      <c r="X541" s="160">
        <f>X540-D_Emprunts!$W541</f>
        <v>-1023226.67</v>
      </c>
      <c r="Y541">
        <v>534</v>
      </c>
      <c r="Z541" t="str">
        <f t="shared" si="42"/>
        <v>Investissement</v>
      </c>
      <c r="AA541" t="str">
        <f t="shared" si="43"/>
        <v>travaux magasin</v>
      </c>
    </row>
    <row r="542" spans="20:27" x14ac:dyDescent="0.25">
      <c r="T542" s="155">
        <f t="shared" si="40"/>
        <v>60211</v>
      </c>
      <c r="U542" s="164">
        <f t="shared" si="41"/>
        <v>864.41</v>
      </c>
      <c r="V542" s="159">
        <f t="shared" si="44"/>
        <v>-3018.57</v>
      </c>
      <c r="W542" s="156">
        <f>D_Emprunts!$U542-D_Emprunts!$V542</f>
        <v>3882.98</v>
      </c>
      <c r="X542" s="157">
        <f>X541-D_Emprunts!$W542</f>
        <v>-1027109.65</v>
      </c>
      <c r="Y542">
        <v>535</v>
      </c>
      <c r="Z542" t="str">
        <f t="shared" si="42"/>
        <v>Investissement</v>
      </c>
      <c r="AA542" t="str">
        <f t="shared" si="43"/>
        <v>travaux magasin</v>
      </c>
    </row>
    <row r="543" spans="20:27" x14ac:dyDescent="0.25">
      <c r="T543" s="158">
        <f t="shared" si="40"/>
        <v>60241</v>
      </c>
      <c r="U543" s="164">
        <f t="shared" si="41"/>
        <v>864.41</v>
      </c>
      <c r="V543" s="159">
        <f t="shared" si="44"/>
        <v>-3030.03</v>
      </c>
      <c r="W543" s="159">
        <f>D_Emprunts!$U543-D_Emprunts!$V543</f>
        <v>3894.44</v>
      </c>
      <c r="X543" s="160">
        <f>X542-D_Emprunts!$W543</f>
        <v>-1031004.09</v>
      </c>
      <c r="Y543">
        <v>536</v>
      </c>
      <c r="Z543" t="str">
        <f t="shared" si="42"/>
        <v>Investissement</v>
      </c>
      <c r="AA543" t="str">
        <f t="shared" si="43"/>
        <v>travaux magasin</v>
      </c>
    </row>
    <row r="544" spans="20:27" x14ac:dyDescent="0.25">
      <c r="T544" s="155">
        <f t="shared" si="40"/>
        <v>60272</v>
      </c>
      <c r="U544" s="164">
        <f t="shared" si="41"/>
        <v>864.41</v>
      </c>
      <c r="V544" s="159">
        <f t="shared" si="44"/>
        <v>-3041.51</v>
      </c>
      <c r="W544" s="156">
        <f>D_Emprunts!$U544-D_Emprunts!$V544</f>
        <v>3905.92</v>
      </c>
      <c r="X544" s="157">
        <f>X543-D_Emprunts!$W544</f>
        <v>-1034910.01</v>
      </c>
      <c r="Y544">
        <v>537</v>
      </c>
      <c r="Z544" t="str">
        <f t="shared" si="42"/>
        <v>Investissement</v>
      </c>
      <c r="AA544" t="str">
        <f t="shared" si="43"/>
        <v>travaux magasin</v>
      </c>
    </row>
    <row r="545" spans="20:27" x14ac:dyDescent="0.25">
      <c r="T545" s="158">
        <f t="shared" si="40"/>
        <v>60303</v>
      </c>
      <c r="U545" s="164">
        <f t="shared" si="41"/>
        <v>864.41</v>
      </c>
      <c r="V545" s="159">
        <f t="shared" si="44"/>
        <v>-3053.04</v>
      </c>
      <c r="W545" s="159">
        <f>D_Emprunts!$U545-D_Emprunts!$V545</f>
        <v>3917.45</v>
      </c>
      <c r="X545" s="160">
        <f>X544-D_Emprunts!$W545</f>
        <v>-1038827.46</v>
      </c>
      <c r="Y545">
        <v>538</v>
      </c>
      <c r="Z545" t="str">
        <f t="shared" si="42"/>
        <v>Investissement</v>
      </c>
      <c r="AA545" t="str">
        <f t="shared" si="43"/>
        <v>travaux magasin</v>
      </c>
    </row>
    <row r="546" spans="20:27" x14ac:dyDescent="0.25">
      <c r="T546" s="155">
        <f t="shared" si="40"/>
        <v>60331</v>
      </c>
      <c r="U546" s="164">
        <f t="shared" si="41"/>
        <v>864.41</v>
      </c>
      <c r="V546" s="159">
        <f t="shared" si="44"/>
        <v>-3064.59</v>
      </c>
      <c r="W546" s="156">
        <f>D_Emprunts!$U546-D_Emprunts!$V546</f>
        <v>3929</v>
      </c>
      <c r="X546" s="157">
        <f>X545-D_Emprunts!$W546</f>
        <v>-1042756.46</v>
      </c>
      <c r="Y546">
        <v>539</v>
      </c>
      <c r="Z546" t="str">
        <f t="shared" si="42"/>
        <v>Investissement</v>
      </c>
      <c r="AA546" t="str">
        <f t="shared" si="43"/>
        <v>travaux magasin</v>
      </c>
    </row>
    <row r="547" spans="20:27" x14ac:dyDescent="0.25">
      <c r="T547" s="158">
        <f t="shared" si="40"/>
        <v>60362</v>
      </c>
      <c r="U547" s="164">
        <f t="shared" si="41"/>
        <v>864.41</v>
      </c>
      <c r="V547" s="159">
        <f t="shared" si="44"/>
        <v>-3076.18</v>
      </c>
      <c r="W547" s="159">
        <f>D_Emprunts!$U547-D_Emprunts!$V547</f>
        <v>3940.5899999999997</v>
      </c>
      <c r="X547" s="160">
        <f>X546-D_Emprunts!$W547</f>
        <v>-1046697.0499999999</v>
      </c>
      <c r="Y547">
        <v>540</v>
      </c>
      <c r="Z547" t="str">
        <f t="shared" si="42"/>
        <v>Investissement</v>
      </c>
      <c r="AA547" t="str">
        <f t="shared" si="43"/>
        <v>travaux magasin</v>
      </c>
    </row>
    <row r="548" spans="20:27" x14ac:dyDescent="0.25">
      <c r="T548" s="155">
        <f t="shared" si="40"/>
        <v>60392</v>
      </c>
      <c r="U548" s="164">
        <f t="shared" si="41"/>
        <v>864.41</v>
      </c>
      <c r="V548" s="159">
        <f t="shared" si="44"/>
        <v>-3087.81</v>
      </c>
      <c r="W548" s="156">
        <f>D_Emprunts!$U548-D_Emprunts!$V548</f>
        <v>3952.22</v>
      </c>
      <c r="X548" s="157">
        <f>X547-D_Emprunts!$W548</f>
        <v>-1050649.27</v>
      </c>
      <c r="Y548">
        <v>541</v>
      </c>
      <c r="Z548" t="str">
        <f t="shared" si="42"/>
        <v>Investissement</v>
      </c>
      <c r="AA548" t="str">
        <f t="shared" si="43"/>
        <v>travaux magasin</v>
      </c>
    </row>
    <row r="549" spans="20:27" x14ac:dyDescent="0.25">
      <c r="T549" s="158">
        <f t="shared" si="40"/>
        <v>60423</v>
      </c>
      <c r="U549" s="164">
        <f t="shared" si="41"/>
        <v>864.41</v>
      </c>
      <c r="V549" s="159">
        <f t="shared" si="44"/>
        <v>-3099.47</v>
      </c>
      <c r="W549" s="159">
        <f>D_Emprunts!$U549-D_Emprunts!$V549</f>
        <v>3963.8799999999997</v>
      </c>
      <c r="X549" s="160">
        <f>X548-D_Emprunts!$W549</f>
        <v>-1054613.1499999999</v>
      </c>
      <c r="Y549">
        <v>542</v>
      </c>
      <c r="Z549" t="str">
        <f t="shared" si="42"/>
        <v>Investissement</v>
      </c>
      <c r="AA549" t="str">
        <f t="shared" si="43"/>
        <v>travaux magasin</v>
      </c>
    </row>
    <row r="550" spans="20:27" x14ac:dyDescent="0.25">
      <c r="T550" s="155">
        <f t="shared" si="40"/>
        <v>60453</v>
      </c>
      <c r="U550" s="164">
        <f t="shared" si="41"/>
        <v>864.41</v>
      </c>
      <c r="V550" s="159">
        <f t="shared" si="44"/>
        <v>-3111.16</v>
      </c>
      <c r="W550" s="156">
        <f>D_Emprunts!$U550-D_Emprunts!$V550</f>
        <v>3975.5699999999997</v>
      </c>
      <c r="X550" s="157">
        <f>X549-D_Emprunts!$W550</f>
        <v>-1058588.72</v>
      </c>
      <c r="Y550">
        <v>543</v>
      </c>
      <c r="Z550" t="str">
        <f t="shared" si="42"/>
        <v>Investissement</v>
      </c>
      <c r="AA550" t="str">
        <f t="shared" si="43"/>
        <v>travaux magasin</v>
      </c>
    </row>
    <row r="551" spans="20:27" x14ac:dyDescent="0.25">
      <c r="T551" s="158">
        <f t="shared" si="40"/>
        <v>60484</v>
      </c>
      <c r="U551" s="164">
        <f t="shared" si="41"/>
        <v>864.41</v>
      </c>
      <c r="V551" s="159">
        <f t="shared" si="44"/>
        <v>-3122.89</v>
      </c>
      <c r="W551" s="159">
        <f>D_Emprunts!$U551-D_Emprunts!$V551</f>
        <v>3987.2999999999997</v>
      </c>
      <c r="X551" s="160">
        <f>X550-D_Emprunts!$W551</f>
        <v>-1062576.02</v>
      </c>
      <c r="Y551">
        <v>544</v>
      </c>
      <c r="Z551" t="str">
        <f t="shared" si="42"/>
        <v>Investissement</v>
      </c>
      <c r="AA551" t="str">
        <f t="shared" si="43"/>
        <v>travaux magasin</v>
      </c>
    </row>
    <row r="552" spans="20:27" x14ac:dyDescent="0.25">
      <c r="T552" s="155">
        <f t="shared" si="40"/>
        <v>60515</v>
      </c>
      <c r="U552" s="164">
        <f t="shared" si="41"/>
        <v>864.41</v>
      </c>
      <c r="V552" s="159">
        <f t="shared" si="44"/>
        <v>-3134.65</v>
      </c>
      <c r="W552" s="156">
        <f>D_Emprunts!$U552-D_Emprunts!$V552</f>
        <v>3999.06</v>
      </c>
      <c r="X552" s="157">
        <f>X551-D_Emprunts!$W552</f>
        <v>-1066575.08</v>
      </c>
      <c r="Y552">
        <v>545</v>
      </c>
      <c r="Z552" t="str">
        <f t="shared" si="42"/>
        <v>Investissement</v>
      </c>
      <c r="AA552" t="str">
        <f t="shared" si="43"/>
        <v>travaux magasin</v>
      </c>
    </row>
    <row r="553" spans="20:27" x14ac:dyDescent="0.25">
      <c r="T553" s="158">
        <f t="shared" si="40"/>
        <v>60545</v>
      </c>
      <c r="U553" s="164">
        <f t="shared" si="41"/>
        <v>864.41</v>
      </c>
      <c r="V553" s="159">
        <f t="shared" si="44"/>
        <v>-3146.45</v>
      </c>
      <c r="W553" s="159">
        <f>D_Emprunts!$U553-D_Emprunts!$V553</f>
        <v>4010.8599999999997</v>
      </c>
      <c r="X553" s="160">
        <f>X552-D_Emprunts!$W553</f>
        <v>-1070585.9400000002</v>
      </c>
      <c r="Y553">
        <v>546</v>
      </c>
      <c r="Z553" t="str">
        <f t="shared" si="42"/>
        <v>Investissement</v>
      </c>
      <c r="AA553" t="str">
        <f t="shared" si="43"/>
        <v>travaux magasin</v>
      </c>
    </row>
    <row r="554" spans="20:27" x14ac:dyDescent="0.25">
      <c r="T554" s="155">
        <f t="shared" si="40"/>
        <v>60576</v>
      </c>
      <c r="U554" s="164">
        <f t="shared" si="41"/>
        <v>864.41</v>
      </c>
      <c r="V554" s="159">
        <f t="shared" si="44"/>
        <v>-3158.28</v>
      </c>
      <c r="W554" s="156">
        <f>D_Emprunts!$U554-D_Emprunts!$V554</f>
        <v>4022.69</v>
      </c>
      <c r="X554" s="157">
        <f>X553-D_Emprunts!$W554</f>
        <v>-1074608.6300000001</v>
      </c>
      <c r="Y554">
        <v>547</v>
      </c>
      <c r="Z554" t="str">
        <f t="shared" si="42"/>
        <v>Investissement</v>
      </c>
      <c r="AA554" t="str">
        <f t="shared" si="43"/>
        <v>travaux magasin</v>
      </c>
    </row>
    <row r="555" spans="20:27" x14ac:dyDescent="0.25">
      <c r="T555" s="158">
        <f t="shared" si="40"/>
        <v>60606</v>
      </c>
      <c r="U555" s="164">
        <f t="shared" si="41"/>
        <v>864.41</v>
      </c>
      <c r="V555" s="159">
        <f t="shared" si="44"/>
        <v>-3170.15</v>
      </c>
      <c r="W555" s="159">
        <f>D_Emprunts!$U555-D_Emprunts!$V555</f>
        <v>4034.56</v>
      </c>
      <c r="X555" s="160">
        <f>X554-D_Emprunts!$W555</f>
        <v>-1078643.1900000002</v>
      </c>
      <c r="Y555">
        <v>548</v>
      </c>
      <c r="Z555" t="str">
        <f t="shared" si="42"/>
        <v>Investissement</v>
      </c>
      <c r="AA555" t="str">
        <f t="shared" si="43"/>
        <v>travaux magasin</v>
      </c>
    </row>
    <row r="556" spans="20:27" x14ac:dyDescent="0.25">
      <c r="T556" s="155">
        <f t="shared" si="40"/>
        <v>60637</v>
      </c>
      <c r="U556" s="164">
        <f t="shared" si="41"/>
        <v>864.41</v>
      </c>
      <c r="V556" s="159">
        <f t="shared" si="44"/>
        <v>-3182.05</v>
      </c>
      <c r="W556" s="156">
        <f>D_Emprunts!$U556-D_Emprunts!$V556</f>
        <v>4046.46</v>
      </c>
      <c r="X556" s="157">
        <f>X555-D_Emprunts!$W556</f>
        <v>-1082689.6500000001</v>
      </c>
      <c r="Y556">
        <v>549</v>
      </c>
      <c r="Z556" t="str">
        <f t="shared" si="42"/>
        <v>Investissement</v>
      </c>
      <c r="AA556" t="str">
        <f t="shared" si="43"/>
        <v>travaux magasin</v>
      </c>
    </row>
    <row r="557" spans="20:27" x14ac:dyDescent="0.25">
      <c r="T557" s="158">
        <f t="shared" si="40"/>
        <v>60668</v>
      </c>
      <c r="U557" s="164">
        <f t="shared" si="41"/>
        <v>864.41</v>
      </c>
      <c r="V557" s="159">
        <f t="shared" si="44"/>
        <v>-3193.99</v>
      </c>
      <c r="W557" s="159">
        <f>D_Emprunts!$U557-D_Emprunts!$V557</f>
        <v>4058.3999999999996</v>
      </c>
      <c r="X557" s="160">
        <f>X556-D_Emprunts!$W557</f>
        <v>-1086748.05</v>
      </c>
      <c r="Y557">
        <v>550</v>
      </c>
      <c r="Z557" t="str">
        <f t="shared" si="42"/>
        <v>Investissement</v>
      </c>
      <c r="AA557" t="str">
        <f t="shared" si="43"/>
        <v>travaux magasin</v>
      </c>
    </row>
    <row r="558" spans="20:27" x14ac:dyDescent="0.25">
      <c r="T558" s="155">
        <f t="shared" si="40"/>
        <v>60696</v>
      </c>
      <c r="U558" s="164">
        <f t="shared" si="41"/>
        <v>864.41</v>
      </c>
      <c r="V558" s="159">
        <f t="shared" si="44"/>
        <v>-3205.96</v>
      </c>
      <c r="W558" s="156">
        <f>D_Emprunts!$U558-D_Emprunts!$V558</f>
        <v>4070.37</v>
      </c>
      <c r="X558" s="157">
        <f>X557-D_Emprunts!$W558</f>
        <v>-1090818.4200000002</v>
      </c>
      <c r="Y558">
        <v>551</v>
      </c>
      <c r="Z558" t="str">
        <f t="shared" si="42"/>
        <v>Investissement</v>
      </c>
      <c r="AA558" t="str">
        <f t="shared" si="43"/>
        <v>travaux magasin</v>
      </c>
    </row>
    <row r="559" spans="20:27" x14ac:dyDescent="0.25">
      <c r="T559" s="158">
        <f t="shared" si="40"/>
        <v>60727</v>
      </c>
      <c r="U559" s="164">
        <f t="shared" si="41"/>
        <v>864.41</v>
      </c>
      <c r="V559" s="159">
        <f t="shared" si="44"/>
        <v>-3217.97</v>
      </c>
      <c r="W559" s="159">
        <f>D_Emprunts!$U559-D_Emprunts!$V559</f>
        <v>4082.3799999999997</v>
      </c>
      <c r="X559" s="160">
        <f>X558-D_Emprunts!$W559</f>
        <v>-1094900.8</v>
      </c>
      <c r="Y559">
        <v>552</v>
      </c>
      <c r="Z559" t="str">
        <f t="shared" si="42"/>
        <v>Investissement</v>
      </c>
      <c r="AA559" t="str">
        <f t="shared" si="43"/>
        <v>travaux magasin</v>
      </c>
    </row>
    <row r="560" spans="20:27" x14ac:dyDescent="0.25">
      <c r="T560" s="155">
        <f t="shared" si="40"/>
        <v>60757</v>
      </c>
      <c r="U560" s="164">
        <f t="shared" si="41"/>
        <v>864.41</v>
      </c>
      <c r="V560" s="159">
        <f t="shared" si="44"/>
        <v>-3230.01</v>
      </c>
      <c r="W560" s="156">
        <f>D_Emprunts!$U560-D_Emprunts!$V560</f>
        <v>4094.42</v>
      </c>
      <c r="X560" s="157">
        <f>X559-D_Emprunts!$W560</f>
        <v>-1098995.22</v>
      </c>
      <c r="Y560">
        <v>553</v>
      </c>
      <c r="Z560" t="str">
        <f t="shared" si="42"/>
        <v>Investissement</v>
      </c>
      <c r="AA560" t="str">
        <f t="shared" si="43"/>
        <v>travaux magasin</v>
      </c>
    </row>
    <row r="561" spans="20:27" x14ac:dyDescent="0.25">
      <c r="T561" s="158">
        <f t="shared" si="40"/>
        <v>60788</v>
      </c>
      <c r="U561" s="164">
        <f t="shared" si="41"/>
        <v>864.41</v>
      </c>
      <c r="V561" s="159">
        <f t="shared" si="44"/>
        <v>-3242.09</v>
      </c>
      <c r="W561" s="159">
        <f>D_Emprunts!$U561-D_Emprunts!$V561</f>
        <v>4106.5</v>
      </c>
      <c r="X561" s="160">
        <f>X560-D_Emprunts!$W561</f>
        <v>-1103101.72</v>
      </c>
      <c r="Y561">
        <v>554</v>
      </c>
      <c r="Z561" t="str">
        <f t="shared" si="42"/>
        <v>Investissement</v>
      </c>
      <c r="AA561" t="str">
        <f t="shared" si="43"/>
        <v>travaux magasin</v>
      </c>
    </row>
    <row r="562" spans="20:27" x14ac:dyDescent="0.25">
      <c r="T562" s="155">
        <f t="shared" si="40"/>
        <v>60818</v>
      </c>
      <c r="U562" s="164">
        <f t="shared" si="41"/>
        <v>864.41</v>
      </c>
      <c r="V562" s="159">
        <f t="shared" si="44"/>
        <v>-3254.21</v>
      </c>
      <c r="W562" s="156">
        <f>D_Emprunts!$U562-D_Emprunts!$V562</f>
        <v>4118.62</v>
      </c>
      <c r="X562" s="157">
        <f>X561-D_Emprunts!$W562</f>
        <v>-1107220.3400000001</v>
      </c>
      <c r="Y562">
        <v>555</v>
      </c>
      <c r="Z562" t="str">
        <f t="shared" si="42"/>
        <v>Investissement</v>
      </c>
      <c r="AA562" t="str">
        <f t="shared" si="43"/>
        <v>travaux magasin</v>
      </c>
    </row>
    <row r="563" spans="20:27" x14ac:dyDescent="0.25">
      <c r="T563" s="158">
        <f t="shared" si="40"/>
        <v>60849</v>
      </c>
      <c r="U563" s="164">
        <f t="shared" si="41"/>
        <v>864.41</v>
      </c>
      <c r="V563" s="159">
        <f t="shared" si="44"/>
        <v>-3266.36</v>
      </c>
      <c r="W563" s="159">
        <f>D_Emprunts!$U563-D_Emprunts!$V563</f>
        <v>4130.7700000000004</v>
      </c>
      <c r="X563" s="160">
        <f>X562-D_Emprunts!$W563</f>
        <v>-1111351.1100000001</v>
      </c>
      <c r="Y563">
        <v>556</v>
      </c>
      <c r="Z563" t="str">
        <f t="shared" si="42"/>
        <v>Investissement</v>
      </c>
      <c r="AA563" t="str">
        <f t="shared" si="43"/>
        <v>travaux magasin</v>
      </c>
    </row>
    <row r="564" spans="20:27" x14ac:dyDescent="0.25">
      <c r="T564" s="155">
        <f t="shared" si="40"/>
        <v>60880</v>
      </c>
      <c r="U564" s="164">
        <f t="shared" si="41"/>
        <v>864.41</v>
      </c>
      <c r="V564" s="159">
        <f t="shared" si="44"/>
        <v>-3278.54</v>
      </c>
      <c r="W564" s="156">
        <f>D_Emprunts!$U564-D_Emprunts!$V564</f>
        <v>4142.95</v>
      </c>
      <c r="X564" s="157">
        <f>X563-D_Emprunts!$W564</f>
        <v>-1115494.06</v>
      </c>
      <c r="Y564">
        <v>557</v>
      </c>
      <c r="Z564" t="str">
        <f t="shared" si="42"/>
        <v>Investissement</v>
      </c>
      <c r="AA564" t="str">
        <f t="shared" si="43"/>
        <v>travaux magasin</v>
      </c>
    </row>
    <row r="565" spans="20:27" x14ac:dyDescent="0.25">
      <c r="T565" s="158">
        <f t="shared" si="40"/>
        <v>60910</v>
      </c>
      <c r="U565" s="164">
        <f t="shared" si="41"/>
        <v>864.41</v>
      </c>
      <c r="V565" s="159">
        <f t="shared" si="44"/>
        <v>-3290.76</v>
      </c>
      <c r="W565" s="159">
        <f>D_Emprunts!$U565-D_Emprunts!$V565</f>
        <v>4155.17</v>
      </c>
      <c r="X565" s="160">
        <f>X564-D_Emprunts!$W565</f>
        <v>-1119649.23</v>
      </c>
      <c r="Y565">
        <v>558</v>
      </c>
      <c r="Z565" t="str">
        <f t="shared" si="42"/>
        <v>Investissement</v>
      </c>
      <c r="AA565" t="str">
        <f t="shared" si="43"/>
        <v>travaux magasin</v>
      </c>
    </row>
    <row r="566" spans="20:27" x14ac:dyDescent="0.25">
      <c r="T566" s="155">
        <f t="shared" si="40"/>
        <v>60941</v>
      </c>
      <c r="U566" s="164">
        <f t="shared" si="41"/>
        <v>864.41</v>
      </c>
      <c r="V566" s="159">
        <f t="shared" si="44"/>
        <v>-3303.02</v>
      </c>
      <c r="W566" s="156">
        <f>D_Emprunts!$U566-D_Emprunts!$V566</f>
        <v>4167.43</v>
      </c>
      <c r="X566" s="157">
        <f>X565-D_Emprunts!$W566</f>
        <v>-1123816.6599999999</v>
      </c>
      <c r="Y566">
        <v>559</v>
      </c>
      <c r="Z566" t="str">
        <f t="shared" si="42"/>
        <v>Investissement</v>
      </c>
      <c r="AA566" t="str">
        <f t="shared" si="43"/>
        <v>travaux magasin</v>
      </c>
    </row>
    <row r="567" spans="20:27" x14ac:dyDescent="0.25">
      <c r="T567" s="158">
        <f t="shared" si="40"/>
        <v>60971</v>
      </c>
      <c r="U567" s="164">
        <f t="shared" si="41"/>
        <v>864.41</v>
      </c>
      <c r="V567" s="159">
        <f t="shared" si="44"/>
        <v>-3315.32</v>
      </c>
      <c r="W567" s="159">
        <f>D_Emprunts!$U567-D_Emprunts!$V567</f>
        <v>4179.7300000000005</v>
      </c>
      <c r="X567" s="160">
        <f>X566-D_Emprunts!$W567</f>
        <v>-1127996.3899999999</v>
      </c>
      <c r="Y567">
        <v>560</v>
      </c>
      <c r="Z567" t="str">
        <f t="shared" si="42"/>
        <v>Investissement</v>
      </c>
      <c r="AA567" t="str">
        <f t="shared" si="43"/>
        <v>travaux magasin</v>
      </c>
    </row>
    <row r="568" spans="20:27" x14ac:dyDescent="0.25">
      <c r="T568" s="155">
        <f t="shared" si="40"/>
        <v>61002</v>
      </c>
      <c r="U568" s="164">
        <f t="shared" si="41"/>
        <v>864.41</v>
      </c>
      <c r="V568" s="159">
        <f t="shared" si="44"/>
        <v>-3327.65</v>
      </c>
      <c r="W568" s="156">
        <f>D_Emprunts!$U568-D_Emprunts!$V568</f>
        <v>4192.0600000000004</v>
      </c>
      <c r="X568" s="157">
        <f>X567-D_Emprunts!$W568</f>
        <v>-1132188.45</v>
      </c>
      <c r="Y568">
        <v>561</v>
      </c>
      <c r="Z568" t="str">
        <f t="shared" si="42"/>
        <v>Investissement</v>
      </c>
      <c r="AA568" t="str">
        <f t="shared" si="43"/>
        <v>travaux magasin</v>
      </c>
    </row>
    <row r="569" spans="20:27" x14ac:dyDescent="0.25">
      <c r="T569" s="158">
        <f t="shared" si="40"/>
        <v>61033</v>
      </c>
      <c r="U569" s="164">
        <f t="shared" si="41"/>
        <v>864.41</v>
      </c>
      <c r="V569" s="159">
        <f t="shared" si="44"/>
        <v>-3340.01</v>
      </c>
      <c r="W569" s="159">
        <f>D_Emprunts!$U569-D_Emprunts!$V569</f>
        <v>4204.42</v>
      </c>
      <c r="X569" s="160">
        <f>X568-D_Emprunts!$W569</f>
        <v>-1136392.8699999999</v>
      </c>
      <c r="Y569">
        <v>562</v>
      </c>
      <c r="Z569" t="str">
        <f t="shared" si="42"/>
        <v>Investissement</v>
      </c>
      <c r="AA569" t="str">
        <f t="shared" si="43"/>
        <v>travaux magasin</v>
      </c>
    </row>
    <row r="570" spans="20:27" x14ac:dyDescent="0.25">
      <c r="T570" s="155">
        <f t="shared" si="40"/>
        <v>61061</v>
      </c>
      <c r="U570" s="164">
        <f t="shared" si="41"/>
        <v>864.41</v>
      </c>
      <c r="V570" s="159">
        <f t="shared" si="44"/>
        <v>-3352.42</v>
      </c>
      <c r="W570" s="156">
        <f>D_Emprunts!$U570-D_Emprunts!$V570</f>
        <v>4216.83</v>
      </c>
      <c r="X570" s="157">
        <f>X569-D_Emprunts!$W570</f>
        <v>-1140609.7</v>
      </c>
      <c r="Y570">
        <v>563</v>
      </c>
      <c r="Z570" t="str">
        <f t="shared" si="42"/>
        <v>Investissement</v>
      </c>
      <c r="AA570" t="str">
        <f t="shared" si="43"/>
        <v>travaux magasin</v>
      </c>
    </row>
    <row r="571" spans="20:27" x14ac:dyDescent="0.25">
      <c r="T571" s="158">
        <f t="shared" si="40"/>
        <v>61092</v>
      </c>
      <c r="U571" s="164">
        <f t="shared" si="41"/>
        <v>864.41</v>
      </c>
      <c r="V571" s="159">
        <f t="shared" si="44"/>
        <v>-3364.86</v>
      </c>
      <c r="W571" s="159">
        <f>D_Emprunts!$U571-D_Emprunts!$V571</f>
        <v>4229.2700000000004</v>
      </c>
      <c r="X571" s="160">
        <f>X570-D_Emprunts!$W571</f>
        <v>-1144838.97</v>
      </c>
      <c r="Y571">
        <v>564</v>
      </c>
      <c r="Z571" t="str">
        <f t="shared" si="42"/>
        <v>Investissement</v>
      </c>
      <c r="AA571" t="str">
        <f t="shared" si="43"/>
        <v>travaux magasin</v>
      </c>
    </row>
    <row r="572" spans="20:27" x14ac:dyDescent="0.25">
      <c r="T572" s="155">
        <f t="shared" si="40"/>
        <v>61122</v>
      </c>
      <c r="U572" s="164">
        <f t="shared" si="41"/>
        <v>864.41</v>
      </c>
      <c r="V572" s="159">
        <f t="shared" si="44"/>
        <v>-3377.33</v>
      </c>
      <c r="W572" s="156">
        <f>D_Emprunts!$U572-D_Emprunts!$V572</f>
        <v>4241.74</v>
      </c>
      <c r="X572" s="157">
        <f>X571-D_Emprunts!$W572</f>
        <v>-1149080.71</v>
      </c>
      <c r="Y572">
        <v>565</v>
      </c>
      <c r="Z572" t="str">
        <f t="shared" si="42"/>
        <v>Investissement</v>
      </c>
      <c r="AA572" t="str">
        <f t="shared" si="43"/>
        <v>travaux magasin</v>
      </c>
    </row>
    <row r="573" spans="20:27" x14ac:dyDescent="0.25">
      <c r="T573" s="158">
        <f t="shared" si="40"/>
        <v>61153</v>
      </c>
      <c r="U573" s="164">
        <f t="shared" si="41"/>
        <v>864.41</v>
      </c>
      <c r="V573" s="159">
        <f t="shared" si="44"/>
        <v>-3389.85</v>
      </c>
      <c r="W573" s="159">
        <f>D_Emprunts!$U573-D_Emprunts!$V573</f>
        <v>4254.26</v>
      </c>
      <c r="X573" s="160">
        <f>X572-D_Emprunts!$W573</f>
        <v>-1153334.97</v>
      </c>
      <c r="Y573">
        <v>566</v>
      </c>
      <c r="Z573" t="str">
        <f t="shared" si="42"/>
        <v>Investissement</v>
      </c>
      <c r="AA573" t="str">
        <f t="shared" si="43"/>
        <v>travaux magasin</v>
      </c>
    </row>
    <row r="574" spans="20:27" x14ac:dyDescent="0.25">
      <c r="T574" s="155">
        <f t="shared" si="40"/>
        <v>61183</v>
      </c>
      <c r="U574" s="164">
        <f t="shared" si="41"/>
        <v>864.41</v>
      </c>
      <c r="V574" s="159">
        <f t="shared" si="44"/>
        <v>-3402.4</v>
      </c>
      <c r="W574" s="156">
        <f>D_Emprunts!$U574-D_Emprunts!$V574</f>
        <v>4266.8100000000004</v>
      </c>
      <c r="X574" s="157">
        <f>X573-D_Emprunts!$W574</f>
        <v>-1157601.78</v>
      </c>
      <c r="Y574">
        <v>567</v>
      </c>
      <c r="Z574" t="str">
        <f t="shared" si="42"/>
        <v>Investissement</v>
      </c>
      <c r="AA574" t="str">
        <f t="shared" si="43"/>
        <v>travaux magasin</v>
      </c>
    </row>
    <row r="575" spans="20:27" x14ac:dyDescent="0.25">
      <c r="T575" s="158">
        <f t="shared" si="40"/>
        <v>61214</v>
      </c>
      <c r="U575" s="164">
        <f t="shared" si="41"/>
        <v>864.41</v>
      </c>
      <c r="V575" s="159">
        <f t="shared" si="44"/>
        <v>-3414.98</v>
      </c>
      <c r="W575" s="159">
        <f>D_Emprunts!$U575-D_Emprunts!$V575</f>
        <v>4279.3900000000003</v>
      </c>
      <c r="X575" s="160">
        <f>X574-D_Emprunts!$W575</f>
        <v>-1161881.17</v>
      </c>
      <c r="Y575">
        <v>568</v>
      </c>
      <c r="Z575" t="str">
        <f t="shared" si="42"/>
        <v>Investissement</v>
      </c>
      <c r="AA575" t="str">
        <f t="shared" si="43"/>
        <v>travaux magasin</v>
      </c>
    </row>
    <row r="576" spans="20:27" x14ac:dyDescent="0.25">
      <c r="T576" s="155">
        <f t="shared" si="40"/>
        <v>61245</v>
      </c>
      <c r="U576" s="164">
        <f t="shared" si="41"/>
        <v>864.41</v>
      </c>
      <c r="V576" s="159">
        <f t="shared" si="44"/>
        <v>-3427.61</v>
      </c>
      <c r="W576" s="156">
        <f>D_Emprunts!$U576-D_Emprunts!$V576</f>
        <v>4292.0200000000004</v>
      </c>
      <c r="X576" s="157">
        <f>X575-D_Emprunts!$W576</f>
        <v>-1166173.19</v>
      </c>
      <c r="Y576">
        <v>569</v>
      </c>
      <c r="Z576" t="str">
        <f t="shared" si="42"/>
        <v>Investissement</v>
      </c>
      <c r="AA576" t="str">
        <f t="shared" si="43"/>
        <v>travaux magasin</v>
      </c>
    </row>
    <row r="577" spans="20:27" x14ac:dyDescent="0.25">
      <c r="T577" s="158">
        <f t="shared" si="40"/>
        <v>61275</v>
      </c>
      <c r="U577" s="164">
        <f t="shared" si="41"/>
        <v>864.41</v>
      </c>
      <c r="V577" s="159">
        <f t="shared" si="44"/>
        <v>-3440.27</v>
      </c>
      <c r="W577" s="159">
        <f>D_Emprunts!$U577-D_Emprunts!$V577</f>
        <v>4304.68</v>
      </c>
      <c r="X577" s="160">
        <f>X576-D_Emprunts!$W577</f>
        <v>-1170477.8699999999</v>
      </c>
      <c r="Y577">
        <v>570</v>
      </c>
      <c r="Z577" t="str">
        <f t="shared" si="42"/>
        <v>Investissement</v>
      </c>
      <c r="AA577" t="str">
        <f t="shared" si="43"/>
        <v>travaux magasin</v>
      </c>
    </row>
    <row r="578" spans="20:27" x14ac:dyDescent="0.25">
      <c r="T578" s="155">
        <f t="shared" si="40"/>
        <v>61306</v>
      </c>
      <c r="U578" s="164">
        <f t="shared" si="41"/>
        <v>864.41</v>
      </c>
      <c r="V578" s="159">
        <f t="shared" si="44"/>
        <v>-3452.97</v>
      </c>
      <c r="W578" s="156">
        <f>D_Emprunts!$U578-D_Emprunts!$V578</f>
        <v>4317.38</v>
      </c>
      <c r="X578" s="157">
        <f>X577-D_Emprunts!$W578</f>
        <v>-1174795.2499999998</v>
      </c>
      <c r="Y578">
        <v>571</v>
      </c>
      <c r="Z578" t="str">
        <f t="shared" si="42"/>
        <v>Investissement</v>
      </c>
      <c r="AA578" t="str">
        <f t="shared" si="43"/>
        <v>travaux magasin</v>
      </c>
    </row>
    <row r="579" spans="20:27" x14ac:dyDescent="0.25">
      <c r="T579" s="158">
        <f t="shared" si="40"/>
        <v>61336</v>
      </c>
      <c r="U579" s="164">
        <f t="shared" si="41"/>
        <v>864.41</v>
      </c>
      <c r="V579" s="159">
        <f t="shared" si="44"/>
        <v>-3465.71</v>
      </c>
      <c r="W579" s="159">
        <f>D_Emprunts!$U579-D_Emprunts!$V579</f>
        <v>4330.12</v>
      </c>
      <c r="X579" s="160">
        <f>X578-D_Emprunts!$W579</f>
        <v>-1179125.3699999999</v>
      </c>
      <c r="Y579">
        <v>572</v>
      </c>
      <c r="Z579" t="str">
        <f t="shared" si="42"/>
        <v>Investissement</v>
      </c>
      <c r="AA579" t="str">
        <f t="shared" si="43"/>
        <v>travaux magasin</v>
      </c>
    </row>
    <row r="580" spans="20:27" x14ac:dyDescent="0.25">
      <c r="T580" s="155">
        <f t="shared" si="40"/>
        <v>61367</v>
      </c>
      <c r="U580" s="164">
        <f t="shared" si="41"/>
        <v>864.41</v>
      </c>
      <c r="V580" s="159">
        <f t="shared" si="44"/>
        <v>-3478.48</v>
      </c>
      <c r="W580" s="156">
        <f>D_Emprunts!$U580-D_Emprunts!$V580</f>
        <v>4342.8900000000003</v>
      </c>
      <c r="X580" s="157">
        <f>X579-D_Emprunts!$W580</f>
        <v>-1183468.2599999998</v>
      </c>
      <c r="Y580">
        <v>573</v>
      </c>
      <c r="Z580" t="str">
        <f t="shared" si="42"/>
        <v>Investissement</v>
      </c>
      <c r="AA580" t="str">
        <f t="shared" si="43"/>
        <v>travaux magasin</v>
      </c>
    </row>
    <row r="581" spans="20:27" x14ac:dyDescent="0.25">
      <c r="T581" s="158">
        <f t="shared" si="40"/>
        <v>61398</v>
      </c>
      <c r="U581" s="164">
        <f t="shared" si="41"/>
        <v>864.41</v>
      </c>
      <c r="V581" s="159">
        <f t="shared" si="44"/>
        <v>-3491.29</v>
      </c>
      <c r="W581" s="159">
        <f>D_Emprunts!$U581-D_Emprunts!$V581</f>
        <v>4355.7</v>
      </c>
      <c r="X581" s="160">
        <f>X580-D_Emprunts!$W581</f>
        <v>-1187823.9599999997</v>
      </c>
      <c r="Y581">
        <v>574</v>
      </c>
      <c r="Z581" t="str">
        <f t="shared" si="42"/>
        <v>Investissement</v>
      </c>
      <c r="AA581" t="str">
        <f t="shared" si="43"/>
        <v>travaux magasin</v>
      </c>
    </row>
    <row r="582" spans="20:27" x14ac:dyDescent="0.25">
      <c r="T582" s="155">
        <f t="shared" si="40"/>
        <v>61427</v>
      </c>
      <c r="U582" s="164">
        <f t="shared" si="41"/>
        <v>864.41</v>
      </c>
      <c r="V582" s="159">
        <f t="shared" si="44"/>
        <v>-3504.14</v>
      </c>
      <c r="W582" s="156">
        <f>D_Emprunts!$U582-D_Emprunts!$V582</f>
        <v>4368.55</v>
      </c>
      <c r="X582" s="157">
        <f>X581-D_Emprunts!$W582</f>
        <v>-1192192.5099999998</v>
      </c>
      <c r="Y582">
        <v>575</v>
      </c>
      <c r="Z582" t="str">
        <f t="shared" si="42"/>
        <v>Investissement</v>
      </c>
      <c r="AA582" t="str">
        <f t="shared" si="43"/>
        <v>travaux magasin</v>
      </c>
    </row>
    <row r="583" spans="20:27" x14ac:dyDescent="0.25">
      <c r="T583" s="158">
        <f t="shared" si="40"/>
        <v>61458</v>
      </c>
      <c r="U583" s="164">
        <f t="shared" si="41"/>
        <v>864.41</v>
      </c>
      <c r="V583" s="159">
        <f t="shared" si="44"/>
        <v>-3517.03</v>
      </c>
      <c r="W583" s="159">
        <f>D_Emprunts!$U583-D_Emprunts!$V583</f>
        <v>4381.4400000000005</v>
      </c>
      <c r="X583" s="160">
        <f>X582-D_Emprunts!$W583</f>
        <v>-1196573.9499999997</v>
      </c>
      <c r="Y583">
        <v>576</v>
      </c>
      <c r="Z583" t="str">
        <f t="shared" si="42"/>
        <v>Investissement</v>
      </c>
      <c r="AA583" t="str">
        <f t="shared" si="43"/>
        <v>travaux magasin</v>
      </c>
    </row>
    <row r="584" spans="20:27" x14ac:dyDescent="0.25">
      <c r="T584" s="155">
        <f t="shared" ref="T584:T647" si="45">EDATE(T583,1)</f>
        <v>61488</v>
      </c>
      <c r="U584" s="164">
        <f t="shared" si="41"/>
        <v>864.41</v>
      </c>
      <c r="V584" s="159">
        <f t="shared" si="44"/>
        <v>-3529.95</v>
      </c>
      <c r="W584" s="156">
        <f>D_Emprunts!$U584-D_Emprunts!$V584</f>
        <v>4394.3599999999997</v>
      </c>
      <c r="X584" s="157">
        <f>X583-D_Emprunts!$W584</f>
        <v>-1200968.3099999998</v>
      </c>
      <c r="Y584">
        <v>577</v>
      </c>
      <c r="Z584" t="str">
        <f t="shared" si="42"/>
        <v>Investissement</v>
      </c>
      <c r="AA584" t="str">
        <f t="shared" si="43"/>
        <v>travaux magasin</v>
      </c>
    </row>
    <row r="585" spans="20:27" x14ac:dyDescent="0.25">
      <c r="T585" s="158">
        <f t="shared" si="45"/>
        <v>61519</v>
      </c>
      <c r="U585" s="164">
        <f t="shared" ref="U585:U648" si="46">$X$4</f>
        <v>864.41</v>
      </c>
      <c r="V585" s="159">
        <f t="shared" si="44"/>
        <v>-3542.92</v>
      </c>
      <c r="W585" s="159">
        <f>D_Emprunts!$U585-D_Emprunts!$V585</f>
        <v>4407.33</v>
      </c>
      <c r="X585" s="160">
        <f>X584-D_Emprunts!$W585</f>
        <v>-1205375.6399999999</v>
      </c>
      <c r="Y585">
        <v>578</v>
      </c>
      <c r="Z585" t="str">
        <f t="shared" ref="Z585:Z648" si="47">$Y$4</f>
        <v>Investissement</v>
      </c>
      <c r="AA585" t="str">
        <f t="shared" ref="AA585:AA648" si="48">$Z$4</f>
        <v>travaux magasin</v>
      </c>
    </row>
    <row r="586" spans="20:27" x14ac:dyDescent="0.25">
      <c r="T586" s="155">
        <f t="shared" si="45"/>
        <v>61549</v>
      </c>
      <c r="U586" s="164">
        <f t="shared" si="46"/>
        <v>864.41</v>
      </c>
      <c r="V586" s="159">
        <f t="shared" ref="V586:V649" si="49">ROUND(X585*$V$4/12,2)</f>
        <v>-3555.92</v>
      </c>
      <c r="W586" s="156">
        <f>D_Emprunts!$U586-D_Emprunts!$V586</f>
        <v>4420.33</v>
      </c>
      <c r="X586" s="157">
        <f>X585-D_Emprunts!$W586</f>
        <v>-1209795.97</v>
      </c>
      <c r="Y586">
        <v>579</v>
      </c>
      <c r="Z586" t="str">
        <f t="shared" si="47"/>
        <v>Investissement</v>
      </c>
      <c r="AA586" t="str">
        <f t="shared" si="48"/>
        <v>travaux magasin</v>
      </c>
    </row>
    <row r="587" spans="20:27" x14ac:dyDescent="0.25">
      <c r="T587" s="158">
        <f t="shared" si="45"/>
        <v>61580</v>
      </c>
      <c r="U587" s="164">
        <f t="shared" si="46"/>
        <v>864.41</v>
      </c>
      <c r="V587" s="159">
        <f t="shared" si="49"/>
        <v>-3568.96</v>
      </c>
      <c r="W587" s="159">
        <f>D_Emprunts!$U587-D_Emprunts!$V587</f>
        <v>4433.37</v>
      </c>
      <c r="X587" s="160">
        <f>X586-D_Emprunts!$W587</f>
        <v>-1214229.3400000001</v>
      </c>
      <c r="Y587">
        <v>580</v>
      </c>
      <c r="Z587" t="str">
        <f t="shared" si="47"/>
        <v>Investissement</v>
      </c>
      <c r="AA587" t="str">
        <f t="shared" si="48"/>
        <v>travaux magasin</v>
      </c>
    </row>
    <row r="588" spans="20:27" x14ac:dyDescent="0.25">
      <c r="T588" s="155">
        <f t="shared" si="45"/>
        <v>61611</v>
      </c>
      <c r="U588" s="164">
        <f t="shared" si="46"/>
        <v>864.41</v>
      </c>
      <c r="V588" s="159">
        <f t="shared" si="49"/>
        <v>-3582.04</v>
      </c>
      <c r="W588" s="156">
        <f>D_Emprunts!$U588-D_Emprunts!$V588</f>
        <v>4446.45</v>
      </c>
      <c r="X588" s="157">
        <f>X587-D_Emprunts!$W588</f>
        <v>-1218675.79</v>
      </c>
      <c r="Y588">
        <v>581</v>
      </c>
      <c r="Z588" t="str">
        <f t="shared" si="47"/>
        <v>Investissement</v>
      </c>
      <c r="AA588" t="str">
        <f t="shared" si="48"/>
        <v>travaux magasin</v>
      </c>
    </row>
    <row r="589" spans="20:27" x14ac:dyDescent="0.25">
      <c r="T589" s="158">
        <f t="shared" si="45"/>
        <v>61641</v>
      </c>
      <c r="U589" s="164">
        <f t="shared" si="46"/>
        <v>864.41</v>
      </c>
      <c r="V589" s="159">
        <f t="shared" si="49"/>
        <v>-3595.16</v>
      </c>
      <c r="W589" s="159">
        <f>D_Emprunts!$U589-D_Emprunts!$V589</f>
        <v>4459.57</v>
      </c>
      <c r="X589" s="160">
        <f>X588-D_Emprunts!$W589</f>
        <v>-1223135.3600000001</v>
      </c>
      <c r="Y589">
        <v>582</v>
      </c>
      <c r="Z589" t="str">
        <f t="shared" si="47"/>
        <v>Investissement</v>
      </c>
      <c r="AA589" t="str">
        <f t="shared" si="48"/>
        <v>travaux magasin</v>
      </c>
    </row>
    <row r="590" spans="20:27" x14ac:dyDescent="0.25">
      <c r="T590" s="155">
        <f t="shared" si="45"/>
        <v>61672</v>
      </c>
      <c r="U590" s="164">
        <f t="shared" si="46"/>
        <v>864.41</v>
      </c>
      <c r="V590" s="159">
        <f t="shared" si="49"/>
        <v>-3608.31</v>
      </c>
      <c r="W590" s="156">
        <f>D_Emprunts!$U590-D_Emprunts!$V590</f>
        <v>4472.72</v>
      </c>
      <c r="X590" s="157">
        <f>X589-D_Emprunts!$W590</f>
        <v>-1227608.08</v>
      </c>
      <c r="Y590">
        <v>583</v>
      </c>
      <c r="Z590" t="str">
        <f t="shared" si="47"/>
        <v>Investissement</v>
      </c>
      <c r="AA590" t="str">
        <f t="shared" si="48"/>
        <v>travaux magasin</v>
      </c>
    </row>
    <row r="591" spans="20:27" x14ac:dyDescent="0.25">
      <c r="T591" s="158">
        <f t="shared" si="45"/>
        <v>61702</v>
      </c>
      <c r="U591" s="164">
        <f t="shared" si="46"/>
        <v>864.41</v>
      </c>
      <c r="V591" s="159">
        <f t="shared" si="49"/>
        <v>-3621.51</v>
      </c>
      <c r="W591" s="159">
        <f>D_Emprunts!$U591-D_Emprunts!$V591</f>
        <v>4485.92</v>
      </c>
      <c r="X591" s="160">
        <f>X590-D_Emprunts!$W591</f>
        <v>-1232094</v>
      </c>
      <c r="Y591">
        <v>584</v>
      </c>
      <c r="Z591" t="str">
        <f t="shared" si="47"/>
        <v>Investissement</v>
      </c>
      <c r="AA591" t="str">
        <f t="shared" si="48"/>
        <v>travaux magasin</v>
      </c>
    </row>
    <row r="592" spans="20:27" x14ac:dyDescent="0.25">
      <c r="T592" s="155">
        <f t="shared" si="45"/>
        <v>61733</v>
      </c>
      <c r="U592" s="164">
        <f t="shared" si="46"/>
        <v>864.41</v>
      </c>
      <c r="V592" s="159">
        <f t="shared" si="49"/>
        <v>-3634.74</v>
      </c>
      <c r="W592" s="156">
        <f>D_Emprunts!$U592-D_Emprunts!$V592</f>
        <v>4499.1499999999996</v>
      </c>
      <c r="X592" s="157">
        <f>X591-D_Emprunts!$W592</f>
        <v>-1236593.1499999999</v>
      </c>
      <c r="Y592">
        <v>585</v>
      </c>
      <c r="Z592" t="str">
        <f t="shared" si="47"/>
        <v>Investissement</v>
      </c>
      <c r="AA592" t="str">
        <f t="shared" si="48"/>
        <v>travaux magasin</v>
      </c>
    </row>
    <row r="593" spans="20:27" x14ac:dyDescent="0.25">
      <c r="T593" s="158">
        <f t="shared" si="45"/>
        <v>61764</v>
      </c>
      <c r="U593" s="164">
        <f t="shared" si="46"/>
        <v>864.41</v>
      </c>
      <c r="V593" s="159">
        <f t="shared" si="49"/>
        <v>-3648.01</v>
      </c>
      <c r="W593" s="159">
        <f>D_Emprunts!$U593-D_Emprunts!$V593</f>
        <v>4512.42</v>
      </c>
      <c r="X593" s="160">
        <f>X592-D_Emprunts!$W593</f>
        <v>-1241105.5699999998</v>
      </c>
      <c r="Y593">
        <v>586</v>
      </c>
      <c r="Z593" t="str">
        <f t="shared" si="47"/>
        <v>Investissement</v>
      </c>
      <c r="AA593" t="str">
        <f t="shared" si="48"/>
        <v>travaux magasin</v>
      </c>
    </row>
    <row r="594" spans="20:27" x14ac:dyDescent="0.25">
      <c r="T594" s="155">
        <f t="shared" si="45"/>
        <v>61792</v>
      </c>
      <c r="U594" s="164">
        <f t="shared" si="46"/>
        <v>864.41</v>
      </c>
      <c r="V594" s="159">
        <f t="shared" si="49"/>
        <v>-3661.32</v>
      </c>
      <c r="W594" s="156">
        <f>D_Emprunts!$U594-D_Emprunts!$V594</f>
        <v>4525.7300000000005</v>
      </c>
      <c r="X594" s="157">
        <f>X593-D_Emprunts!$W594</f>
        <v>-1245631.2999999998</v>
      </c>
      <c r="Y594">
        <v>587</v>
      </c>
      <c r="Z594" t="str">
        <f t="shared" si="47"/>
        <v>Investissement</v>
      </c>
      <c r="AA594" t="str">
        <f t="shared" si="48"/>
        <v>travaux magasin</v>
      </c>
    </row>
    <row r="595" spans="20:27" x14ac:dyDescent="0.25">
      <c r="T595" s="158">
        <f t="shared" si="45"/>
        <v>61823</v>
      </c>
      <c r="U595" s="164">
        <f t="shared" si="46"/>
        <v>864.41</v>
      </c>
      <c r="V595" s="159">
        <f t="shared" si="49"/>
        <v>-3674.68</v>
      </c>
      <c r="W595" s="159">
        <f>D_Emprunts!$U595-D_Emprunts!$V595</f>
        <v>4539.09</v>
      </c>
      <c r="X595" s="160">
        <f>X594-D_Emprunts!$W595</f>
        <v>-1250170.3899999999</v>
      </c>
      <c r="Y595">
        <v>588</v>
      </c>
      <c r="Z595" t="str">
        <f t="shared" si="47"/>
        <v>Investissement</v>
      </c>
      <c r="AA595" t="str">
        <f t="shared" si="48"/>
        <v>travaux magasin</v>
      </c>
    </row>
    <row r="596" spans="20:27" x14ac:dyDescent="0.25">
      <c r="T596" s="155">
        <f t="shared" si="45"/>
        <v>61853</v>
      </c>
      <c r="U596" s="164">
        <f t="shared" si="46"/>
        <v>864.41</v>
      </c>
      <c r="V596" s="159">
        <f t="shared" si="49"/>
        <v>-3688.07</v>
      </c>
      <c r="W596" s="156">
        <f>D_Emprunts!$U596-D_Emprunts!$V596</f>
        <v>4552.4800000000005</v>
      </c>
      <c r="X596" s="157">
        <f>X595-D_Emprunts!$W596</f>
        <v>-1254722.8699999999</v>
      </c>
      <c r="Y596">
        <v>589</v>
      </c>
      <c r="Z596" t="str">
        <f t="shared" si="47"/>
        <v>Investissement</v>
      </c>
      <c r="AA596" t="str">
        <f t="shared" si="48"/>
        <v>travaux magasin</v>
      </c>
    </row>
    <row r="597" spans="20:27" x14ac:dyDescent="0.25">
      <c r="T597" s="158">
        <f t="shared" si="45"/>
        <v>61884</v>
      </c>
      <c r="U597" s="164">
        <f t="shared" si="46"/>
        <v>864.41</v>
      </c>
      <c r="V597" s="159">
        <f t="shared" si="49"/>
        <v>-3701.5</v>
      </c>
      <c r="W597" s="159">
        <f>D_Emprunts!$U597-D_Emprunts!$V597</f>
        <v>4565.91</v>
      </c>
      <c r="X597" s="160">
        <f>X596-D_Emprunts!$W597</f>
        <v>-1259288.7799999998</v>
      </c>
      <c r="Y597">
        <v>590</v>
      </c>
      <c r="Z597" t="str">
        <f t="shared" si="47"/>
        <v>Investissement</v>
      </c>
      <c r="AA597" t="str">
        <f t="shared" si="48"/>
        <v>travaux magasin</v>
      </c>
    </row>
    <row r="598" spans="20:27" x14ac:dyDescent="0.25">
      <c r="T598" s="155">
        <f t="shared" si="45"/>
        <v>61914</v>
      </c>
      <c r="U598" s="164">
        <f t="shared" si="46"/>
        <v>864.41</v>
      </c>
      <c r="V598" s="159">
        <f t="shared" si="49"/>
        <v>-3714.97</v>
      </c>
      <c r="W598" s="156">
        <f>D_Emprunts!$U598-D_Emprunts!$V598</f>
        <v>4579.38</v>
      </c>
      <c r="X598" s="157">
        <f>X597-D_Emprunts!$W598</f>
        <v>-1263868.1599999997</v>
      </c>
      <c r="Y598">
        <v>591</v>
      </c>
      <c r="Z598" t="str">
        <f t="shared" si="47"/>
        <v>Investissement</v>
      </c>
      <c r="AA598" t="str">
        <f t="shared" si="48"/>
        <v>travaux magasin</v>
      </c>
    </row>
    <row r="599" spans="20:27" x14ac:dyDescent="0.25">
      <c r="T599" s="158">
        <f t="shared" si="45"/>
        <v>61945</v>
      </c>
      <c r="U599" s="164">
        <f t="shared" si="46"/>
        <v>864.41</v>
      </c>
      <c r="V599" s="159">
        <f t="shared" si="49"/>
        <v>-3728.48</v>
      </c>
      <c r="W599" s="159">
        <f>D_Emprunts!$U599-D_Emprunts!$V599</f>
        <v>4592.8900000000003</v>
      </c>
      <c r="X599" s="160">
        <f>X598-D_Emprunts!$W599</f>
        <v>-1268461.0499999996</v>
      </c>
      <c r="Y599">
        <v>592</v>
      </c>
      <c r="Z599" t="str">
        <f t="shared" si="47"/>
        <v>Investissement</v>
      </c>
      <c r="AA599" t="str">
        <f t="shared" si="48"/>
        <v>travaux magasin</v>
      </c>
    </row>
    <row r="600" spans="20:27" x14ac:dyDescent="0.25">
      <c r="T600" s="155">
        <f t="shared" si="45"/>
        <v>61976</v>
      </c>
      <c r="U600" s="164">
        <f t="shared" si="46"/>
        <v>864.41</v>
      </c>
      <c r="V600" s="159">
        <f t="shared" si="49"/>
        <v>-3742.02</v>
      </c>
      <c r="W600" s="156">
        <f>D_Emprunts!$U600-D_Emprunts!$V600</f>
        <v>4606.43</v>
      </c>
      <c r="X600" s="157">
        <f>X599-D_Emprunts!$W600</f>
        <v>-1273067.4799999995</v>
      </c>
      <c r="Y600">
        <v>593</v>
      </c>
      <c r="Z600" t="str">
        <f t="shared" si="47"/>
        <v>Investissement</v>
      </c>
      <c r="AA600" t="str">
        <f t="shared" si="48"/>
        <v>travaux magasin</v>
      </c>
    </row>
    <row r="601" spans="20:27" x14ac:dyDescent="0.25">
      <c r="T601" s="158">
        <f t="shared" si="45"/>
        <v>62006</v>
      </c>
      <c r="U601" s="164">
        <f t="shared" si="46"/>
        <v>864.41</v>
      </c>
      <c r="V601" s="159">
        <f t="shared" si="49"/>
        <v>-3755.61</v>
      </c>
      <c r="W601" s="159">
        <f>D_Emprunts!$U601-D_Emprunts!$V601</f>
        <v>4620.0200000000004</v>
      </c>
      <c r="X601" s="160">
        <f>X600-D_Emprunts!$W601</f>
        <v>-1277687.4999999995</v>
      </c>
      <c r="Y601">
        <v>594</v>
      </c>
      <c r="Z601" t="str">
        <f t="shared" si="47"/>
        <v>Investissement</v>
      </c>
      <c r="AA601" t="str">
        <f t="shared" si="48"/>
        <v>travaux magasin</v>
      </c>
    </row>
    <row r="602" spans="20:27" x14ac:dyDescent="0.25">
      <c r="T602" s="155">
        <f t="shared" si="45"/>
        <v>62037</v>
      </c>
      <c r="U602" s="164">
        <f t="shared" si="46"/>
        <v>864.41</v>
      </c>
      <c r="V602" s="159">
        <f t="shared" si="49"/>
        <v>-3769.24</v>
      </c>
      <c r="W602" s="156">
        <f>D_Emprunts!$U602-D_Emprunts!$V602</f>
        <v>4633.6499999999996</v>
      </c>
      <c r="X602" s="157">
        <f>X601-D_Emprunts!$W602</f>
        <v>-1282321.1499999994</v>
      </c>
      <c r="Y602">
        <v>595</v>
      </c>
      <c r="Z602" t="str">
        <f t="shared" si="47"/>
        <v>Investissement</v>
      </c>
      <c r="AA602" t="str">
        <f t="shared" si="48"/>
        <v>travaux magasin</v>
      </c>
    </row>
    <row r="603" spans="20:27" x14ac:dyDescent="0.25">
      <c r="T603" s="158">
        <f t="shared" si="45"/>
        <v>62067</v>
      </c>
      <c r="U603" s="164">
        <f t="shared" si="46"/>
        <v>864.41</v>
      </c>
      <c r="V603" s="159">
        <f t="shared" si="49"/>
        <v>-3782.91</v>
      </c>
      <c r="W603" s="159">
        <f>D_Emprunts!$U603-D_Emprunts!$V603</f>
        <v>4647.32</v>
      </c>
      <c r="X603" s="160">
        <f>X602-D_Emprunts!$W603</f>
        <v>-1286968.4699999995</v>
      </c>
      <c r="Y603">
        <v>596</v>
      </c>
      <c r="Z603" t="str">
        <f t="shared" si="47"/>
        <v>Investissement</v>
      </c>
      <c r="AA603" t="str">
        <f t="shared" si="48"/>
        <v>travaux magasin</v>
      </c>
    </row>
    <row r="604" spans="20:27" x14ac:dyDescent="0.25">
      <c r="T604" s="155">
        <f t="shared" si="45"/>
        <v>62098</v>
      </c>
      <c r="U604" s="164">
        <f t="shared" si="46"/>
        <v>864.41</v>
      </c>
      <c r="V604" s="159">
        <f t="shared" si="49"/>
        <v>-3796.62</v>
      </c>
      <c r="W604" s="156">
        <f>D_Emprunts!$U604-D_Emprunts!$V604</f>
        <v>4661.03</v>
      </c>
      <c r="X604" s="157">
        <f>X603-D_Emprunts!$W604</f>
        <v>-1291629.4999999995</v>
      </c>
      <c r="Y604">
        <v>597</v>
      </c>
      <c r="Z604" t="str">
        <f t="shared" si="47"/>
        <v>Investissement</v>
      </c>
      <c r="AA604" t="str">
        <f t="shared" si="48"/>
        <v>travaux magasin</v>
      </c>
    </row>
    <row r="605" spans="20:27" x14ac:dyDescent="0.25">
      <c r="T605" s="158">
        <f t="shared" si="45"/>
        <v>62129</v>
      </c>
      <c r="U605" s="164">
        <f t="shared" si="46"/>
        <v>864.41</v>
      </c>
      <c r="V605" s="159">
        <f t="shared" si="49"/>
        <v>-3810.37</v>
      </c>
      <c r="W605" s="159">
        <f>D_Emprunts!$U605-D_Emprunts!$V605</f>
        <v>4674.78</v>
      </c>
      <c r="X605" s="160">
        <f>X604-D_Emprunts!$W605</f>
        <v>-1296304.2799999996</v>
      </c>
      <c r="Y605">
        <v>598</v>
      </c>
      <c r="Z605" t="str">
        <f t="shared" si="47"/>
        <v>Investissement</v>
      </c>
      <c r="AA605" t="str">
        <f t="shared" si="48"/>
        <v>travaux magasin</v>
      </c>
    </row>
    <row r="606" spans="20:27" x14ac:dyDescent="0.25">
      <c r="T606" s="155">
        <f t="shared" si="45"/>
        <v>62157</v>
      </c>
      <c r="U606" s="164">
        <f t="shared" si="46"/>
        <v>864.41</v>
      </c>
      <c r="V606" s="159">
        <f t="shared" si="49"/>
        <v>-3824.16</v>
      </c>
      <c r="W606" s="156">
        <f>D_Emprunts!$U606-D_Emprunts!$V606</f>
        <v>4688.57</v>
      </c>
      <c r="X606" s="157">
        <f>X605-D_Emprunts!$W606</f>
        <v>-1300992.8499999996</v>
      </c>
      <c r="Y606">
        <v>599</v>
      </c>
      <c r="Z606" t="str">
        <f t="shared" si="47"/>
        <v>Investissement</v>
      </c>
      <c r="AA606" t="str">
        <f t="shared" si="48"/>
        <v>travaux magasin</v>
      </c>
    </row>
    <row r="607" spans="20:27" x14ac:dyDescent="0.25">
      <c r="T607" s="158">
        <f t="shared" si="45"/>
        <v>62188</v>
      </c>
      <c r="U607" s="164">
        <f t="shared" si="46"/>
        <v>864.41</v>
      </c>
      <c r="V607" s="159">
        <f t="shared" si="49"/>
        <v>-3838</v>
      </c>
      <c r="W607" s="159">
        <f>D_Emprunts!$U607-D_Emprunts!$V607</f>
        <v>4702.41</v>
      </c>
      <c r="X607" s="160">
        <f>X606-D_Emprunts!$W607</f>
        <v>-1305695.2599999995</v>
      </c>
      <c r="Y607">
        <v>600</v>
      </c>
      <c r="Z607" t="str">
        <f t="shared" si="47"/>
        <v>Investissement</v>
      </c>
      <c r="AA607" t="str">
        <f t="shared" si="48"/>
        <v>travaux magasin</v>
      </c>
    </row>
    <row r="608" spans="20:27" x14ac:dyDescent="0.25">
      <c r="T608" s="155">
        <f t="shared" si="45"/>
        <v>62218</v>
      </c>
      <c r="U608" s="164">
        <f t="shared" si="46"/>
        <v>864.41</v>
      </c>
      <c r="V608" s="159">
        <f t="shared" si="49"/>
        <v>-3851.87</v>
      </c>
      <c r="W608" s="156">
        <f>D_Emprunts!$U608-D_Emprunts!$V608</f>
        <v>4716.28</v>
      </c>
      <c r="X608" s="157">
        <f>X607-D_Emprunts!$W608</f>
        <v>-1310411.5399999996</v>
      </c>
      <c r="Y608">
        <v>601</v>
      </c>
      <c r="Z608" t="str">
        <f t="shared" si="47"/>
        <v>Investissement</v>
      </c>
      <c r="AA608" t="str">
        <f t="shared" si="48"/>
        <v>travaux magasin</v>
      </c>
    </row>
    <row r="609" spans="20:27" x14ac:dyDescent="0.25">
      <c r="T609" s="158">
        <f t="shared" si="45"/>
        <v>62249</v>
      </c>
      <c r="U609" s="164">
        <f t="shared" si="46"/>
        <v>864.41</v>
      </c>
      <c r="V609" s="159">
        <f t="shared" si="49"/>
        <v>-3865.78</v>
      </c>
      <c r="W609" s="159">
        <f>D_Emprunts!$U609-D_Emprunts!$V609</f>
        <v>4730.1900000000005</v>
      </c>
      <c r="X609" s="160">
        <f>X608-D_Emprunts!$W609</f>
        <v>-1315141.7299999995</v>
      </c>
      <c r="Y609">
        <v>602</v>
      </c>
      <c r="Z609" t="str">
        <f t="shared" si="47"/>
        <v>Investissement</v>
      </c>
      <c r="AA609" t="str">
        <f t="shared" si="48"/>
        <v>travaux magasin</v>
      </c>
    </row>
    <row r="610" spans="20:27" x14ac:dyDescent="0.25">
      <c r="T610" s="155">
        <f t="shared" si="45"/>
        <v>62279</v>
      </c>
      <c r="U610" s="164">
        <f t="shared" si="46"/>
        <v>864.41</v>
      </c>
      <c r="V610" s="159">
        <f t="shared" si="49"/>
        <v>-3879.74</v>
      </c>
      <c r="W610" s="156">
        <f>D_Emprunts!$U610-D_Emprunts!$V610</f>
        <v>4744.1499999999996</v>
      </c>
      <c r="X610" s="157">
        <f>X609-D_Emprunts!$W610</f>
        <v>-1319885.8799999994</v>
      </c>
      <c r="Y610">
        <v>603</v>
      </c>
      <c r="Z610" t="str">
        <f t="shared" si="47"/>
        <v>Investissement</v>
      </c>
      <c r="AA610" t="str">
        <f t="shared" si="48"/>
        <v>travaux magasin</v>
      </c>
    </row>
    <row r="611" spans="20:27" x14ac:dyDescent="0.25">
      <c r="T611" s="158">
        <f t="shared" si="45"/>
        <v>62310</v>
      </c>
      <c r="U611" s="164">
        <f t="shared" si="46"/>
        <v>864.41</v>
      </c>
      <c r="V611" s="159">
        <f t="shared" si="49"/>
        <v>-3893.73</v>
      </c>
      <c r="W611" s="159">
        <f>D_Emprunts!$U611-D_Emprunts!$V611</f>
        <v>4758.1400000000003</v>
      </c>
      <c r="X611" s="160">
        <f>X610-D_Emprunts!$W611</f>
        <v>-1324644.0199999993</v>
      </c>
      <c r="Y611">
        <v>604</v>
      </c>
      <c r="Z611" t="str">
        <f t="shared" si="47"/>
        <v>Investissement</v>
      </c>
      <c r="AA611" t="str">
        <f t="shared" si="48"/>
        <v>travaux magasin</v>
      </c>
    </row>
    <row r="612" spans="20:27" x14ac:dyDescent="0.25">
      <c r="T612" s="155">
        <f t="shared" si="45"/>
        <v>62341</v>
      </c>
      <c r="U612" s="164">
        <f t="shared" si="46"/>
        <v>864.41</v>
      </c>
      <c r="V612" s="159">
        <f t="shared" si="49"/>
        <v>-3907.77</v>
      </c>
      <c r="W612" s="156">
        <f>D_Emprunts!$U612-D_Emprunts!$V612</f>
        <v>4772.18</v>
      </c>
      <c r="X612" s="157">
        <f>X611-D_Emprunts!$W612</f>
        <v>-1329416.1999999993</v>
      </c>
      <c r="Y612">
        <v>605</v>
      </c>
      <c r="Z612" t="str">
        <f t="shared" si="47"/>
        <v>Investissement</v>
      </c>
      <c r="AA612" t="str">
        <f t="shared" si="48"/>
        <v>travaux magasin</v>
      </c>
    </row>
    <row r="613" spans="20:27" x14ac:dyDescent="0.25">
      <c r="T613" s="158">
        <f t="shared" si="45"/>
        <v>62371</v>
      </c>
      <c r="U613" s="164">
        <f t="shared" si="46"/>
        <v>864.41</v>
      </c>
      <c r="V613" s="159">
        <f t="shared" si="49"/>
        <v>-3921.85</v>
      </c>
      <c r="W613" s="159">
        <f>D_Emprunts!$U613-D_Emprunts!$V613</f>
        <v>4786.26</v>
      </c>
      <c r="X613" s="160">
        <f>X612-D_Emprunts!$W613</f>
        <v>-1334202.4599999993</v>
      </c>
      <c r="Y613">
        <v>606</v>
      </c>
      <c r="Z613" t="str">
        <f t="shared" si="47"/>
        <v>Investissement</v>
      </c>
      <c r="AA613" t="str">
        <f t="shared" si="48"/>
        <v>travaux magasin</v>
      </c>
    </row>
    <row r="614" spans="20:27" x14ac:dyDescent="0.25">
      <c r="T614" s="155">
        <f t="shared" si="45"/>
        <v>62402</v>
      </c>
      <c r="U614" s="164">
        <f t="shared" si="46"/>
        <v>864.41</v>
      </c>
      <c r="V614" s="159">
        <f t="shared" si="49"/>
        <v>-3935.97</v>
      </c>
      <c r="W614" s="156">
        <f>D_Emprunts!$U614-D_Emprunts!$V614</f>
        <v>4800.38</v>
      </c>
      <c r="X614" s="157">
        <f>X613-D_Emprunts!$W614</f>
        <v>-1339002.8399999992</v>
      </c>
      <c r="Y614">
        <v>607</v>
      </c>
      <c r="Z614" t="str">
        <f t="shared" si="47"/>
        <v>Investissement</v>
      </c>
      <c r="AA614" t="str">
        <f t="shared" si="48"/>
        <v>travaux magasin</v>
      </c>
    </row>
    <row r="615" spans="20:27" x14ac:dyDescent="0.25">
      <c r="T615" s="158">
        <f t="shared" si="45"/>
        <v>62432</v>
      </c>
      <c r="U615" s="164">
        <f t="shared" si="46"/>
        <v>864.41</v>
      </c>
      <c r="V615" s="159">
        <f t="shared" si="49"/>
        <v>-3950.13</v>
      </c>
      <c r="W615" s="159">
        <f>D_Emprunts!$U615-D_Emprunts!$V615</f>
        <v>4814.54</v>
      </c>
      <c r="X615" s="160">
        <f>X614-D_Emprunts!$W615</f>
        <v>-1343817.3799999992</v>
      </c>
      <c r="Y615">
        <v>608</v>
      </c>
      <c r="Z615" t="str">
        <f t="shared" si="47"/>
        <v>Investissement</v>
      </c>
      <c r="AA615" t="str">
        <f t="shared" si="48"/>
        <v>travaux magasin</v>
      </c>
    </row>
    <row r="616" spans="20:27" x14ac:dyDescent="0.25">
      <c r="T616" s="155">
        <f t="shared" si="45"/>
        <v>62463</v>
      </c>
      <c r="U616" s="164">
        <f t="shared" si="46"/>
        <v>864.41</v>
      </c>
      <c r="V616" s="159">
        <f t="shared" si="49"/>
        <v>-3964.33</v>
      </c>
      <c r="W616" s="156">
        <f>D_Emprunts!$U616-D_Emprunts!$V616</f>
        <v>4828.74</v>
      </c>
      <c r="X616" s="157">
        <f>X615-D_Emprunts!$W616</f>
        <v>-1348646.1199999992</v>
      </c>
      <c r="Y616">
        <v>609</v>
      </c>
      <c r="Z616" t="str">
        <f t="shared" si="47"/>
        <v>Investissement</v>
      </c>
      <c r="AA616" t="str">
        <f t="shared" si="48"/>
        <v>travaux magasin</v>
      </c>
    </row>
    <row r="617" spans="20:27" x14ac:dyDescent="0.25">
      <c r="T617" s="158">
        <f t="shared" si="45"/>
        <v>62494</v>
      </c>
      <c r="U617" s="164">
        <f t="shared" si="46"/>
        <v>864.41</v>
      </c>
      <c r="V617" s="159">
        <f t="shared" si="49"/>
        <v>-3978.58</v>
      </c>
      <c r="W617" s="159">
        <f>D_Emprunts!$U617-D_Emprunts!$V617</f>
        <v>4842.99</v>
      </c>
      <c r="X617" s="160">
        <f>X616-D_Emprunts!$W617</f>
        <v>-1353489.1099999992</v>
      </c>
      <c r="Y617">
        <v>610</v>
      </c>
      <c r="Z617" t="str">
        <f t="shared" si="47"/>
        <v>Investissement</v>
      </c>
      <c r="AA617" t="str">
        <f t="shared" si="48"/>
        <v>travaux magasin</v>
      </c>
    </row>
    <row r="618" spans="20:27" x14ac:dyDescent="0.25">
      <c r="T618" s="155">
        <f t="shared" si="45"/>
        <v>62522</v>
      </c>
      <c r="U618" s="164">
        <f t="shared" si="46"/>
        <v>864.41</v>
      </c>
      <c r="V618" s="159">
        <f t="shared" si="49"/>
        <v>-3992.86</v>
      </c>
      <c r="W618" s="156">
        <f>D_Emprunts!$U618-D_Emprunts!$V618</f>
        <v>4857.2700000000004</v>
      </c>
      <c r="X618" s="157">
        <f>X617-D_Emprunts!$W618</f>
        <v>-1358346.3799999992</v>
      </c>
      <c r="Y618">
        <v>611</v>
      </c>
      <c r="Z618" t="str">
        <f t="shared" si="47"/>
        <v>Investissement</v>
      </c>
      <c r="AA618" t="str">
        <f t="shared" si="48"/>
        <v>travaux magasin</v>
      </c>
    </row>
    <row r="619" spans="20:27" x14ac:dyDescent="0.25">
      <c r="T619" s="158">
        <f t="shared" si="45"/>
        <v>62553</v>
      </c>
      <c r="U619" s="164">
        <f t="shared" si="46"/>
        <v>864.41</v>
      </c>
      <c r="V619" s="159">
        <f t="shared" si="49"/>
        <v>-4007.19</v>
      </c>
      <c r="W619" s="159">
        <f>D_Emprunts!$U619-D_Emprunts!$V619</f>
        <v>4871.6000000000004</v>
      </c>
      <c r="X619" s="160">
        <f>X618-D_Emprunts!$W619</f>
        <v>-1363217.9799999993</v>
      </c>
      <c r="Y619">
        <v>612</v>
      </c>
      <c r="Z619" t="str">
        <f t="shared" si="47"/>
        <v>Investissement</v>
      </c>
      <c r="AA619" t="str">
        <f t="shared" si="48"/>
        <v>travaux magasin</v>
      </c>
    </row>
    <row r="620" spans="20:27" x14ac:dyDescent="0.25">
      <c r="T620" s="155">
        <f t="shared" si="45"/>
        <v>62583</v>
      </c>
      <c r="U620" s="164">
        <f t="shared" si="46"/>
        <v>864.41</v>
      </c>
      <c r="V620" s="159">
        <f t="shared" si="49"/>
        <v>-4021.56</v>
      </c>
      <c r="W620" s="156">
        <f>D_Emprunts!$U620-D_Emprunts!$V620</f>
        <v>4885.97</v>
      </c>
      <c r="X620" s="157">
        <f>X619-D_Emprunts!$W620</f>
        <v>-1368103.9499999993</v>
      </c>
      <c r="Y620">
        <v>613</v>
      </c>
      <c r="Z620" t="str">
        <f t="shared" si="47"/>
        <v>Investissement</v>
      </c>
      <c r="AA620" t="str">
        <f t="shared" si="48"/>
        <v>travaux magasin</v>
      </c>
    </row>
    <row r="621" spans="20:27" x14ac:dyDescent="0.25">
      <c r="T621" s="158">
        <f t="shared" si="45"/>
        <v>62614</v>
      </c>
      <c r="U621" s="164">
        <f t="shared" si="46"/>
        <v>864.41</v>
      </c>
      <c r="V621" s="159">
        <f t="shared" si="49"/>
        <v>-4035.98</v>
      </c>
      <c r="W621" s="159">
        <f>D_Emprunts!$U621-D_Emprunts!$V621</f>
        <v>4900.3900000000003</v>
      </c>
      <c r="X621" s="160">
        <f>X620-D_Emprunts!$W621</f>
        <v>-1373004.3399999992</v>
      </c>
      <c r="Y621">
        <v>614</v>
      </c>
      <c r="Z621" t="str">
        <f t="shared" si="47"/>
        <v>Investissement</v>
      </c>
      <c r="AA621" t="str">
        <f t="shared" si="48"/>
        <v>travaux magasin</v>
      </c>
    </row>
    <row r="622" spans="20:27" x14ac:dyDescent="0.25">
      <c r="T622" s="155">
        <f t="shared" si="45"/>
        <v>62644</v>
      </c>
      <c r="U622" s="164">
        <f t="shared" si="46"/>
        <v>864.41</v>
      </c>
      <c r="V622" s="159">
        <f t="shared" si="49"/>
        <v>-4050.43</v>
      </c>
      <c r="W622" s="156">
        <f>D_Emprunts!$U622-D_Emprunts!$V622</f>
        <v>4914.84</v>
      </c>
      <c r="X622" s="157">
        <f>X621-D_Emprunts!$W622</f>
        <v>-1377919.1799999992</v>
      </c>
      <c r="Y622">
        <v>615</v>
      </c>
      <c r="Z622" t="str">
        <f t="shared" si="47"/>
        <v>Investissement</v>
      </c>
      <c r="AA622" t="str">
        <f t="shared" si="48"/>
        <v>travaux magasin</v>
      </c>
    </row>
    <row r="623" spans="20:27" x14ac:dyDescent="0.25">
      <c r="T623" s="158">
        <f t="shared" si="45"/>
        <v>62675</v>
      </c>
      <c r="U623" s="164">
        <f t="shared" si="46"/>
        <v>864.41</v>
      </c>
      <c r="V623" s="159">
        <f t="shared" si="49"/>
        <v>-4064.93</v>
      </c>
      <c r="W623" s="159">
        <f>D_Emprunts!$U623-D_Emprunts!$V623</f>
        <v>4929.34</v>
      </c>
      <c r="X623" s="160">
        <f>X622-D_Emprunts!$W623</f>
        <v>-1382848.5199999993</v>
      </c>
      <c r="Y623">
        <v>616</v>
      </c>
      <c r="Z623" t="str">
        <f t="shared" si="47"/>
        <v>Investissement</v>
      </c>
      <c r="AA623" t="str">
        <f t="shared" si="48"/>
        <v>travaux magasin</v>
      </c>
    </row>
    <row r="624" spans="20:27" x14ac:dyDescent="0.25">
      <c r="T624" s="155">
        <f t="shared" si="45"/>
        <v>62706</v>
      </c>
      <c r="U624" s="164">
        <f t="shared" si="46"/>
        <v>864.41</v>
      </c>
      <c r="V624" s="159">
        <f t="shared" si="49"/>
        <v>-4079.47</v>
      </c>
      <c r="W624" s="156">
        <f>D_Emprunts!$U624-D_Emprunts!$V624</f>
        <v>4943.88</v>
      </c>
      <c r="X624" s="157">
        <f>X623-D_Emprunts!$W624</f>
        <v>-1387792.3999999992</v>
      </c>
      <c r="Y624">
        <v>617</v>
      </c>
      <c r="Z624" t="str">
        <f t="shared" si="47"/>
        <v>Investissement</v>
      </c>
      <c r="AA624" t="str">
        <f t="shared" si="48"/>
        <v>travaux magasin</v>
      </c>
    </row>
    <row r="625" spans="20:27" x14ac:dyDescent="0.25">
      <c r="T625" s="158">
        <f t="shared" si="45"/>
        <v>62736</v>
      </c>
      <c r="U625" s="164">
        <f t="shared" si="46"/>
        <v>864.41</v>
      </c>
      <c r="V625" s="159">
        <f t="shared" si="49"/>
        <v>-4094.06</v>
      </c>
      <c r="W625" s="159">
        <f>D_Emprunts!$U625-D_Emprunts!$V625</f>
        <v>4958.47</v>
      </c>
      <c r="X625" s="160">
        <f>X624-D_Emprunts!$W625</f>
        <v>-1392750.8699999992</v>
      </c>
      <c r="Y625">
        <v>618</v>
      </c>
      <c r="Z625" t="str">
        <f t="shared" si="47"/>
        <v>Investissement</v>
      </c>
      <c r="AA625" t="str">
        <f t="shared" si="48"/>
        <v>travaux magasin</v>
      </c>
    </row>
    <row r="626" spans="20:27" x14ac:dyDescent="0.25">
      <c r="T626" s="155">
        <f t="shared" si="45"/>
        <v>62767</v>
      </c>
      <c r="U626" s="164">
        <f t="shared" si="46"/>
        <v>864.41</v>
      </c>
      <c r="V626" s="159">
        <f t="shared" si="49"/>
        <v>-4108.6899999999996</v>
      </c>
      <c r="W626" s="156">
        <f>D_Emprunts!$U626-D_Emprunts!$V626</f>
        <v>4973.0999999999995</v>
      </c>
      <c r="X626" s="157">
        <f>X625-D_Emprunts!$W626</f>
        <v>-1397723.9699999993</v>
      </c>
      <c r="Y626">
        <v>619</v>
      </c>
      <c r="Z626" t="str">
        <f t="shared" si="47"/>
        <v>Investissement</v>
      </c>
      <c r="AA626" t="str">
        <f t="shared" si="48"/>
        <v>travaux magasin</v>
      </c>
    </row>
    <row r="627" spans="20:27" x14ac:dyDescent="0.25">
      <c r="T627" s="158">
        <f t="shared" si="45"/>
        <v>62797</v>
      </c>
      <c r="U627" s="164">
        <f t="shared" si="46"/>
        <v>864.41</v>
      </c>
      <c r="V627" s="159">
        <f t="shared" si="49"/>
        <v>-4123.3599999999997</v>
      </c>
      <c r="W627" s="159">
        <f>D_Emprunts!$U627-D_Emprunts!$V627</f>
        <v>4987.7699999999995</v>
      </c>
      <c r="X627" s="160">
        <f>X626-D_Emprunts!$W627</f>
        <v>-1402711.7399999993</v>
      </c>
      <c r="Y627">
        <v>620</v>
      </c>
      <c r="Z627" t="str">
        <f t="shared" si="47"/>
        <v>Investissement</v>
      </c>
      <c r="AA627" t="str">
        <f t="shared" si="48"/>
        <v>travaux magasin</v>
      </c>
    </row>
    <row r="628" spans="20:27" x14ac:dyDescent="0.25">
      <c r="T628" s="155">
        <f t="shared" si="45"/>
        <v>62828</v>
      </c>
      <c r="U628" s="164">
        <f t="shared" si="46"/>
        <v>864.41</v>
      </c>
      <c r="V628" s="159">
        <f t="shared" si="49"/>
        <v>-4138.07</v>
      </c>
      <c r="W628" s="156">
        <f>D_Emprunts!$U628-D_Emprunts!$V628</f>
        <v>5002.4799999999996</v>
      </c>
      <c r="X628" s="157">
        <f>X627-D_Emprunts!$W628</f>
        <v>-1407714.2199999993</v>
      </c>
      <c r="Y628">
        <v>621</v>
      </c>
      <c r="Z628" t="str">
        <f t="shared" si="47"/>
        <v>Investissement</v>
      </c>
      <c r="AA628" t="str">
        <f t="shared" si="48"/>
        <v>travaux magasin</v>
      </c>
    </row>
    <row r="629" spans="20:27" x14ac:dyDescent="0.25">
      <c r="T629" s="158">
        <f t="shared" si="45"/>
        <v>62859</v>
      </c>
      <c r="U629" s="164">
        <f t="shared" si="46"/>
        <v>864.41</v>
      </c>
      <c r="V629" s="159">
        <f t="shared" si="49"/>
        <v>-4152.83</v>
      </c>
      <c r="W629" s="159">
        <f>D_Emprunts!$U629-D_Emprunts!$V629</f>
        <v>5017.24</v>
      </c>
      <c r="X629" s="160">
        <f>X628-D_Emprunts!$W629</f>
        <v>-1412731.4599999993</v>
      </c>
      <c r="Y629">
        <v>622</v>
      </c>
      <c r="Z629" t="str">
        <f t="shared" si="47"/>
        <v>Investissement</v>
      </c>
      <c r="AA629" t="str">
        <f t="shared" si="48"/>
        <v>travaux magasin</v>
      </c>
    </row>
    <row r="630" spans="20:27" x14ac:dyDescent="0.25">
      <c r="T630" s="155">
        <f t="shared" si="45"/>
        <v>62888</v>
      </c>
      <c r="U630" s="164">
        <f t="shared" si="46"/>
        <v>864.41</v>
      </c>
      <c r="V630" s="159">
        <f t="shared" si="49"/>
        <v>-4167.63</v>
      </c>
      <c r="W630" s="156">
        <f>D_Emprunts!$U630-D_Emprunts!$V630</f>
        <v>5032.04</v>
      </c>
      <c r="X630" s="157">
        <f>X629-D_Emprunts!$W630</f>
        <v>-1417763.4999999993</v>
      </c>
      <c r="Y630">
        <v>623</v>
      </c>
      <c r="Z630" t="str">
        <f t="shared" si="47"/>
        <v>Investissement</v>
      </c>
      <c r="AA630" t="str">
        <f t="shared" si="48"/>
        <v>travaux magasin</v>
      </c>
    </row>
    <row r="631" spans="20:27" x14ac:dyDescent="0.25">
      <c r="T631" s="158">
        <f t="shared" si="45"/>
        <v>62919</v>
      </c>
      <c r="U631" s="164">
        <f t="shared" si="46"/>
        <v>864.41</v>
      </c>
      <c r="V631" s="159">
        <f t="shared" si="49"/>
        <v>-4182.47</v>
      </c>
      <c r="W631" s="159">
        <f>D_Emprunts!$U631-D_Emprunts!$V631</f>
        <v>5046.88</v>
      </c>
      <c r="X631" s="160">
        <f>X630-D_Emprunts!$W631</f>
        <v>-1422810.3799999992</v>
      </c>
      <c r="Y631">
        <v>624</v>
      </c>
      <c r="Z631" t="str">
        <f t="shared" si="47"/>
        <v>Investissement</v>
      </c>
      <c r="AA631" t="str">
        <f t="shared" si="48"/>
        <v>travaux magasin</v>
      </c>
    </row>
    <row r="632" spans="20:27" x14ac:dyDescent="0.25">
      <c r="T632" s="155">
        <f t="shared" si="45"/>
        <v>62949</v>
      </c>
      <c r="U632" s="164">
        <f t="shared" si="46"/>
        <v>864.41</v>
      </c>
      <c r="V632" s="159">
        <f t="shared" si="49"/>
        <v>-4197.3599999999997</v>
      </c>
      <c r="W632" s="156">
        <f>D_Emprunts!$U632-D_Emprunts!$V632</f>
        <v>5061.7699999999995</v>
      </c>
      <c r="X632" s="157">
        <f>X631-D_Emprunts!$W632</f>
        <v>-1427872.1499999992</v>
      </c>
      <c r="Y632">
        <v>625</v>
      </c>
      <c r="Z632" t="str">
        <f t="shared" si="47"/>
        <v>Investissement</v>
      </c>
      <c r="AA632" t="str">
        <f t="shared" si="48"/>
        <v>travaux magasin</v>
      </c>
    </row>
    <row r="633" spans="20:27" x14ac:dyDescent="0.25">
      <c r="T633" s="158">
        <f t="shared" si="45"/>
        <v>62980</v>
      </c>
      <c r="U633" s="164">
        <f t="shared" si="46"/>
        <v>864.41</v>
      </c>
      <c r="V633" s="159">
        <f t="shared" si="49"/>
        <v>-4212.3</v>
      </c>
      <c r="W633" s="159">
        <f>D_Emprunts!$U633-D_Emprunts!$V633</f>
        <v>5076.71</v>
      </c>
      <c r="X633" s="160">
        <f>X632-D_Emprunts!$W633</f>
        <v>-1432948.8599999992</v>
      </c>
      <c r="Y633">
        <v>626</v>
      </c>
      <c r="Z633" t="str">
        <f t="shared" si="47"/>
        <v>Investissement</v>
      </c>
      <c r="AA633" t="str">
        <f t="shared" si="48"/>
        <v>travaux magasin</v>
      </c>
    </row>
    <row r="634" spans="20:27" x14ac:dyDescent="0.25">
      <c r="T634" s="155">
        <f t="shared" si="45"/>
        <v>63010</v>
      </c>
      <c r="U634" s="164">
        <f t="shared" si="46"/>
        <v>864.41</v>
      </c>
      <c r="V634" s="159">
        <f t="shared" si="49"/>
        <v>-4227.2700000000004</v>
      </c>
      <c r="W634" s="156">
        <f>D_Emprunts!$U634-D_Emprunts!$V634</f>
        <v>5091.68</v>
      </c>
      <c r="X634" s="157">
        <f>X633-D_Emprunts!$W634</f>
        <v>-1438040.5399999991</v>
      </c>
      <c r="Y634">
        <v>627</v>
      </c>
      <c r="Z634" t="str">
        <f t="shared" si="47"/>
        <v>Investissement</v>
      </c>
      <c r="AA634" t="str">
        <f t="shared" si="48"/>
        <v>travaux magasin</v>
      </c>
    </row>
    <row r="635" spans="20:27" x14ac:dyDescent="0.25">
      <c r="T635" s="158">
        <f t="shared" si="45"/>
        <v>63041</v>
      </c>
      <c r="U635" s="164">
        <f t="shared" si="46"/>
        <v>864.41</v>
      </c>
      <c r="V635" s="159">
        <f t="shared" si="49"/>
        <v>-4242.29</v>
      </c>
      <c r="W635" s="159">
        <f>D_Emprunts!$U635-D_Emprunts!$V635</f>
        <v>5106.7</v>
      </c>
      <c r="X635" s="160">
        <f>X634-D_Emprunts!$W635</f>
        <v>-1443147.2399999991</v>
      </c>
      <c r="Y635">
        <v>628</v>
      </c>
      <c r="Z635" t="str">
        <f t="shared" si="47"/>
        <v>Investissement</v>
      </c>
      <c r="AA635" t="str">
        <f t="shared" si="48"/>
        <v>travaux magasin</v>
      </c>
    </row>
    <row r="636" spans="20:27" x14ac:dyDescent="0.25">
      <c r="T636" s="155">
        <f t="shared" si="45"/>
        <v>63072</v>
      </c>
      <c r="U636" s="164">
        <f t="shared" si="46"/>
        <v>864.41</v>
      </c>
      <c r="V636" s="159">
        <f t="shared" si="49"/>
        <v>-4257.3599999999997</v>
      </c>
      <c r="W636" s="156">
        <f>D_Emprunts!$U636-D_Emprunts!$V636</f>
        <v>5121.7699999999995</v>
      </c>
      <c r="X636" s="157">
        <f>X635-D_Emprunts!$W636</f>
        <v>-1448269.0099999991</v>
      </c>
      <c r="Y636">
        <v>629</v>
      </c>
      <c r="Z636" t="str">
        <f t="shared" si="47"/>
        <v>Investissement</v>
      </c>
      <c r="AA636" t="str">
        <f t="shared" si="48"/>
        <v>travaux magasin</v>
      </c>
    </row>
    <row r="637" spans="20:27" x14ac:dyDescent="0.25">
      <c r="T637" s="158">
        <f t="shared" si="45"/>
        <v>63102</v>
      </c>
      <c r="U637" s="164">
        <f t="shared" si="46"/>
        <v>864.41</v>
      </c>
      <c r="V637" s="159">
        <f t="shared" si="49"/>
        <v>-4272.47</v>
      </c>
      <c r="W637" s="159">
        <f>D_Emprunts!$U637-D_Emprunts!$V637</f>
        <v>5136.88</v>
      </c>
      <c r="X637" s="160">
        <f>X636-D_Emprunts!$W637</f>
        <v>-1453405.889999999</v>
      </c>
      <c r="Y637">
        <v>630</v>
      </c>
      <c r="Z637" t="str">
        <f t="shared" si="47"/>
        <v>Investissement</v>
      </c>
      <c r="AA637" t="str">
        <f t="shared" si="48"/>
        <v>travaux magasin</v>
      </c>
    </row>
    <row r="638" spans="20:27" x14ac:dyDescent="0.25">
      <c r="T638" s="155">
        <f t="shared" si="45"/>
        <v>63133</v>
      </c>
      <c r="U638" s="164">
        <f t="shared" si="46"/>
        <v>864.41</v>
      </c>
      <c r="V638" s="159">
        <f t="shared" si="49"/>
        <v>-4287.62</v>
      </c>
      <c r="W638" s="156">
        <f>D_Emprunts!$U638-D_Emprunts!$V638</f>
        <v>5152.03</v>
      </c>
      <c r="X638" s="157">
        <f>X637-D_Emprunts!$W638</f>
        <v>-1458557.919999999</v>
      </c>
      <c r="Y638">
        <v>631</v>
      </c>
      <c r="Z638" t="str">
        <f t="shared" si="47"/>
        <v>Investissement</v>
      </c>
      <c r="AA638" t="str">
        <f t="shared" si="48"/>
        <v>travaux magasin</v>
      </c>
    </row>
    <row r="639" spans="20:27" x14ac:dyDescent="0.25">
      <c r="T639" s="158">
        <f t="shared" si="45"/>
        <v>63163</v>
      </c>
      <c r="U639" s="164">
        <f t="shared" si="46"/>
        <v>864.41</v>
      </c>
      <c r="V639" s="159">
        <f t="shared" si="49"/>
        <v>-4302.82</v>
      </c>
      <c r="W639" s="159">
        <f>D_Emprunts!$U639-D_Emprunts!$V639</f>
        <v>5167.2299999999996</v>
      </c>
      <c r="X639" s="160">
        <f>X638-D_Emprunts!$W639</f>
        <v>-1463725.149999999</v>
      </c>
      <c r="Y639">
        <v>632</v>
      </c>
      <c r="Z639" t="str">
        <f t="shared" si="47"/>
        <v>Investissement</v>
      </c>
      <c r="AA639" t="str">
        <f t="shared" si="48"/>
        <v>travaux magasin</v>
      </c>
    </row>
    <row r="640" spans="20:27" x14ac:dyDescent="0.25">
      <c r="T640" s="155">
        <f t="shared" si="45"/>
        <v>63194</v>
      </c>
      <c r="U640" s="164">
        <f t="shared" si="46"/>
        <v>864.41</v>
      </c>
      <c r="V640" s="159">
        <f t="shared" si="49"/>
        <v>-4318.0600000000004</v>
      </c>
      <c r="W640" s="156">
        <f>D_Emprunts!$U640-D_Emprunts!$V640</f>
        <v>5182.47</v>
      </c>
      <c r="X640" s="157">
        <f>X639-D_Emprunts!$W640</f>
        <v>-1468907.6199999989</v>
      </c>
      <c r="Y640">
        <v>633</v>
      </c>
      <c r="Z640" t="str">
        <f t="shared" si="47"/>
        <v>Investissement</v>
      </c>
      <c r="AA640" t="str">
        <f t="shared" si="48"/>
        <v>travaux magasin</v>
      </c>
    </row>
    <row r="641" spans="20:27" x14ac:dyDescent="0.25">
      <c r="T641" s="158">
        <f t="shared" si="45"/>
        <v>63225</v>
      </c>
      <c r="U641" s="164">
        <f t="shared" si="46"/>
        <v>864.41</v>
      </c>
      <c r="V641" s="159">
        <f t="shared" si="49"/>
        <v>-4333.3500000000004</v>
      </c>
      <c r="W641" s="159">
        <f>D_Emprunts!$U641-D_Emprunts!$V641</f>
        <v>5197.76</v>
      </c>
      <c r="X641" s="160">
        <f>X640-D_Emprunts!$W641</f>
        <v>-1474105.379999999</v>
      </c>
      <c r="Y641">
        <v>634</v>
      </c>
      <c r="Z641" t="str">
        <f t="shared" si="47"/>
        <v>Investissement</v>
      </c>
      <c r="AA641" t="str">
        <f t="shared" si="48"/>
        <v>travaux magasin</v>
      </c>
    </row>
    <row r="642" spans="20:27" x14ac:dyDescent="0.25">
      <c r="T642" s="155">
        <f t="shared" si="45"/>
        <v>63253</v>
      </c>
      <c r="U642" s="164">
        <f t="shared" si="46"/>
        <v>864.41</v>
      </c>
      <c r="V642" s="159">
        <f t="shared" si="49"/>
        <v>-4348.6899999999996</v>
      </c>
      <c r="W642" s="156">
        <f>D_Emprunts!$U642-D_Emprunts!$V642</f>
        <v>5213.0999999999995</v>
      </c>
      <c r="X642" s="157">
        <f>X641-D_Emprunts!$W642</f>
        <v>-1479318.4799999991</v>
      </c>
      <c r="Y642">
        <v>635</v>
      </c>
      <c r="Z642" t="str">
        <f t="shared" si="47"/>
        <v>Investissement</v>
      </c>
      <c r="AA642" t="str">
        <f t="shared" si="48"/>
        <v>travaux magasin</v>
      </c>
    </row>
    <row r="643" spans="20:27" x14ac:dyDescent="0.25">
      <c r="T643" s="158">
        <f t="shared" si="45"/>
        <v>63284</v>
      </c>
      <c r="U643" s="164">
        <f t="shared" si="46"/>
        <v>864.41</v>
      </c>
      <c r="V643" s="159">
        <f t="shared" si="49"/>
        <v>-4364.07</v>
      </c>
      <c r="W643" s="159">
        <f>D_Emprunts!$U643-D_Emprunts!$V643</f>
        <v>5228.4799999999996</v>
      </c>
      <c r="X643" s="160">
        <f>X642-D_Emprunts!$W643</f>
        <v>-1484546.959999999</v>
      </c>
      <c r="Y643">
        <v>636</v>
      </c>
      <c r="Z643" t="str">
        <f t="shared" si="47"/>
        <v>Investissement</v>
      </c>
      <c r="AA643" t="str">
        <f t="shared" si="48"/>
        <v>travaux magasin</v>
      </c>
    </row>
    <row r="644" spans="20:27" x14ac:dyDescent="0.25">
      <c r="T644" s="155">
        <f t="shared" si="45"/>
        <v>63314</v>
      </c>
      <c r="U644" s="164">
        <f t="shared" si="46"/>
        <v>864.41</v>
      </c>
      <c r="V644" s="159">
        <f t="shared" si="49"/>
        <v>-4379.49</v>
      </c>
      <c r="W644" s="156">
        <f>D_Emprunts!$U644-D_Emprunts!$V644</f>
        <v>5243.9</v>
      </c>
      <c r="X644" s="157">
        <f>X643-D_Emprunts!$W644</f>
        <v>-1489790.8599999989</v>
      </c>
      <c r="Y644">
        <v>637</v>
      </c>
      <c r="Z644" t="str">
        <f t="shared" si="47"/>
        <v>Investissement</v>
      </c>
      <c r="AA644" t="str">
        <f t="shared" si="48"/>
        <v>travaux magasin</v>
      </c>
    </row>
    <row r="645" spans="20:27" x14ac:dyDescent="0.25">
      <c r="T645" s="158">
        <f t="shared" si="45"/>
        <v>63345</v>
      </c>
      <c r="U645" s="164">
        <f t="shared" si="46"/>
        <v>864.41</v>
      </c>
      <c r="V645" s="159">
        <f t="shared" si="49"/>
        <v>-4394.96</v>
      </c>
      <c r="W645" s="159">
        <f>D_Emprunts!$U645-D_Emprunts!$V645</f>
        <v>5259.37</v>
      </c>
      <c r="X645" s="160">
        <f>X644-D_Emprunts!$W645</f>
        <v>-1495050.2299999991</v>
      </c>
      <c r="Y645">
        <v>638</v>
      </c>
      <c r="Z645" t="str">
        <f t="shared" si="47"/>
        <v>Investissement</v>
      </c>
      <c r="AA645" t="str">
        <f t="shared" si="48"/>
        <v>travaux magasin</v>
      </c>
    </row>
    <row r="646" spans="20:27" x14ac:dyDescent="0.25">
      <c r="T646" s="155">
        <f t="shared" si="45"/>
        <v>63375</v>
      </c>
      <c r="U646" s="164">
        <f t="shared" si="46"/>
        <v>864.41</v>
      </c>
      <c r="V646" s="159">
        <f t="shared" si="49"/>
        <v>-4410.47</v>
      </c>
      <c r="W646" s="156">
        <f>D_Emprunts!$U646-D_Emprunts!$V646</f>
        <v>5274.88</v>
      </c>
      <c r="X646" s="157">
        <f>X645-D_Emprunts!$W646</f>
        <v>-1500325.1099999989</v>
      </c>
      <c r="Y646">
        <v>639</v>
      </c>
      <c r="Z646" t="str">
        <f t="shared" si="47"/>
        <v>Investissement</v>
      </c>
      <c r="AA646" t="str">
        <f t="shared" si="48"/>
        <v>travaux magasin</v>
      </c>
    </row>
    <row r="647" spans="20:27" x14ac:dyDescent="0.25">
      <c r="T647" s="158">
        <f t="shared" si="45"/>
        <v>63406</v>
      </c>
      <c r="U647" s="164">
        <f t="shared" si="46"/>
        <v>864.41</v>
      </c>
      <c r="V647" s="159">
        <f t="shared" si="49"/>
        <v>-4426.04</v>
      </c>
      <c r="W647" s="159">
        <f>D_Emprunts!$U647-D_Emprunts!$V647</f>
        <v>5290.45</v>
      </c>
      <c r="X647" s="160">
        <f>X646-D_Emprunts!$W647</f>
        <v>-1505615.5599999989</v>
      </c>
      <c r="Y647">
        <v>640</v>
      </c>
      <c r="Z647" t="str">
        <f t="shared" si="47"/>
        <v>Investissement</v>
      </c>
      <c r="AA647" t="str">
        <f t="shared" si="48"/>
        <v>travaux magasin</v>
      </c>
    </row>
    <row r="648" spans="20:27" x14ac:dyDescent="0.25">
      <c r="T648" s="155">
        <f t="shared" ref="T648:T711" si="50">EDATE(T647,1)</f>
        <v>63437</v>
      </c>
      <c r="U648" s="164">
        <f t="shared" si="46"/>
        <v>864.41</v>
      </c>
      <c r="V648" s="159">
        <f t="shared" si="49"/>
        <v>-4441.6400000000003</v>
      </c>
      <c r="W648" s="156">
        <f>D_Emprunts!$U648-D_Emprunts!$V648</f>
        <v>5306.05</v>
      </c>
      <c r="X648" s="157">
        <f>X647-D_Emprunts!$W648</f>
        <v>-1510921.6099999989</v>
      </c>
      <c r="Y648">
        <v>641</v>
      </c>
      <c r="Z648" t="str">
        <f t="shared" si="47"/>
        <v>Investissement</v>
      </c>
      <c r="AA648" t="str">
        <f t="shared" si="48"/>
        <v>travaux magasin</v>
      </c>
    </row>
    <row r="649" spans="20:27" x14ac:dyDescent="0.25">
      <c r="T649" s="158">
        <f t="shared" si="50"/>
        <v>63467</v>
      </c>
      <c r="U649" s="164">
        <f t="shared" ref="U649:U712" si="51">$X$4</f>
        <v>864.41</v>
      </c>
      <c r="V649" s="159">
        <f t="shared" si="49"/>
        <v>-4457.3</v>
      </c>
      <c r="W649" s="159">
        <f>D_Emprunts!$U649-D_Emprunts!$V649</f>
        <v>5321.71</v>
      </c>
      <c r="X649" s="160">
        <f>X648-D_Emprunts!$W649</f>
        <v>-1516243.3199999989</v>
      </c>
      <c r="Y649">
        <v>642</v>
      </c>
      <c r="Z649" t="str">
        <f t="shared" ref="Z649:Z712" si="52">$Y$4</f>
        <v>Investissement</v>
      </c>
      <c r="AA649" t="str">
        <f t="shared" ref="AA649:AA712" si="53">$Z$4</f>
        <v>travaux magasin</v>
      </c>
    </row>
    <row r="650" spans="20:27" x14ac:dyDescent="0.25">
      <c r="T650" s="155">
        <f t="shared" si="50"/>
        <v>63498</v>
      </c>
      <c r="U650" s="164">
        <f t="shared" si="51"/>
        <v>864.41</v>
      </c>
      <c r="V650" s="159">
        <f t="shared" ref="V650:V713" si="54">ROUND(X649*$V$4/12,2)</f>
        <v>-4473</v>
      </c>
      <c r="W650" s="156">
        <f>D_Emprunts!$U650-D_Emprunts!$V650</f>
        <v>5337.41</v>
      </c>
      <c r="X650" s="157">
        <f>X649-D_Emprunts!$W650</f>
        <v>-1521580.7299999988</v>
      </c>
      <c r="Y650">
        <v>643</v>
      </c>
      <c r="Z650" t="str">
        <f t="shared" si="52"/>
        <v>Investissement</v>
      </c>
      <c r="AA650" t="str">
        <f t="shared" si="53"/>
        <v>travaux magasin</v>
      </c>
    </row>
    <row r="651" spans="20:27" x14ac:dyDescent="0.25">
      <c r="T651" s="158">
        <f t="shared" si="50"/>
        <v>63528</v>
      </c>
      <c r="U651" s="164">
        <f t="shared" si="51"/>
        <v>864.41</v>
      </c>
      <c r="V651" s="159">
        <f t="shared" si="54"/>
        <v>-4488.74</v>
      </c>
      <c r="W651" s="159">
        <f>D_Emprunts!$U651-D_Emprunts!$V651</f>
        <v>5353.15</v>
      </c>
      <c r="X651" s="160">
        <f>X650-D_Emprunts!$W651</f>
        <v>-1526933.8799999987</v>
      </c>
      <c r="Y651">
        <v>644</v>
      </c>
      <c r="Z651" t="str">
        <f t="shared" si="52"/>
        <v>Investissement</v>
      </c>
      <c r="AA651" t="str">
        <f t="shared" si="53"/>
        <v>travaux magasin</v>
      </c>
    </row>
    <row r="652" spans="20:27" x14ac:dyDescent="0.25">
      <c r="T652" s="155">
        <f t="shared" si="50"/>
        <v>63559</v>
      </c>
      <c r="U652" s="164">
        <f t="shared" si="51"/>
        <v>864.41</v>
      </c>
      <c r="V652" s="159">
        <f t="shared" si="54"/>
        <v>-4504.53</v>
      </c>
      <c r="W652" s="156">
        <f>D_Emprunts!$U652-D_Emprunts!$V652</f>
        <v>5368.94</v>
      </c>
      <c r="X652" s="157">
        <f>X651-D_Emprunts!$W652</f>
        <v>-1532302.8199999987</v>
      </c>
      <c r="Y652">
        <v>645</v>
      </c>
      <c r="Z652" t="str">
        <f t="shared" si="52"/>
        <v>Investissement</v>
      </c>
      <c r="AA652" t="str">
        <f t="shared" si="53"/>
        <v>travaux magasin</v>
      </c>
    </row>
    <row r="653" spans="20:27" x14ac:dyDescent="0.25">
      <c r="T653" s="158">
        <f t="shared" si="50"/>
        <v>63590</v>
      </c>
      <c r="U653" s="164">
        <f t="shared" si="51"/>
        <v>864.41</v>
      </c>
      <c r="V653" s="159">
        <f t="shared" si="54"/>
        <v>-4520.37</v>
      </c>
      <c r="W653" s="159">
        <f>D_Emprunts!$U653-D_Emprunts!$V653</f>
        <v>5384.78</v>
      </c>
      <c r="X653" s="160">
        <f>X652-D_Emprunts!$W653</f>
        <v>-1537687.5999999987</v>
      </c>
      <c r="Y653">
        <v>646</v>
      </c>
      <c r="Z653" t="str">
        <f t="shared" si="52"/>
        <v>Investissement</v>
      </c>
      <c r="AA653" t="str">
        <f t="shared" si="53"/>
        <v>travaux magasin</v>
      </c>
    </row>
    <row r="654" spans="20:27" x14ac:dyDescent="0.25">
      <c r="T654" s="155">
        <f t="shared" si="50"/>
        <v>63618</v>
      </c>
      <c r="U654" s="164">
        <f t="shared" si="51"/>
        <v>864.41</v>
      </c>
      <c r="V654" s="159">
        <f t="shared" si="54"/>
        <v>-4536.26</v>
      </c>
      <c r="W654" s="156">
        <f>D_Emprunts!$U654-D_Emprunts!$V654</f>
        <v>5400.67</v>
      </c>
      <c r="X654" s="157">
        <f>X653-D_Emprunts!$W654</f>
        <v>-1543088.2699999986</v>
      </c>
      <c r="Y654">
        <v>647</v>
      </c>
      <c r="Z654" t="str">
        <f t="shared" si="52"/>
        <v>Investissement</v>
      </c>
      <c r="AA654" t="str">
        <f t="shared" si="53"/>
        <v>travaux magasin</v>
      </c>
    </row>
    <row r="655" spans="20:27" x14ac:dyDescent="0.25">
      <c r="T655" s="158">
        <f t="shared" si="50"/>
        <v>63649</v>
      </c>
      <c r="U655" s="164">
        <f t="shared" si="51"/>
        <v>864.41</v>
      </c>
      <c r="V655" s="159">
        <f t="shared" si="54"/>
        <v>-4552.1899999999996</v>
      </c>
      <c r="W655" s="159">
        <f>D_Emprunts!$U655-D_Emprunts!$V655</f>
        <v>5416.5999999999995</v>
      </c>
      <c r="X655" s="160">
        <f>X654-D_Emprunts!$W655</f>
        <v>-1548504.8699999987</v>
      </c>
      <c r="Y655">
        <v>648</v>
      </c>
      <c r="Z655" t="str">
        <f t="shared" si="52"/>
        <v>Investissement</v>
      </c>
      <c r="AA655" t="str">
        <f t="shared" si="53"/>
        <v>travaux magasin</v>
      </c>
    </row>
    <row r="656" spans="20:27" x14ac:dyDescent="0.25">
      <c r="T656" s="155">
        <f t="shared" si="50"/>
        <v>63679</v>
      </c>
      <c r="U656" s="164">
        <f t="shared" si="51"/>
        <v>864.41</v>
      </c>
      <c r="V656" s="159">
        <f t="shared" si="54"/>
        <v>-4568.17</v>
      </c>
      <c r="W656" s="156">
        <f>D_Emprunts!$U656-D_Emprunts!$V656</f>
        <v>5432.58</v>
      </c>
      <c r="X656" s="157">
        <f>X655-D_Emprunts!$W656</f>
        <v>-1553937.4499999988</v>
      </c>
      <c r="Y656">
        <v>649</v>
      </c>
      <c r="Z656" t="str">
        <f t="shared" si="52"/>
        <v>Investissement</v>
      </c>
      <c r="AA656" t="str">
        <f t="shared" si="53"/>
        <v>travaux magasin</v>
      </c>
    </row>
    <row r="657" spans="20:27" x14ac:dyDescent="0.25">
      <c r="T657" s="158">
        <f t="shared" si="50"/>
        <v>63710</v>
      </c>
      <c r="U657" s="164">
        <f t="shared" si="51"/>
        <v>864.41</v>
      </c>
      <c r="V657" s="159">
        <f t="shared" si="54"/>
        <v>-4584.1899999999996</v>
      </c>
      <c r="W657" s="159">
        <f>D_Emprunts!$U657-D_Emprunts!$V657</f>
        <v>5448.5999999999995</v>
      </c>
      <c r="X657" s="160">
        <f>X656-D_Emprunts!$W657</f>
        <v>-1559386.0499999989</v>
      </c>
      <c r="Y657">
        <v>650</v>
      </c>
      <c r="Z657" t="str">
        <f t="shared" si="52"/>
        <v>Investissement</v>
      </c>
      <c r="AA657" t="str">
        <f t="shared" si="53"/>
        <v>travaux magasin</v>
      </c>
    </row>
    <row r="658" spans="20:27" x14ac:dyDescent="0.25">
      <c r="T658" s="155">
        <f t="shared" si="50"/>
        <v>63740</v>
      </c>
      <c r="U658" s="164">
        <f t="shared" si="51"/>
        <v>864.41</v>
      </c>
      <c r="V658" s="159">
        <f t="shared" si="54"/>
        <v>-4600.2700000000004</v>
      </c>
      <c r="W658" s="156">
        <f>D_Emprunts!$U658-D_Emprunts!$V658</f>
        <v>5464.68</v>
      </c>
      <c r="X658" s="157">
        <f>X657-D_Emprunts!$W658</f>
        <v>-1564850.7299999988</v>
      </c>
      <c r="Y658">
        <v>651</v>
      </c>
      <c r="Z658" t="str">
        <f t="shared" si="52"/>
        <v>Investissement</v>
      </c>
      <c r="AA658" t="str">
        <f t="shared" si="53"/>
        <v>travaux magasin</v>
      </c>
    </row>
    <row r="659" spans="20:27" x14ac:dyDescent="0.25">
      <c r="T659" s="158">
        <f t="shared" si="50"/>
        <v>63771</v>
      </c>
      <c r="U659" s="164">
        <f t="shared" si="51"/>
        <v>864.41</v>
      </c>
      <c r="V659" s="159">
        <f t="shared" si="54"/>
        <v>-4616.3900000000003</v>
      </c>
      <c r="W659" s="159">
        <f>D_Emprunts!$U659-D_Emprunts!$V659</f>
        <v>5480.8</v>
      </c>
      <c r="X659" s="160">
        <f>X658-D_Emprunts!$W659</f>
        <v>-1570331.5299999989</v>
      </c>
      <c r="Y659">
        <v>652</v>
      </c>
      <c r="Z659" t="str">
        <f t="shared" si="52"/>
        <v>Investissement</v>
      </c>
      <c r="AA659" t="str">
        <f t="shared" si="53"/>
        <v>travaux magasin</v>
      </c>
    </row>
    <row r="660" spans="20:27" x14ac:dyDescent="0.25">
      <c r="T660" s="155">
        <f t="shared" si="50"/>
        <v>63802</v>
      </c>
      <c r="U660" s="164">
        <f t="shared" si="51"/>
        <v>864.41</v>
      </c>
      <c r="V660" s="159">
        <f t="shared" si="54"/>
        <v>-4632.5600000000004</v>
      </c>
      <c r="W660" s="156">
        <f>D_Emprunts!$U660-D_Emprunts!$V660</f>
        <v>5496.97</v>
      </c>
      <c r="X660" s="157">
        <f>X659-D_Emprunts!$W660</f>
        <v>-1575828.4999999988</v>
      </c>
      <c r="Y660">
        <v>653</v>
      </c>
      <c r="Z660" t="str">
        <f t="shared" si="52"/>
        <v>Investissement</v>
      </c>
      <c r="AA660" t="str">
        <f t="shared" si="53"/>
        <v>travaux magasin</v>
      </c>
    </row>
    <row r="661" spans="20:27" x14ac:dyDescent="0.25">
      <c r="T661" s="158">
        <f t="shared" si="50"/>
        <v>63832</v>
      </c>
      <c r="U661" s="164">
        <f t="shared" si="51"/>
        <v>864.41</v>
      </c>
      <c r="V661" s="159">
        <f t="shared" si="54"/>
        <v>-4648.7700000000004</v>
      </c>
      <c r="W661" s="159">
        <f>D_Emprunts!$U661-D_Emprunts!$V661</f>
        <v>5513.18</v>
      </c>
      <c r="X661" s="160">
        <f>X660-D_Emprunts!$W661</f>
        <v>-1581341.6799999988</v>
      </c>
      <c r="Y661">
        <v>654</v>
      </c>
      <c r="Z661" t="str">
        <f t="shared" si="52"/>
        <v>Investissement</v>
      </c>
      <c r="AA661" t="str">
        <f t="shared" si="53"/>
        <v>travaux magasin</v>
      </c>
    </row>
    <row r="662" spans="20:27" x14ac:dyDescent="0.25">
      <c r="T662" s="155">
        <f t="shared" si="50"/>
        <v>63863</v>
      </c>
      <c r="U662" s="164">
        <f t="shared" si="51"/>
        <v>864.41</v>
      </c>
      <c r="V662" s="159">
        <f t="shared" si="54"/>
        <v>-4665.04</v>
      </c>
      <c r="W662" s="156">
        <f>D_Emprunts!$U662-D_Emprunts!$V662</f>
        <v>5529.45</v>
      </c>
      <c r="X662" s="157">
        <f>X661-D_Emprunts!$W662</f>
        <v>-1586871.1299999987</v>
      </c>
      <c r="Y662">
        <v>655</v>
      </c>
      <c r="Z662" t="str">
        <f t="shared" si="52"/>
        <v>Investissement</v>
      </c>
      <c r="AA662" t="str">
        <f t="shared" si="53"/>
        <v>travaux magasin</v>
      </c>
    </row>
    <row r="663" spans="20:27" x14ac:dyDescent="0.25">
      <c r="T663" s="158">
        <f t="shared" si="50"/>
        <v>63893</v>
      </c>
      <c r="U663" s="164">
        <f t="shared" si="51"/>
        <v>864.41</v>
      </c>
      <c r="V663" s="159">
        <f t="shared" si="54"/>
        <v>-4681.3500000000004</v>
      </c>
      <c r="W663" s="159">
        <f>D_Emprunts!$U663-D_Emprunts!$V663</f>
        <v>5545.76</v>
      </c>
      <c r="X663" s="160">
        <f>X662-D_Emprunts!$W663</f>
        <v>-1592416.8899999987</v>
      </c>
      <c r="Y663">
        <v>656</v>
      </c>
      <c r="Z663" t="str">
        <f t="shared" si="52"/>
        <v>Investissement</v>
      </c>
      <c r="AA663" t="str">
        <f t="shared" si="53"/>
        <v>travaux magasin</v>
      </c>
    </row>
    <row r="664" spans="20:27" x14ac:dyDescent="0.25">
      <c r="T664" s="155">
        <f t="shared" si="50"/>
        <v>63924</v>
      </c>
      <c r="U664" s="164">
        <f t="shared" si="51"/>
        <v>864.41</v>
      </c>
      <c r="V664" s="159">
        <f t="shared" si="54"/>
        <v>-4697.71</v>
      </c>
      <c r="W664" s="156">
        <f>D_Emprunts!$U664-D_Emprunts!$V664</f>
        <v>5562.12</v>
      </c>
      <c r="X664" s="157">
        <f>X663-D_Emprunts!$W664</f>
        <v>-1597979.0099999988</v>
      </c>
      <c r="Y664">
        <v>657</v>
      </c>
      <c r="Z664" t="str">
        <f t="shared" si="52"/>
        <v>Investissement</v>
      </c>
      <c r="AA664" t="str">
        <f t="shared" si="53"/>
        <v>travaux magasin</v>
      </c>
    </row>
    <row r="665" spans="20:27" x14ac:dyDescent="0.25">
      <c r="T665" s="158">
        <f t="shared" si="50"/>
        <v>63955</v>
      </c>
      <c r="U665" s="164">
        <f t="shared" si="51"/>
        <v>864.41</v>
      </c>
      <c r="V665" s="159">
        <f t="shared" si="54"/>
        <v>-4714.12</v>
      </c>
      <c r="W665" s="159">
        <f>D_Emprunts!$U665-D_Emprunts!$V665</f>
        <v>5578.53</v>
      </c>
      <c r="X665" s="160">
        <f>X664-D_Emprunts!$W665</f>
        <v>-1603557.5399999989</v>
      </c>
      <c r="Y665">
        <v>658</v>
      </c>
      <c r="Z665" t="str">
        <f t="shared" si="52"/>
        <v>Investissement</v>
      </c>
      <c r="AA665" t="str">
        <f t="shared" si="53"/>
        <v>travaux magasin</v>
      </c>
    </row>
    <row r="666" spans="20:27" x14ac:dyDescent="0.25">
      <c r="T666" s="155">
        <f t="shared" si="50"/>
        <v>63983</v>
      </c>
      <c r="U666" s="164">
        <f t="shared" si="51"/>
        <v>864.41</v>
      </c>
      <c r="V666" s="159">
        <f t="shared" si="54"/>
        <v>-4730.58</v>
      </c>
      <c r="W666" s="156">
        <f>D_Emprunts!$U666-D_Emprunts!$V666</f>
        <v>5594.99</v>
      </c>
      <c r="X666" s="157">
        <f>X665-D_Emprunts!$W666</f>
        <v>-1609152.5299999989</v>
      </c>
      <c r="Y666">
        <v>659</v>
      </c>
      <c r="Z666" t="str">
        <f t="shared" si="52"/>
        <v>Investissement</v>
      </c>
      <c r="AA666" t="str">
        <f t="shared" si="53"/>
        <v>travaux magasin</v>
      </c>
    </row>
    <row r="667" spans="20:27" x14ac:dyDescent="0.25">
      <c r="T667" s="158">
        <f t="shared" si="50"/>
        <v>64014</v>
      </c>
      <c r="U667" s="164">
        <f t="shared" si="51"/>
        <v>864.41</v>
      </c>
      <c r="V667" s="159">
        <f t="shared" si="54"/>
        <v>-4747.08</v>
      </c>
      <c r="W667" s="159">
        <f>D_Emprunts!$U667-D_Emprunts!$V667</f>
        <v>5611.49</v>
      </c>
      <c r="X667" s="160">
        <f>X666-D_Emprunts!$W667</f>
        <v>-1614764.0199999989</v>
      </c>
      <c r="Y667">
        <v>660</v>
      </c>
      <c r="Z667" t="str">
        <f t="shared" si="52"/>
        <v>Investissement</v>
      </c>
      <c r="AA667" t="str">
        <f t="shared" si="53"/>
        <v>travaux magasin</v>
      </c>
    </row>
    <row r="668" spans="20:27" x14ac:dyDescent="0.25">
      <c r="T668" s="155">
        <f t="shared" si="50"/>
        <v>64044</v>
      </c>
      <c r="U668" s="164">
        <f t="shared" si="51"/>
        <v>864.41</v>
      </c>
      <c r="V668" s="159">
        <f t="shared" si="54"/>
        <v>-4763.6400000000003</v>
      </c>
      <c r="W668" s="156">
        <f>D_Emprunts!$U668-D_Emprunts!$V668</f>
        <v>5628.05</v>
      </c>
      <c r="X668" s="157">
        <f>X667-D_Emprunts!$W668</f>
        <v>-1620392.0699999989</v>
      </c>
      <c r="Y668">
        <v>661</v>
      </c>
      <c r="Z668" t="str">
        <f t="shared" si="52"/>
        <v>Investissement</v>
      </c>
      <c r="AA668" t="str">
        <f t="shared" si="53"/>
        <v>travaux magasin</v>
      </c>
    </row>
    <row r="669" spans="20:27" x14ac:dyDescent="0.25">
      <c r="T669" s="158">
        <f t="shared" si="50"/>
        <v>64075</v>
      </c>
      <c r="U669" s="164">
        <f t="shared" si="51"/>
        <v>864.41</v>
      </c>
      <c r="V669" s="159">
        <f t="shared" si="54"/>
        <v>-4780.24</v>
      </c>
      <c r="W669" s="159">
        <f>D_Emprunts!$U669-D_Emprunts!$V669</f>
        <v>5644.65</v>
      </c>
      <c r="X669" s="160">
        <f>X668-D_Emprunts!$W669</f>
        <v>-1626036.7199999988</v>
      </c>
      <c r="Y669">
        <v>662</v>
      </c>
      <c r="Z669" t="str">
        <f t="shared" si="52"/>
        <v>Investissement</v>
      </c>
      <c r="AA669" t="str">
        <f t="shared" si="53"/>
        <v>travaux magasin</v>
      </c>
    </row>
    <row r="670" spans="20:27" x14ac:dyDescent="0.25">
      <c r="T670" s="155">
        <f t="shared" si="50"/>
        <v>64105</v>
      </c>
      <c r="U670" s="164">
        <f t="shared" si="51"/>
        <v>864.41</v>
      </c>
      <c r="V670" s="159">
        <f t="shared" si="54"/>
        <v>-4796.8900000000003</v>
      </c>
      <c r="W670" s="156">
        <f>D_Emprunts!$U670-D_Emprunts!$V670</f>
        <v>5661.3</v>
      </c>
      <c r="X670" s="157">
        <f>X669-D_Emprunts!$W670</f>
        <v>-1631698.0199999989</v>
      </c>
      <c r="Y670">
        <v>663</v>
      </c>
      <c r="Z670" t="str">
        <f t="shared" si="52"/>
        <v>Investissement</v>
      </c>
      <c r="AA670" t="str">
        <f t="shared" si="53"/>
        <v>travaux magasin</v>
      </c>
    </row>
    <row r="671" spans="20:27" x14ac:dyDescent="0.25">
      <c r="T671" s="158">
        <f t="shared" si="50"/>
        <v>64136</v>
      </c>
      <c r="U671" s="164">
        <f t="shared" si="51"/>
        <v>864.41</v>
      </c>
      <c r="V671" s="159">
        <f t="shared" si="54"/>
        <v>-4813.59</v>
      </c>
      <c r="W671" s="159">
        <f>D_Emprunts!$U671-D_Emprunts!$V671</f>
        <v>5678</v>
      </c>
      <c r="X671" s="160">
        <f>X670-D_Emprunts!$W671</f>
        <v>-1637376.0199999989</v>
      </c>
      <c r="Y671">
        <v>664</v>
      </c>
      <c r="Z671" t="str">
        <f t="shared" si="52"/>
        <v>Investissement</v>
      </c>
      <c r="AA671" t="str">
        <f t="shared" si="53"/>
        <v>travaux magasin</v>
      </c>
    </row>
    <row r="672" spans="20:27" x14ac:dyDescent="0.25">
      <c r="T672" s="155">
        <f t="shared" si="50"/>
        <v>64167</v>
      </c>
      <c r="U672" s="164">
        <f t="shared" si="51"/>
        <v>864.41</v>
      </c>
      <c r="V672" s="159">
        <f t="shared" si="54"/>
        <v>-4830.34</v>
      </c>
      <c r="W672" s="156">
        <f>D_Emprunts!$U672-D_Emprunts!$V672</f>
        <v>5694.75</v>
      </c>
      <c r="X672" s="157">
        <f>X671-D_Emprunts!$W672</f>
        <v>-1643070.7699999989</v>
      </c>
      <c r="Y672">
        <v>665</v>
      </c>
      <c r="Z672" t="str">
        <f t="shared" si="52"/>
        <v>Investissement</v>
      </c>
      <c r="AA672" t="str">
        <f t="shared" si="53"/>
        <v>travaux magasin</v>
      </c>
    </row>
    <row r="673" spans="20:27" x14ac:dyDescent="0.25">
      <c r="T673" s="158">
        <f t="shared" si="50"/>
        <v>64197</v>
      </c>
      <c r="U673" s="164">
        <f t="shared" si="51"/>
        <v>864.41</v>
      </c>
      <c r="V673" s="159">
        <f t="shared" si="54"/>
        <v>-4847.1400000000003</v>
      </c>
      <c r="W673" s="159">
        <f>D_Emprunts!$U673-D_Emprunts!$V673</f>
        <v>5711.55</v>
      </c>
      <c r="X673" s="160">
        <f>X672-D_Emprunts!$W673</f>
        <v>-1648782.3199999989</v>
      </c>
      <c r="Y673">
        <v>666</v>
      </c>
      <c r="Z673" t="str">
        <f t="shared" si="52"/>
        <v>Investissement</v>
      </c>
      <c r="AA673" t="str">
        <f t="shared" si="53"/>
        <v>travaux magasin</v>
      </c>
    </row>
    <row r="674" spans="20:27" x14ac:dyDescent="0.25">
      <c r="T674" s="155">
        <f t="shared" si="50"/>
        <v>64228</v>
      </c>
      <c r="U674" s="164">
        <f t="shared" si="51"/>
        <v>864.41</v>
      </c>
      <c r="V674" s="159">
        <f t="shared" si="54"/>
        <v>-4863.99</v>
      </c>
      <c r="W674" s="156">
        <f>D_Emprunts!$U674-D_Emprunts!$V674</f>
        <v>5728.4</v>
      </c>
      <c r="X674" s="157">
        <f>X673-D_Emprunts!$W674</f>
        <v>-1654510.7199999988</v>
      </c>
      <c r="Y674">
        <v>667</v>
      </c>
      <c r="Z674" t="str">
        <f t="shared" si="52"/>
        <v>Investissement</v>
      </c>
      <c r="AA674" t="str">
        <f t="shared" si="53"/>
        <v>travaux magasin</v>
      </c>
    </row>
    <row r="675" spans="20:27" x14ac:dyDescent="0.25">
      <c r="T675" s="158">
        <f t="shared" si="50"/>
        <v>64258</v>
      </c>
      <c r="U675" s="164">
        <f t="shared" si="51"/>
        <v>864.41</v>
      </c>
      <c r="V675" s="159">
        <f t="shared" si="54"/>
        <v>-4880.8900000000003</v>
      </c>
      <c r="W675" s="159">
        <f>D_Emprunts!$U675-D_Emprunts!$V675</f>
        <v>5745.3</v>
      </c>
      <c r="X675" s="160">
        <f>X674-D_Emprunts!$W675</f>
        <v>-1660256.0199999989</v>
      </c>
      <c r="Y675">
        <v>668</v>
      </c>
      <c r="Z675" t="str">
        <f t="shared" si="52"/>
        <v>Investissement</v>
      </c>
      <c r="AA675" t="str">
        <f t="shared" si="53"/>
        <v>travaux magasin</v>
      </c>
    </row>
    <row r="676" spans="20:27" x14ac:dyDescent="0.25">
      <c r="T676" s="155">
        <f t="shared" si="50"/>
        <v>64289</v>
      </c>
      <c r="U676" s="164">
        <f t="shared" si="51"/>
        <v>864.41</v>
      </c>
      <c r="V676" s="159">
        <f t="shared" si="54"/>
        <v>-4897.84</v>
      </c>
      <c r="W676" s="156">
        <f>D_Emprunts!$U676-D_Emprunts!$V676</f>
        <v>5762.25</v>
      </c>
      <c r="X676" s="157">
        <f>X675-D_Emprunts!$W676</f>
        <v>-1666018.2699999989</v>
      </c>
      <c r="Y676">
        <v>669</v>
      </c>
      <c r="Z676" t="str">
        <f t="shared" si="52"/>
        <v>Investissement</v>
      </c>
      <c r="AA676" t="str">
        <f t="shared" si="53"/>
        <v>travaux magasin</v>
      </c>
    </row>
    <row r="677" spans="20:27" x14ac:dyDescent="0.25">
      <c r="T677" s="158">
        <f t="shared" si="50"/>
        <v>64320</v>
      </c>
      <c r="U677" s="164">
        <f t="shared" si="51"/>
        <v>864.41</v>
      </c>
      <c r="V677" s="159">
        <f t="shared" si="54"/>
        <v>-4914.84</v>
      </c>
      <c r="W677" s="159">
        <f>D_Emprunts!$U677-D_Emprunts!$V677</f>
        <v>5779.25</v>
      </c>
      <c r="X677" s="160">
        <f>X676-D_Emprunts!$W677</f>
        <v>-1671797.5199999989</v>
      </c>
      <c r="Y677">
        <v>670</v>
      </c>
      <c r="Z677" t="str">
        <f t="shared" si="52"/>
        <v>Investissement</v>
      </c>
      <c r="AA677" t="str">
        <f t="shared" si="53"/>
        <v>travaux magasin</v>
      </c>
    </row>
    <row r="678" spans="20:27" x14ac:dyDescent="0.25">
      <c r="T678" s="155">
        <f t="shared" si="50"/>
        <v>64349</v>
      </c>
      <c r="U678" s="164">
        <f t="shared" si="51"/>
        <v>864.41</v>
      </c>
      <c r="V678" s="159">
        <f t="shared" si="54"/>
        <v>-4931.8900000000003</v>
      </c>
      <c r="W678" s="156">
        <f>D_Emprunts!$U678-D_Emprunts!$V678</f>
        <v>5796.3</v>
      </c>
      <c r="X678" s="157">
        <f>X677-D_Emprunts!$W678</f>
        <v>-1677593.8199999989</v>
      </c>
      <c r="Y678">
        <v>671</v>
      </c>
      <c r="Z678" t="str">
        <f t="shared" si="52"/>
        <v>Investissement</v>
      </c>
      <c r="AA678" t="str">
        <f t="shared" si="53"/>
        <v>travaux magasin</v>
      </c>
    </row>
    <row r="679" spans="20:27" x14ac:dyDescent="0.25">
      <c r="T679" s="158">
        <f t="shared" si="50"/>
        <v>64380</v>
      </c>
      <c r="U679" s="164">
        <f t="shared" si="51"/>
        <v>864.41</v>
      </c>
      <c r="V679" s="159">
        <f t="shared" si="54"/>
        <v>-4948.99</v>
      </c>
      <c r="W679" s="159">
        <f>D_Emprunts!$U679-D_Emprunts!$V679</f>
        <v>5813.4</v>
      </c>
      <c r="X679" s="160">
        <f>X678-D_Emprunts!$W679</f>
        <v>-1683407.2199999988</v>
      </c>
      <c r="Y679">
        <v>672</v>
      </c>
      <c r="Z679" t="str">
        <f t="shared" si="52"/>
        <v>Investissement</v>
      </c>
      <c r="AA679" t="str">
        <f t="shared" si="53"/>
        <v>travaux magasin</v>
      </c>
    </row>
    <row r="680" spans="20:27" x14ac:dyDescent="0.25">
      <c r="T680" s="155">
        <f t="shared" si="50"/>
        <v>64410</v>
      </c>
      <c r="U680" s="164">
        <f t="shared" si="51"/>
        <v>864.41</v>
      </c>
      <c r="V680" s="159">
        <f t="shared" si="54"/>
        <v>-4966.1400000000003</v>
      </c>
      <c r="W680" s="156">
        <f>D_Emprunts!$U680-D_Emprunts!$V680</f>
        <v>5830.55</v>
      </c>
      <c r="X680" s="157">
        <f>X679-D_Emprunts!$W680</f>
        <v>-1689237.7699999989</v>
      </c>
      <c r="Y680">
        <v>673</v>
      </c>
      <c r="Z680" t="str">
        <f t="shared" si="52"/>
        <v>Investissement</v>
      </c>
      <c r="AA680" t="str">
        <f t="shared" si="53"/>
        <v>travaux magasin</v>
      </c>
    </row>
    <row r="681" spans="20:27" x14ac:dyDescent="0.25">
      <c r="T681" s="158">
        <f t="shared" si="50"/>
        <v>64441</v>
      </c>
      <c r="U681" s="164">
        <f t="shared" si="51"/>
        <v>864.41</v>
      </c>
      <c r="V681" s="159">
        <f t="shared" si="54"/>
        <v>-4983.34</v>
      </c>
      <c r="W681" s="159">
        <f>D_Emprunts!$U681-D_Emprunts!$V681</f>
        <v>5847.75</v>
      </c>
      <c r="X681" s="160">
        <f>X680-D_Emprunts!$W681</f>
        <v>-1695085.5199999989</v>
      </c>
      <c r="Y681">
        <v>674</v>
      </c>
      <c r="Z681" t="str">
        <f t="shared" si="52"/>
        <v>Investissement</v>
      </c>
      <c r="AA681" t="str">
        <f t="shared" si="53"/>
        <v>travaux magasin</v>
      </c>
    </row>
    <row r="682" spans="20:27" x14ac:dyDescent="0.25">
      <c r="T682" s="155">
        <f t="shared" si="50"/>
        <v>64471</v>
      </c>
      <c r="U682" s="164">
        <f t="shared" si="51"/>
        <v>864.41</v>
      </c>
      <c r="V682" s="159">
        <f t="shared" si="54"/>
        <v>-5000.59</v>
      </c>
      <c r="W682" s="156">
        <f>D_Emprunts!$U682-D_Emprunts!$V682</f>
        <v>5865</v>
      </c>
      <c r="X682" s="157">
        <f>X681-D_Emprunts!$W682</f>
        <v>-1700950.5199999989</v>
      </c>
      <c r="Y682">
        <v>675</v>
      </c>
      <c r="Z682" t="str">
        <f t="shared" si="52"/>
        <v>Investissement</v>
      </c>
      <c r="AA682" t="str">
        <f t="shared" si="53"/>
        <v>travaux magasin</v>
      </c>
    </row>
    <row r="683" spans="20:27" x14ac:dyDescent="0.25">
      <c r="T683" s="158">
        <f t="shared" si="50"/>
        <v>64502</v>
      </c>
      <c r="U683" s="164">
        <f t="shared" si="51"/>
        <v>864.41</v>
      </c>
      <c r="V683" s="159">
        <f t="shared" si="54"/>
        <v>-5017.8900000000003</v>
      </c>
      <c r="W683" s="159">
        <f>D_Emprunts!$U683-D_Emprunts!$V683</f>
        <v>5882.3</v>
      </c>
      <c r="X683" s="160">
        <f>X682-D_Emprunts!$W683</f>
        <v>-1706832.8199999989</v>
      </c>
      <c r="Y683">
        <v>676</v>
      </c>
      <c r="Z683" t="str">
        <f t="shared" si="52"/>
        <v>Investissement</v>
      </c>
      <c r="AA683" t="str">
        <f t="shared" si="53"/>
        <v>travaux magasin</v>
      </c>
    </row>
    <row r="684" spans="20:27" x14ac:dyDescent="0.25">
      <c r="T684" s="155">
        <f t="shared" si="50"/>
        <v>64533</v>
      </c>
      <c r="U684" s="164">
        <f t="shared" si="51"/>
        <v>864.41</v>
      </c>
      <c r="V684" s="159">
        <f t="shared" si="54"/>
        <v>-5035.24</v>
      </c>
      <c r="W684" s="156">
        <f>D_Emprunts!$U684-D_Emprunts!$V684</f>
        <v>5899.65</v>
      </c>
      <c r="X684" s="157">
        <f>X683-D_Emprunts!$W684</f>
        <v>-1712732.4699999988</v>
      </c>
      <c r="Y684">
        <v>677</v>
      </c>
      <c r="Z684" t="str">
        <f t="shared" si="52"/>
        <v>Investissement</v>
      </c>
      <c r="AA684" t="str">
        <f t="shared" si="53"/>
        <v>travaux magasin</v>
      </c>
    </row>
    <row r="685" spans="20:27" x14ac:dyDescent="0.25">
      <c r="T685" s="158">
        <f t="shared" si="50"/>
        <v>64563</v>
      </c>
      <c r="U685" s="164">
        <f t="shared" si="51"/>
        <v>864.41</v>
      </c>
      <c r="V685" s="159">
        <f t="shared" si="54"/>
        <v>-5052.6499999999996</v>
      </c>
      <c r="W685" s="159">
        <f>D_Emprunts!$U685-D_Emprunts!$V685</f>
        <v>5917.0599999999995</v>
      </c>
      <c r="X685" s="160">
        <f>X684-D_Emprunts!$W685</f>
        <v>-1718649.5299999989</v>
      </c>
      <c r="Y685">
        <v>678</v>
      </c>
      <c r="Z685" t="str">
        <f t="shared" si="52"/>
        <v>Investissement</v>
      </c>
      <c r="AA685" t="str">
        <f t="shared" si="53"/>
        <v>travaux magasin</v>
      </c>
    </row>
    <row r="686" spans="20:27" x14ac:dyDescent="0.25">
      <c r="T686" s="155">
        <f t="shared" si="50"/>
        <v>64594</v>
      </c>
      <c r="U686" s="164">
        <f t="shared" si="51"/>
        <v>864.41</v>
      </c>
      <c r="V686" s="159">
        <f t="shared" si="54"/>
        <v>-5070.1000000000004</v>
      </c>
      <c r="W686" s="156">
        <f>D_Emprunts!$U686-D_Emprunts!$V686</f>
        <v>5934.51</v>
      </c>
      <c r="X686" s="157">
        <f>X685-D_Emprunts!$W686</f>
        <v>-1724584.0399999989</v>
      </c>
      <c r="Y686">
        <v>679</v>
      </c>
      <c r="Z686" t="str">
        <f t="shared" si="52"/>
        <v>Investissement</v>
      </c>
      <c r="AA686" t="str">
        <f t="shared" si="53"/>
        <v>travaux magasin</v>
      </c>
    </row>
    <row r="687" spans="20:27" x14ac:dyDescent="0.25">
      <c r="T687" s="158">
        <f t="shared" si="50"/>
        <v>64624</v>
      </c>
      <c r="U687" s="164">
        <f t="shared" si="51"/>
        <v>864.41</v>
      </c>
      <c r="V687" s="159">
        <f t="shared" si="54"/>
        <v>-5087.6099999999997</v>
      </c>
      <c r="W687" s="159">
        <f>D_Emprunts!$U687-D_Emprunts!$V687</f>
        <v>5952.0199999999995</v>
      </c>
      <c r="X687" s="160">
        <f>X686-D_Emprunts!$W687</f>
        <v>-1730536.0599999989</v>
      </c>
      <c r="Y687">
        <v>680</v>
      </c>
      <c r="Z687" t="str">
        <f t="shared" si="52"/>
        <v>Investissement</v>
      </c>
      <c r="AA687" t="str">
        <f t="shared" si="53"/>
        <v>travaux magasin</v>
      </c>
    </row>
    <row r="688" spans="20:27" x14ac:dyDescent="0.25">
      <c r="T688" s="155">
        <f t="shared" si="50"/>
        <v>64655</v>
      </c>
      <c r="U688" s="164">
        <f t="shared" si="51"/>
        <v>864.41</v>
      </c>
      <c r="V688" s="159">
        <f t="shared" si="54"/>
        <v>-5105.17</v>
      </c>
      <c r="W688" s="156">
        <f>D_Emprunts!$U688-D_Emprunts!$V688</f>
        <v>5969.58</v>
      </c>
      <c r="X688" s="157">
        <f>X687-D_Emprunts!$W688</f>
        <v>-1736505.639999999</v>
      </c>
      <c r="Y688">
        <v>681</v>
      </c>
      <c r="Z688" t="str">
        <f t="shared" si="52"/>
        <v>Investissement</v>
      </c>
      <c r="AA688" t="str">
        <f t="shared" si="53"/>
        <v>travaux magasin</v>
      </c>
    </row>
    <row r="689" spans="20:27" x14ac:dyDescent="0.25">
      <c r="T689" s="158">
        <f t="shared" si="50"/>
        <v>64686</v>
      </c>
      <c r="U689" s="164">
        <f t="shared" si="51"/>
        <v>864.41</v>
      </c>
      <c r="V689" s="159">
        <f t="shared" si="54"/>
        <v>-5122.78</v>
      </c>
      <c r="W689" s="159">
        <f>D_Emprunts!$U689-D_Emprunts!$V689</f>
        <v>5987.19</v>
      </c>
      <c r="X689" s="160">
        <f>X688-D_Emprunts!$W689</f>
        <v>-1742492.8299999989</v>
      </c>
      <c r="Y689">
        <v>682</v>
      </c>
      <c r="Z689" t="str">
        <f t="shared" si="52"/>
        <v>Investissement</v>
      </c>
      <c r="AA689" t="str">
        <f t="shared" si="53"/>
        <v>travaux magasin</v>
      </c>
    </row>
    <row r="690" spans="20:27" x14ac:dyDescent="0.25">
      <c r="T690" s="155">
        <f t="shared" si="50"/>
        <v>64714</v>
      </c>
      <c r="U690" s="164">
        <f t="shared" si="51"/>
        <v>864.41</v>
      </c>
      <c r="V690" s="159">
        <f t="shared" si="54"/>
        <v>-5140.4399999999996</v>
      </c>
      <c r="W690" s="156">
        <f>D_Emprunts!$U690-D_Emprunts!$V690</f>
        <v>6004.8499999999995</v>
      </c>
      <c r="X690" s="157">
        <f>X689-D_Emprunts!$W690</f>
        <v>-1748497.679999999</v>
      </c>
      <c r="Y690">
        <v>683</v>
      </c>
      <c r="Z690" t="str">
        <f t="shared" si="52"/>
        <v>Investissement</v>
      </c>
      <c r="AA690" t="str">
        <f t="shared" si="53"/>
        <v>travaux magasin</v>
      </c>
    </row>
    <row r="691" spans="20:27" x14ac:dyDescent="0.25">
      <c r="T691" s="158">
        <f t="shared" si="50"/>
        <v>64745</v>
      </c>
      <c r="U691" s="164">
        <f t="shared" si="51"/>
        <v>864.41</v>
      </c>
      <c r="V691" s="159">
        <f t="shared" si="54"/>
        <v>-5158.16</v>
      </c>
      <c r="W691" s="159">
        <f>D_Emprunts!$U691-D_Emprunts!$V691</f>
        <v>6022.57</v>
      </c>
      <c r="X691" s="160">
        <f>X690-D_Emprunts!$W691</f>
        <v>-1754520.2499999991</v>
      </c>
      <c r="Y691">
        <v>684</v>
      </c>
      <c r="Z691" t="str">
        <f t="shared" si="52"/>
        <v>Investissement</v>
      </c>
      <c r="AA691" t="str">
        <f t="shared" si="53"/>
        <v>travaux magasin</v>
      </c>
    </row>
    <row r="692" spans="20:27" x14ac:dyDescent="0.25">
      <c r="T692" s="155">
        <f t="shared" si="50"/>
        <v>64775</v>
      </c>
      <c r="U692" s="164">
        <f t="shared" si="51"/>
        <v>864.41</v>
      </c>
      <c r="V692" s="159">
        <f t="shared" si="54"/>
        <v>-5175.92</v>
      </c>
      <c r="W692" s="156">
        <f>D_Emprunts!$U692-D_Emprunts!$V692</f>
        <v>6040.33</v>
      </c>
      <c r="X692" s="157">
        <f>X691-D_Emprunts!$W692</f>
        <v>-1760560.5799999991</v>
      </c>
      <c r="Y692">
        <v>685</v>
      </c>
      <c r="Z692" t="str">
        <f t="shared" si="52"/>
        <v>Investissement</v>
      </c>
      <c r="AA692" t="str">
        <f t="shared" si="53"/>
        <v>travaux magasin</v>
      </c>
    </row>
    <row r="693" spans="20:27" x14ac:dyDescent="0.25">
      <c r="T693" s="158">
        <f t="shared" si="50"/>
        <v>64806</v>
      </c>
      <c r="U693" s="164">
        <f t="shared" si="51"/>
        <v>864.41</v>
      </c>
      <c r="V693" s="159">
        <f t="shared" si="54"/>
        <v>-5193.74</v>
      </c>
      <c r="W693" s="159">
        <f>D_Emprunts!$U693-D_Emprunts!$V693</f>
        <v>6058.15</v>
      </c>
      <c r="X693" s="160">
        <f>X692-D_Emprunts!$W693</f>
        <v>-1766618.7299999991</v>
      </c>
      <c r="Y693">
        <v>686</v>
      </c>
      <c r="Z693" t="str">
        <f t="shared" si="52"/>
        <v>Investissement</v>
      </c>
      <c r="AA693" t="str">
        <f t="shared" si="53"/>
        <v>travaux magasin</v>
      </c>
    </row>
    <row r="694" spans="20:27" x14ac:dyDescent="0.25">
      <c r="T694" s="155">
        <f t="shared" si="50"/>
        <v>64836</v>
      </c>
      <c r="U694" s="164">
        <f t="shared" si="51"/>
        <v>864.41</v>
      </c>
      <c r="V694" s="159">
        <f t="shared" si="54"/>
        <v>-5211.62</v>
      </c>
      <c r="W694" s="156">
        <f>D_Emprunts!$U694-D_Emprunts!$V694</f>
        <v>6076.03</v>
      </c>
      <c r="X694" s="157">
        <f>X693-D_Emprunts!$W694</f>
        <v>-1772694.7599999991</v>
      </c>
      <c r="Y694">
        <v>687</v>
      </c>
      <c r="Z694" t="str">
        <f t="shared" si="52"/>
        <v>Investissement</v>
      </c>
      <c r="AA694" t="str">
        <f t="shared" si="53"/>
        <v>travaux magasin</v>
      </c>
    </row>
    <row r="695" spans="20:27" x14ac:dyDescent="0.25">
      <c r="T695" s="158">
        <f t="shared" si="50"/>
        <v>64867</v>
      </c>
      <c r="U695" s="164">
        <f t="shared" si="51"/>
        <v>864.41</v>
      </c>
      <c r="V695" s="159">
        <f t="shared" si="54"/>
        <v>-5229.54</v>
      </c>
      <c r="W695" s="159">
        <f>D_Emprunts!$U695-D_Emprunts!$V695</f>
        <v>6093.95</v>
      </c>
      <c r="X695" s="160">
        <f>X694-D_Emprunts!$W695</f>
        <v>-1778788.709999999</v>
      </c>
      <c r="Y695">
        <v>688</v>
      </c>
      <c r="Z695" t="str">
        <f t="shared" si="52"/>
        <v>Investissement</v>
      </c>
      <c r="AA695" t="str">
        <f t="shared" si="53"/>
        <v>travaux magasin</v>
      </c>
    </row>
    <row r="696" spans="20:27" x14ac:dyDescent="0.25">
      <c r="T696" s="155">
        <f t="shared" si="50"/>
        <v>64898</v>
      </c>
      <c r="U696" s="164">
        <f t="shared" si="51"/>
        <v>864.41</v>
      </c>
      <c r="V696" s="159">
        <f t="shared" si="54"/>
        <v>-5247.52</v>
      </c>
      <c r="W696" s="156">
        <f>D_Emprunts!$U696-D_Emprunts!$V696</f>
        <v>6111.93</v>
      </c>
      <c r="X696" s="157">
        <f>X695-D_Emprunts!$W696</f>
        <v>-1784900.639999999</v>
      </c>
      <c r="Y696">
        <v>689</v>
      </c>
      <c r="Z696" t="str">
        <f t="shared" si="52"/>
        <v>Investissement</v>
      </c>
      <c r="AA696" t="str">
        <f t="shared" si="53"/>
        <v>travaux magasin</v>
      </c>
    </row>
    <row r="697" spans="20:27" x14ac:dyDescent="0.25">
      <c r="T697" s="158">
        <f t="shared" si="50"/>
        <v>64928</v>
      </c>
      <c r="U697" s="164">
        <f t="shared" si="51"/>
        <v>864.41</v>
      </c>
      <c r="V697" s="159">
        <f t="shared" si="54"/>
        <v>-5265.55</v>
      </c>
      <c r="W697" s="159">
        <f>D_Emprunts!$U697-D_Emprunts!$V697</f>
        <v>6129.96</v>
      </c>
      <c r="X697" s="160">
        <f>X696-D_Emprunts!$W697</f>
        <v>-1791030.5999999989</v>
      </c>
      <c r="Y697">
        <v>690</v>
      </c>
      <c r="Z697" t="str">
        <f t="shared" si="52"/>
        <v>Investissement</v>
      </c>
      <c r="AA697" t="str">
        <f t="shared" si="53"/>
        <v>travaux magasin</v>
      </c>
    </row>
    <row r="698" spans="20:27" x14ac:dyDescent="0.25">
      <c r="T698" s="155">
        <f t="shared" si="50"/>
        <v>64959</v>
      </c>
      <c r="U698" s="164">
        <f t="shared" si="51"/>
        <v>864.41</v>
      </c>
      <c r="V698" s="159">
        <f t="shared" si="54"/>
        <v>-5283.63</v>
      </c>
      <c r="W698" s="156">
        <f>D_Emprunts!$U698-D_Emprunts!$V698</f>
        <v>6148.04</v>
      </c>
      <c r="X698" s="157">
        <f>X697-D_Emprunts!$W698</f>
        <v>-1797178.639999999</v>
      </c>
      <c r="Y698">
        <v>691</v>
      </c>
      <c r="Z698" t="str">
        <f t="shared" si="52"/>
        <v>Investissement</v>
      </c>
      <c r="AA698" t="str">
        <f t="shared" si="53"/>
        <v>travaux magasin</v>
      </c>
    </row>
    <row r="699" spans="20:27" x14ac:dyDescent="0.25">
      <c r="T699" s="158">
        <f t="shared" si="50"/>
        <v>64989</v>
      </c>
      <c r="U699" s="164">
        <f t="shared" si="51"/>
        <v>864.41</v>
      </c>
      <c r="V699" s="159">
        <f t="shared" si="54"/>
        <v>-5301.77</v>
      </c>
      <c r="W699" s="159">
        <f>D_Emprunts!$U699-D_Emprunts!$V699</f>
        <v>6166.18</v>
      </c>
      <c r="X699" s="160">
        <f>X698-D_Emprunts!$W699</f>
        <v>-1803344.8199999989</v>
      </c>
      <c r="Y699">
        <v>692</v>
      </c>
      <c r="Z699" t="str">
        <f t="shared" si="52"/>
        <v>Investissement</v>
      </c>
      <c r="AA699" t="str">
        <f t="shared" si="53"/>
        <v>travaux magasin</v>
      </c>
    </row>
    <row r="700" spans="20:27" x14ac:dyDescent="0.25">
      <c r="T700" s="155">
        <f t="shared" si="50"/>
        <v>65020</v>
      </c>
      <c r="U700" s="164">
        <f t="shared" si="51"/>
        <v>864.41</v>
      </c>
      <c r="V700" s="159">
        <f t="shared" si="54"/>
        <v>-5319.96</v>
      </c>
      <c r="W700" s="156">
        <f>D_Emprunts!$U700-D_Emprunts!$V700</f>
        <v>6184.37</v>
      </c>
      <c r="X700" s="157">
        <f>X699-D_Emprunts!$W700</f>
        <v>-1809529.189999999</v>
      </c>
      <c r="Y700">
        <v>693</v>
      </c>
      <c r="Z700" t="str">
        <f t="shared" si="52"/>
        <v>Investissement</v>
      </c>
      <c r="AA700" t="str">
        <f t="shared" si="53"/>
        <v>travaux magasin</v>
      </c>
    </row>
    <row r="701" spans="20:27" x14ac:dyDescent="0.25">
      <c r="T701" s="158">
        <f t="shared" si="50"/>
        <v>65051</v>
      </c>
      <c r="U701" s="164">
        <f t="shared" si="51"/>
        <v>864.41</v>
      </c>
      <c r="V701" s="159">
        <f t="shared" si="54"/>
        <v>-5338.2</v>
      </c>
      <c r="W701" s="159">
        <f>D_Emprunts!$U701-D_Emprunts!$V701</f>
        <v>6202.61</v>
      </c>
      <c r="X701" s="160">
        <f>X700-D_Emprunts!$W701</f>
        <v>-1815731.7999999991</v>
      </c>
      <c r="Y701">
        <v>694</v>
      </c>
      <c r="Z701" t="str">
        <f t="shared" si="52"/>
        <v>Investissement</v>
      </c>
      <c r="AA701" t="str">
        <f t="shared" si="53"/>
        <v>travaux magasin</v>
      </c>
    </row>
    <row r="702" spans="20:27" x14ac:dyDescent="0.25">
      <c r="T702" s="155">
        <f t="shared" si="50"/>
        <v>65079</v>
      </c>
      <c r="U702" s="164">
        <f t="shared" si="51"/>
        <v>864.41</v>
      </c>
      <c r="V702" s="159">
        <f t="shared" si="54"/>
        <v>-5356.5</v>
      </c>
      <c r="W702" s="156">
        <f>D_Emprunts!$U702-D_Emprunts!$V702</f>
        <v>6220.91</v>
      </c>
      <c r="X702" s="157">
        <f>X701-D_Emprunts!$W702</f>
        <v>-1821952.709999999</v>
      </c>
      <c r="Y702">
        <v>695</v>
      </c>
      <c r="Z702" t="str">
        <f t="shared" si="52"/>
        <v>Investissement</v>
      </c>
      <c r="AA702" t="str">
        <f t="shared" si="53"/>
        <v>travaux magasin</v>
      </c>
    </row>
    <row r="703" spans="20:27" x14ac:dyDescent="0.25">
      <c r="T703" s="158">
        <f t="shared" si="50"/>
        <v>65110</v>
      </c>
      <c r="U703" s="164">
        <f t="shared" si="51"/>
        <v>864.41</v>
      </c>
      <c r="V703" s="159">
        <f t="shared" si="54"/>
        <v>-5374.85</v>
      </c>
      <c r="W703" s="159">
        <f>D_Emprunts!$U703-D_Emprunts!$V703</f>
        <v>6239.26</v>
      </c>
      <c r="X703" s="160">
        <f>X702-D_Emprunts!$W703</f>
        <v>-1828191.969999999</v>
      </c>
      <c r="Y703">
        <v>696</v>
      </c>
      <c r="Z703" t="str">
        <f t="shared" si="52"/>
        <v>Investissement</v>
      </c>
      <c r="AA703" t="str">
        <f t="shared" si="53"/>
        <v>travaux magasin</v>
      </c>
    </row>
    <row r="704" spans="20:27" x14ac:dyDescent="0.25">
      <c r="T704" s="155">
        <f t="shared" si="50"/>
        <v>65140</v>
      </c>
      <c r="U704" s="164">
        <f t="shared" si="51"/>
        <v>864.41</v>
      </c>
      <c r="V704" s="159">
        <f t="shared" si="54"/>
        <v>-5393.26</v>
      </c>
      <c r="W704" s="156">
        <f>D_Emprunts!$U704-D_Emprunts!$V704</f>
        <v>6257.67</v>
      </c>
      <c r="X704" s="157">
        <f>X703-D_Emprunts!$W704</f>
        <v>-1834449.639999999</v>
      </c>
      <c r="Y704">
        <v>697</v>
      </c>
      <c r="Z704" t="str">
        <f t="shared" si="52"/>
        <v>Investissement</v>
      </c>
      <c r="AA704" t="str">
        <f t="shared" si="53"/>
        <v>travaux magasin</v>
      </c>
    </row>
    <row r="705" spans="20:27" x14ac:dyDescent="0.25">
      <c r="T705" s="158">
        <f t="shared" si="50"/>
        <v>65171</v>
      </c>
      <c r="U705" s="164">
        <f t="shared" si="51"/>
        <v>864.41</v>
      </c>
      <c r="V705" s="159">
        <f t="shared" si="54"/>
        <v>-5411.72</v>
      </c>
      <c r="W705" s="159">
        <f>D_Emprunts!$U705-D_Emprunts!$V705</f>
        <v>6276.13</v>
      </c>
      <c r="X705" s="160">
        <f>X704-D_Emprunts!$W705</f>
        <v>-1840725.7699999989</v>
      </c>
      <c r="Y705">
        <v>698</v>
      </c>
      <c r="Z705" t="str">
        <f t="shared" si="52"/>
        <v>Investissement</v>
      </c>
      <c r="AA705" t="str">
        <f t="shared" si="53"/>
        <v>travaux magasin</v>
      </c>
    </row>
    <row r="706" spans="20:27" x14ac:dyDescent="0.25">
      <c r="T706" s="155">
        <f t="shared" si="50"/>
        <v>65201</v>
      </c>
      <c r="U706" s="164">
        <f t="shared" si="51"/>
        <v>864.41</v>
      </c>
      <c r="V706" s="159">
        <f t="shared" si="54"/>
        <v>-5430.24</v>
      </c>
      <c r="W706" s="156">
        <f>D_Emprunts!$U706-D_Emprunts!$V706</f>
        <v>6294.65</v>
      </c>
      <c r="X706" s="157">
        <f>X705-D_Emprunts!$W706</f>
        <v>-1847020.4199999988</v>
      </c>
      <c r="Y706">
        <v>699</v>
      </c>
      <c r="Z706" t="str">
        <f t="shared" si="52"/>
        <v>Investissement</v>
      </c>
      <c r="AA706" t="str">
        <f t="shared" si="53"/>
        <v>travaux magasin</v>
      </c>
    </row>
    <row r="707" spans="20:27" x14ac:dyDescent="0.25">
      <c r="T707" s="158">
        <f t="shared" si="50"/>
        <v>65232</v>
      </c>
      <c r="U707" s="164">
        <f t="shared" si="51"/>
        <v>864.41</v>
      </c>
      <c r="V707" s="159">
        <f t="shared" si="54"/>
        <v>-5448.8</v>
      </c>
      <c r="W707" s="159">
        <f>D_Emprunts!$U707-D_Emprunts!$V707</f>
        <v>6313.21</v>
      </c>
      <c r="X707" s="160">
        <f>X706-D_Emprunts!$W707</f>
        <v>-1853333.6299999987</v>
      </c>
      <c r="Y707">
        <v>700</v>
      </c>
      <c r="Z707" t="str">
        <f t="shared" si="52"/>
        <v>Investissement</v>
      </c>
      <c r="AA707" t="str">
        <f t="shared" si="53"/>
        <v>travaux magasin</v>
      </c>
    </row>
    <row r="708" spans="20:27" x14ac:dyDescent="0.25">
      <c r="T708" s="155">
        <f t="shared" si="50"/>
        <v>65263</v>
      </c>
      <c r="U708" s="164">
        <f t="shared" si="51"/>
        <v>864.41</v>
      </c>
      <c r="V708" s="159">
        <f t="shared" si="54"/>
        <v>-5467.43</v>
      </c>
      <c r="W708" s="156">
        <f>D_Emprunts!$U708-D_Emprunts!$V708</f>
        <v>6331.84</v>
      </c>
      <c r="X708" s="157">
        <f>X707-D_Emprunts!$W708</f>
        <v>-1859665.4699999988</v>
      </c>
      <c r="Y708">
        <v>701</v>
      </c>
      <c r="Z708" t="str">
        <f t="shared" si="52"/>
        <v>Investissement</v>
      </c>
      <c r="AA708" t="str">
        <f t="shared" si="53"/>
        <v>travaux magasin</v>
      </c>
    </row>
    <row r="709" spans="20:27" x14ac:dyDescent="0.25">
      <c r="T709" s="158">
        <f t="shared" si="50"/>
        <v>65293</v>
      </c>
      <c r="U709" s="164">
        <f t="shared" si="51"/>
        <v>864.41</v>
      </c>
      <c r="V709" s="159">
        <f t="shared" si="54"/>
        <v>-5486.11</v>
      </c>
      <c r="W709" s="159">
        <f>D_Emprunts!$U709-D_Emprunts!$V709</f>
        <v>6350.5199999999995</v>
      </c>
      <c r="X709" s="160">
        <f>X708-D_Emprunts!$W709</f>
        <v>-1866015.9899999988</v>
      </c>
      <c r="Y709">
        <v>702</v>
      </c>
      <c r="Z709" t="str">
        <f t="shared" si="52"/>
        <v>Investissement</v>
      </c>
      <c r="AA709" t="str">
        <f t="shared" si="53"/>
        <v>travaux magasin</v>
      </c>
    </row>
    <row r="710" spans="20:27" x14ac:dyDescent="0.25">
      <c r="T710" s="155">
        <f t="shared" si="50"/>
        <v>65324</v>
      </c>
      <c r="U710" s="164">
        <f t="shared" si="51"/>
        <v>864.41</v>
      </c>
      <c r="V710" s="159">
        <f t="shared" si="54"/>
        <v>-5504.84</v>
      </c>
      <c r="W710" s="156">
        <f>D_Emprunts!$U710-D_Emprunts!$V710</f>
        <v>6369.25</v>
      </c>
      <c r="X710" s="157">
        <f>X709-D_Emprunts!$W710</f>
        <v>-1872385.2399999988</v>
      </c>
      <c r="Y710">
        <v>703</v>
      </c>
      <c r="Z710" t="str">
        <f t="shared" si="52"/>
        <v>Investissement</v>
      </c>
      <c r="AA710" t="str">
        <f t="shared" si="53"/>
        <v>travaux magasin</v>
      </c>
    </row>
    <row r="711" spans="20:27" x14ac:dyDescent="0.25">
      <c r="T711" s="158">
        <f t="shared" si="50"/>
        <v>65354</v>
      </c>
      <c r="U711" s="164">
        <f t="shared" si="51"/>
        <v>864.41</v>
      </c>
      <c r="V711" s="159">
        <f t="shared" si="54"/>
        <v>-5523.63</v>
      </c>
      <c r="W711" s="159">
        <f>D_Emprunts!$U711-D_Emprunts!$V711</f>
        <v>6388.04</v>
      </c>
      <c r="X711" s="160">
        <f>X710-D_Emprunts!$W711</f>
        <v>-1878773.2799999989</v>
      </c>
      <c r="Y711">
        <v>704</v>
      </c>
      <c r="Z711" t="str">
        <f t="shared" si="52"/>
        <v>Investissement</v>
      </c>
      <c r="AA711" t="str">
        <f t="shared" si="53"/>
        <v>travaux magasin</v>
      </c>
    </row>
    <row r="712" spans="20:27" x14ac:dyDescent="0.25">
      <c r="T712" s="155">
        <f t="shared" ref="T712:T775" si="55">EDATE(T711,1)</f>
        <v>65385</v>
      </c>
      <c r="U712" s="164">
        <f t="shared" si="51"/>
        <v>864.41</v>
      </c>
      <c r="V712" s="159">
        <f t="shared" si="54"/>
        <v>-5542.48</v>
      </c>
      <c r="W712" s="156">
        <f>D_Emprunts!$U712-D_Emprunts!$V712</f>
        <v>6406.8899999999994</v>
      </c>
      <c r="X712" s="157">
        <f>X711-D_Emprunts!$W712</f>
        <v>-1885180.1699999988</v>
      </c>
      <c r="Y712">
        <v>705</v>
      </c>
      <c r="Z712" t="str">
        <f t="shared" si="52"/>
        <v>Investissement</v>
      </c>
      <c r="AA712" t="str">
        <f t="shared" si="53"/>
        <v>travaux magasin</v>
      </c>
    </row>
    <row r="713" spans="20:27" x14ac:dyDescent="0.25">
      <c r="T713" s="158">
        <f t="shared" si="55"/>
        <v>65416</v>
      </c>
      <c r="U713" s="164">
        <f t="shared" ref="U713:U776" si="56">$X$4</f>
        <v>864.41</v>
      </c>
      <c r="V713" s="159">
        <f t="shared" si="54"/>
        <v>-5561.38</v>
      </c>
      <c r="W713" s="159">
        <f>D_Emprunts!$U713-D_Emprunts!$V713</f>
        <v>6425.79</v>
      </c>
      <c r="X713" s="160">
        <f>X712-D_Emprunts!$W713</f>
        <v>-1891605.9599999988</v>
      </c>
      <c r="Y713">
        <v>706</v>
      </c>
      <c r="Z713" t="str">
        <f t="shared" ref="Z713:Z776" si="57">$Y$4</f>
        <v>Investissement</v>
      </c>
      <c r="AA713" t="str">
        <f t="shared" ref="AA713:AA776" si="58">$Z$4</f>
        <v>travaux magasin</v>
      </c>
    </row>
    <row r="714" spans="20:27" x14ac:dyDescent="0.25">
      <c r="T714" s="155">
        <f t="shared" si="55"/>
        <v>65444</v>
      </c>
      <c r="U714" s="164">
        <f t="shared" si="56"/>
        <v>864.41</v>
      </c>
      <c r="V714" s="159">
        <f t="shared" ref="V714:V777" si="59">ROUND(X713*$V$4/12,2)</f>
        <v>-5580.33</v>
      </c>
      <c r="W714" s="156">
        <f>D_Emprunts!$U714-D_Emprunts!$V714</f>
        <v>6444.74</v>
      </c>
      <c r="X714" s="157">
        <f>X713-D_Emprunts!$W714</f>
        <v>-1898050.6999999988</v>
      </c>
      <c r="Y714">
        <v>707</v>
      </c>
      <c r="Z714" t="str">
        <f t="shared" si="57"/>
        <v>Investissement</v>
      </c>
      <c r="AA714" t="str">
        <f t="shared" si="58"/>
        <v>travaux magasin</v>
      </c>
    </row>
    <row r="715" spans="20:27" x14ac:dyDescent="0.25">
      <c r="T715" s="158">
        <f t="shared" si="55"/>
        <v>65475</v>
      </c>
      <c r="U715" s="164">
        <f t="shared" si="56"/>
        <v>864.41</v>
      </c>
      <c r="V715" s="159">
        <f t="shared" si="59"/>
        <v>-5599.35</v>
      </c>
      <c r="W715" s="159">
        <f>D_Emprunts!$U715-D_Emprunts!$V715</f>
        <v>6463.76</v>
      </c>
      <c r="X715" s="160">
        <f>X714-D_Emprunts!$W715</f>
        <v>-1904514.4599999988</v>
      </c>
      <c r="Y715">
        <v>708</v>
      </c>
      <c r="Z715" t="str">
        <f t="shared" si="57"/>
        <v>Investissement</v>
      </c>
      <c r="AA715" t="str">
        <f t="shared" si="58"/>
        <v>travaux magasin</v>
      </c>
    </row>
    <row r="716" spans="20:27" x14ac:dyDescent="0.25">
      <c r="T716" s="155">
        <f t="shared" si="55"/>
        <v>65505</v>
      </c>
      <c r="U716" s="164">
        <f t="shared" si="56"/>
        <v>864.41</v>
      </c>
      <c r="V716" s="159">
        <f t="shared" si="59"/>
        <v>-5618.42</v>
      </c>
      <c r="W716" s="156">
        <f>D_Emprunts!$U716-D_Emprunts!$V716</f>
        <v>6482.83</v>
      </c>
      <c r="X716" s="157">
        <f>X715-D_Emprunts!$W716</f>
        <v>-1910997.2899999989</v>
      </c>
      <c r="Y716">
        <v>709</v>
      </c>
      <c r="Z716" t="str">
        <f t="shared" si="57"/>
        <v>Investissement</v>
      </c>
      <c r="AA716" t="str">
        <f t="shared" si="58"/>
        <v>travaux magasin</v>
      </c>
    </row>
    <row r="717" spans="20:27" x14ac:dyDescent="0.25">
      <c r="T717" s="158">
        <f t="shared" si="55"/>
        <v>65536</v>
      </c>
      <c r="U717" s="164">
        <f t="shared" si="56"/>
        <v>864.41</v>
      </c>
      <c r="V717" s="159">
        <f t="shared" si="59"/>
        <v>-5637.54</v>
      </c>
      <c r="W717" s="159">
        <f>D_Emprunts!$U717-D_Emprunts!$V717</f>
        <v>6501.95</v>
      </c>
      <c r="X717" s="160">
        <f>X716-D_Emprunts!$W717</f>
        <v>-1917499.2399999988</v>
      </c>
      <c r="Y717">
        <v>710</v>
      </c>
      <c r="Z717" t="str">
        <f t="shared" si="57"/>
        <v>Investissement</v>
      </c>
      <c r="AA717" t="str">
        <f t="shared" si="58"/>
        <v>travaux magasin</v>
      </c>
    </row>
    <row r="718" spans="20:27" x14ac:dyDescent="0.25">
      <c r="T718" s="155">
        <f t="shared" si="55"/>
        <v>65566</v>
      </c>
      <c r="U718" s="164">
        <f t="shared" si="56"/>
        <v>864.41</v>
      </c>
      <c r="V718" s="159">
        <f t="shared" si="59"/>
        <v>-5656.72</v>
      </c>
      <c r="W718" s="156">
        <f>D_Emprunts!$U718-D_Emprunts!$V718</f>
        <v>6521.13</v>
      </c>
      <c r="X718" s="157">
        <f>X717-D_Emprunts!$W718</f>
        <v>-1924020.3699999987</v>
      </c>
      <c r="Y718">
        <v>711</v>
      </c>
      <c r="Z718" t="str">
        <f t="shared" si="57"/>
        <v>Investissement</v>
      </c>
      <c r="AA718" t="str">
        <f t="shared" si="58"/>
        <v>travaux magasin</v>
      </c>
    </row>
    <row r="719" spans="20:27" x14ac:dyDescent="0.25">
      <c r="T719" s="158">
        <f t="shared" si="55"/>
        <v>65597</v>
      </c>
      <c r="U719" s="164">
        <f t="shared" si="56"/>
        <v>864.41</v>
      </c>
      <c r="V719" s="159">
        <f t="shared" si="59"/>
        <v>-5675.96</v>
      </c>
      <c r="W719" s="159">
        <f>D_Emprunts!$U719-D_Emprunts!$V719</f>
        <v>6540.37</v>
      </c>
      <c r="X719" s="160">
        <f>X718-D_Emprunts!$W719</f>
        <v>-1930560.7399999988</v>
      </c>
      <c r="Y719">
        <v>712</v>
      </c>
      <c r="Z719" t="str">
        <f t="shared" si="57"/>
        <v>Investissement</v>
      </c>
      <c r="AA719" t="str">
        <f t="shared" si="58"/>
        <v>travaux magasin</v>
      </c>
    </row>
    <row r="720" spans="20:27" x14ac:dyDescent="0.25">
      <c r="T720" s="155">
        <f t="shared" si="55"/>
        <v>65628</v>
      </c>
      <c r="U720" s="164">
        <f t="shared" si="56"/>
        <v>864.41</v>
      </c>
      <c r="V720" s="159">
        <f t="shared" si="59"/>
        <v>-5695.25</v>
      </c>
      <c r="W720" s="156">
        <f>D_Emprunts!$U720-D_Emprunts!$V720</f>
        <v>6559.66</v>
      </c>
      <c r="X720" s="157">
        <f>X719-D_Emprunts!$W720</f>
        <v>-1937120.3999999987</v>
      </c>
      <c r="Y720">
        <v>713</v>
      </c>
      <c r="Z720" t="str">
        <f t="shared" si="57"/>
        <v>Investissement</v>
      </c>
      <c r="AA720" t="str">
        <f t="shared" si="58"/>
        <v>travaux magasin</v>
      </c>
    </row>
    <row r="721" spans="20:27" x14ac:dyDescent="0.25">
      <c r="T721" s="158">
        <f t="shared" si="55"/>
        <v>65658</v>
      </c>
      <c r="U721" s="164">
        <f t="shared" si="56"/>
        <v>864.41</v>
      </c>
      <c r="V721" s="159">
        <f t="shared" si="59"/>
        <v>-5714.6</v>
      </c>
      <c r="W721" s="159">
        <f>D_Emprunts!$U721-D_Emprunts!$V721</f>
        <v>6579.01</v>
      </c>
      <c r="X721" s="160">
        <f>X720-D_Emprunts!$W721</f>
        <v>-1943699.4099999988</v>
      </c>
      <c r="Y721">
        <v>714</v>
      </c>
      <c r="Z721" t="str">
        <f t="shared" si="57"/>
        <v>Investissement</v>
      </c>
      <c r="AA721" t="str">
        <f t="shared" si="58"/>
        <v>travaux magasin</v>
      </c>
    </row>
    <row r="722" spans="20:27" x14ac:dyDescent="0.25">
      <c r="T722" s="155">
        <f t="shared" si="55"/>
        <v>65689</v>
      </c>
      <c r="U722" s="164">
        <f t="shared" si="56"/>
        <v>864.41</v>
      </c>
      <c r="V722" s="159">
        <f t="shared" si="59"/>
        <v>-5734.01</v>
      </c>
      <c r="W722" s="156">
        <f>D_Emprunts!$U722-D_Emprunts!$V722</f>
        <v>6598.42</v>
      </c>
      <c r="X722" s="157">
        <f>X721-D_Emprunts!$W722</f>
        <v>-1950297.8299999987</v>
      </c>
      <c r="Y722">
        <v>715</v>
      </c>
      <c r="Z722" t="str">
        <f t="shared" si="57"/>
        <v>Investissement</v>
      </c>
      <c r="AA722" t="str">
        <f t="shared" si="58"/>
        <v>travaux magasin</v>
      </c>
    </row>
    <row r="723" spans="20:27" x14ac:dyDescent="0.25">
      <c r="T723" s="158">
        <f t="shared" si="55"/>
        <v>65719</v>
      </c>
      <c r="U723" s="164">
        <f t="shared" si="56"/>
        <v>864.41</v>
      </c>
      <c r="V723" s="159">
        <f t="shared" si="59"/>
        <v>-5753.48</v>
      </c>
      <c r="W723" s="159">
        <f>D_Emprunts!$U723-D_Emprunts!$V723</f>
        <v>6617.8899999999994</v>
      </c>
      <c r="X723" s="160">
        <f>X722-D_Emprunts!$W723</f>
        <v>-1956915.7199999986</v>
      </c>
      <c r="Y723">
        <v>716</v>
      </c>
      <c r="Z723" t="str">
        <f t="shared" si="57"/>
        <v>Investissement</v>
      </c>
      <c r="AA723" t="str">
        <f t="shared" si="58"/>
        <v>travaux magasin</v>
      </c>
    </row>
    <row r="724" spans="20:27" x14ac:dyDescent="0.25">
      <c r="T724" s="155">
        <f t="shared" si="55"/>
        <v>65750</v>
      </c>
      <c r="U724" s="164">
        <f t="shared" si="56"/>
        <v>864.41</v>
      </c>
      <c r="V724" s="159">
        <f t="shared" si="59"/>
        <v>-5773</v>
      </c>
      <c r="W724" s="156">
        <f>D_Emprunts!$U724-D_Emprunts!$V724</f>
        <v>6637.41</v>
      </c>
      <c r="X724" s="157">
        <f>X723-D_Emprunts!$W724</f>
        <v>-1963553.1299999985</v>
      </c>
      <c r="Y724">
        <v>717</v>
      </c>
      <c r="Z724" t="str">
        <f t="shared" si="57"/>
        <v>Investissement</v>
      </c>
      <c r="AA724" t="str">
        <f t="shared" si="58"/>
        <v>travaux magasin</v>
      </c>
    </row>
    <row r="725" spans="20:27" x14ac:dyDescent="0.25">
      <c r="T725" s="158">
        <f t="shared" si="55"/>
        <v>65781</v>
      </c>
      <c r="U725" s="164">
        <f t="shared" si="56"/>
        <v>864.41</v>
      </c>
      <c r="V725" s="159">
        <f t="shared" si="59"/>
        <v>-5792.58</v>
      </c>
      <c r="W725" s="159">
        <f>D_Emprunts!$U725-D_Emprunts!$V725</f>
        <v>6656.99</v>
      </c>
      <c r="X725" s="160">
        <f>X724-D_Emprunts!$W725</f>
        <v>-1970210.1199999985</v>
      </c>
      <c r="Y725">
        <v>718</v>
      </c>
      <c r="Z725" t="str">
        <f t="shared" si="57"/>
        <v>Investissement</v>
      </c>
      <c r="AA725" t="str">
        <f t="shared" si="58"/>
        <v>travaux magasin</v>
      </c>
    </row>
    <row r="726" spans="20:27" x14ac:dyDescent="0.25">
      <c r="T726" s="155">
        <f t="shared" si="55"/>
        <v>65810</v>
      </c>
      <c r="U726" s="164">
        <f t="shared" si="56"/>
        <v>864.41</v>
      </c>
      <c r="V726" s="159">
        <f t="shared" si="59"/>
        <v>-5812.22</v>
      </c>
      <c r="W726" s="156">
        <f>D_Emprunts!$U726-D_Emprunts!$V726</f>
        <v>6676.63</v>
      </c>
      <c r="X726" s="157">
        <f>X725-D_Emprunts!$W726</f>
        <v>-1976886.7499999984</v>
      </c>
      <c r="Y726">
        <v>719</v>
      </c>
      <c r="Z726" t="str">
        <f t="shared" si="57"/>
        <v>Investissement</v>
      </c>
      <c r="AA726" t="str">
        <f t="shared" si="58"/>
        <v>travaux magasin</v>
      </c>
    </row>
    <row r="727" spans="20:27" x14ac:dyDescent="0.25">
      <c r="T727" s="158">
        <f t="shared" si="55"/>
        <v>65841</v>
      </c>
      <c r="U727" s="164">
        <f t="shared" si="56"/>
        <v>864.41</v>
      </c>
      <c r="V727" s="159">
        <f t="shared" si="59"/>
        <v>-5831.92</v>
      </c>
      <c r="W727" s="159">
        <f>D_Emprunts!$U727-D_Emprunts!$V727</f>
        <v>6696.33</v>
      </c>
      <c r="X727" s="160">
        <f>X726-D_Emprunts!$W727</f>
        <v>-1983583.0799999984</v>
      </c>
      <c r="Y727">
        <v>720</v>
      </c>
      <c r="Z727" t="str">
        <f t="shared" si="57"/>
        <v>Investissement</v>
      </c>
      <c r="AA727" t="str">
        <f t="shared" si="58"/>
        <v>travaux magasin</v>
      </c>
    </row>
    <row r="728" spans="20:27" x14ac:dyDescent="0.25">
      <c r="T728" s="155">
        <f t="shared" si="55"/>
        <v>65871</v>
      </c>
      <c r="U728" s="164">
        <f t="shared" si="56"/>
        <v>864.41</v>
      </c>
      <c r="V728" s="159">
        <f t="shared" si="59"/>
        <v>-5851.67</v>
      </c>
      <c r="W728" s="156">
        <f>D_Emprunts!$U728-D_Emprunts!$V728</f>
        <v>6716.08</v>
      </c>
      <c r="X728" s="157">
        <f>X727-D_Emprunts!$W728</f>
        <v>-1990299.1599999985</v>
      </c>
      <c r="Y728">
        <v>721</v>
      </c>
      <c r="Z728" t="str">
        <f t="shared" si="57"/>
        <v>Investissement</v>
      </c>
      <c r="AA728" t="str">
        <f t="shared" si="58"/>
        <v>travaux magasin</v>
      </c>
    </row>
    <row r="729" spans="20:27" x14ac:dyDescent="0.25">
      <c r="T729" s="158">
        <f t="shared" si="55"/>
        <v>65902</v>
      </c>
      <c r="U729" s="164">
        <f t="shared" si="56"/>
        <v>864.41</v>
      </c>
      <c r="V729" s="159">
        <f t="shared" si="59"/>
        <v>-5871.48</v>
      </c>
      <c r="W729" s="159">
        <f>D_Emprunts!$U729-D_Emprunts!$V729</f>
        <v>6735.8899999999994</v>
      </c>
      <c r="X729" s="160">
        <f>X728-D_Emprunts!$W729</f>
        <v>-1997035.0499999984</v>
      </c>
      <c r="Y729">
        <v>722</v>
      </c>
      <c r="Z729" t="str">
        <f t="shared" si="57"/>
        <v>Investissement</v>
      </c>
      <c r="AA729" t="str">
        <f t="shared" si="58"/>
        <v>travaux magasin</v>
      </c>
    </row>
    <row r="730" spans="20:27" x14ac:dyDescent="0.25">
      <c r="T730" s="155">
        <f t="shared" si="55"/>
        <v>65932</v>
      </c>
      <c r="U730" s="164">
        <f t="shared" si="56"/>
        <v>864.41</v>
      </c>
      <c r="V730" s="159">
        <f t="shared" si="59"/>
        <v>-5891.36</v>
      </c>
      <c r="W730" s="156">
        <f>D_Emprunts!$U730-D_Emprunts!$V730</f>
        <v>6755.7699999999995</v>
      </c>
      <c r="X730" s="157">
        <f>X729-D_Emprunts!$W730</f>
        <v>-2003790.8199999984</v>
      </c>
      <c r="Y730">
        <v>723</v>
      </c>
      <c r="Z730" t="str">
        <f t="shared" si="57"/>
        <v>Investissement</v>
      </c>
      <c r="AA730" t="str">
        <f t="shared" si="58"/>
        <v>travaux magasin</v>
      </c>
    </row>
    <row r="731" spans="20:27" x14ac:dyDescent="0.25">
      <c r="T731" s="158">
        <f t="shared" si="55"/>
        <v>65963</v>
      </c>
      <c r="U731" s="164">
        <f t="shared" si="56"/>
        <v>864.41</v>
      </c>
      <c r="V731" s="159">
        <f t="shared" si="59"/>
        <v>-5911.29</v>
      </c>
      <c r="W731" s="159">
        <f>D_Emprunts!$U731-D_Emprunts!$V731</f>
        <v>6775.7</v>
      </c>
      <c r="X731" s="160">
        <f>X730-D_Emprunts!$W731</f>
        <v>-2010566.5199999984</v>
      </c>
      <c r="Y731">
        <v>724</v>
      </c>
      <c r="Z731" t="str">
        <f t="shared" si="57"/>
        <v>Investissement</v>
      </c>
      <c r="AA731" t="str">
        <f t="shared" si="58"/>
        <v>travaux magasin</v>
      </c>
    </row>
    <row r="732" spans="20:27" x14ac:dyDescent="0.25">
      <c r="T732" s="155">
        <f t="shared" si="55"/>
        <v>65994</v>
      </c>
      <c r="U732" s="164">
        <f t="shared" si="56"/>
        <v>864.41</v>
      </c>
      <c r="V732" s="159">
        <f t="shared" si="59"/>
        <v>-5931.27</v>
      </c>
      <c r="W732" s="156">
        <f>D_Emprunts!$U732-D_Emprunts!$V732</f>
        <v>6795.68</v>
      </c>
      <c r="X732" s="157">
        <f>X731-D_Emprunts!$W732</f>
        <v>-2017362.1999999983</v>
      </c>
      <c r="Y732">
        <v>725</v>
      </c>
      <c r="Z732" t="str">
        <f t="shared" si="57"/>
        <v>Investissement</v>
      </c>
      <c r="AA732" t="str">
        <f t="shared" si="58"/>
        <v>travaux magasin</v>
      </c>
    </row>
    <row r="733" spans="20:27" x14ac:dyDescent="0.25">
      <c r="T733" s="158">
        <f t="shared" si="55"/>
        <v>66024</v>
      </c>
      <c r="U733" s="164">
        <f t="shared" si="56"/>
        <v>864.41</v>
      </c>
      <c r="V733" s="159">
        <f t="shared" si="59"/>
        <v>-5951.32</v>
      </c>
      <c r="W733" s="159">
        <f>D_Emprunts!$U733-D_Emprunts!$V733</f>
        <v>6815.73</v>
      </c>
      <c r="X733" s="160">
        <f>X732-D_Emprunts!$W733</f>
        <v>-2024177.9299999983</v>
      </c>
      <c r="Y733">
        <v>726</v>
      </c>
      <c r="Z733" t="str">
        <f t="shared" si="57"/>
        <v>Investissement</v>
      </c>
      <c r="AA733" t="str">
        <f t="shared" si="58"/>
        <v>travaux magasin</v>
      </c>
    </row>
    <row r="734" spans="20:27" x14ac:dyDescent="0.25">
      <c r="T734" s="155">
        <f t="shared" si="55"/>
        <v>66055</v>
      </c>
      <c r="U734" s="164">
        <f t="shared" si="56"/>
        <v>864.41</v>
      </c>
      <c r="V734" s="159">
        <f t="shared" si="59"/>
        <v>-5971.43</v>
      </c>
      <c r="W734" s="156">
        <f>D_Emprunts!$U734-D_Emprunts!$V734</f>
        <v>6835.84</v>
      </c>
      <c r="X734" s="157">
        <f>X733-D_Emprunts!$W734</f>
        <v>-2031013.7699999984</v>
      </c>
      <c r="Y734">
        <v>727</v>
      </c>
      <c r="Z734" t="str">
        <f t="shared" si="57"/>
        <v>Investissement</v>
      </c>
      <c r="AA734" t="str">
        <f t="shared" si="58"/>
        <v>travaux magasin</v>
      </c>
    </row>
    <row r="735" spans="20:27" x14ac:dyDescent="0.25">
      <c r="T735" s="158">
        <f t="shared" si="55"/>
        <v>66085</v>
      </c>
      <c r="U735" s="164">
        <f t="shared" si="56"/>
        <v>864.41</v>
      </c>
      <c r="V735" s="159">
        <f t="shared" si="59"/>
        <v>-5991.59</v>
      </c>
      <c r="W735" s="159">
        <f>D_Emprunts!$U735-D_Emprunts!$V735</f>
        <v>6856</v>
      </c>
      <c r="X735" s="160">
        <f>X734-D_Emprunts!$W735</f>
        <v>-2037869.7699999984</v>
      </c>
      <c r="Y735">
        <v>728</v>
      </c>
      <c r="Z735" t="str">
        <f t="shared" si="57"/>
        <v>Investissement</v>
      </c>
      <c r="AA735" t="str">
        <f t="shared" si="58"/>
        <v>travaux magasin</v>
      </c>
    </row>
    <row r="736" spans="20:27" x14ac:dyDescent="0.25">
      <c r="T736" s="155">
        <f t="shared" si="55"/>
        <v>66116</v>
      </c>
      <c r="U736" s="164">
        <f t="shared" si="56"/>
        <v>864.41</v>
      </c>
      <c r="V736" s="159">
        <f t="shared" si="59"/>
        <v>-6011.82</v>
      </c>
      <c r="W736" s="156">
        <f>D_Emprunts!$U736-D_Emprunts!$V736</f>
        <v>6876.23</v>
      </c>
      <c r="X736" s="157">
        <f>X735-D_Emprunts!$W736</f>
        <v>-2044745.9999999984</v>
      </c>
      <c r="Y736">
        <v>729</v>
      </c>
      <c r="Z736" t="str">
        <f t="shared" si="57"/>
        <v>Investissement</v>
      </c>
      <c r="AA736" t="str">
        <f t="shared" si="58"/>
        <v>travaux magasin</v>
      </c>
    </row>
    <row r="737" spans="20:27" x14ac:dyDescent="0.25">
      <c r="T737" s="158">
        <f t="shared" si="55"/>
        <v>66147</v>
      </c>
      <c r="U737" s="164">
        <f t="shared" si="56"/>
        <v>864.41</v>
      </c>
      <c r="V737" s="159">
        <f t="shared" si="59"/>
        <v>-6032.11</v>
      </c>
      <c r="W737" s="159">
        <f>D_Emprunts!$U737-D_Emprunts!$V737</f>
        <v>6896.5199999999995</v>
      </c>
      <c r="X737" s="160">
        <f>X736-D_Emprunts!$W737</f>
        <v>-2051642.5199999984</v>
      </c>
      <c r="Y737">
        <v>730</v>
      </c>
      <c r="Z737" t="str">
        <f t="shared" si="57"/>
        <v>Investissement</v>
      </c>
      <c r="AA737" t="str">
        <f t="shared" si="58"/>
        <v>travaux magasin</v>
      </c>
    </row>
    <row r="738" spans="20:27" x14ac:dyDescent="0.25">
      <c r="T738" s="155">
        <f t="shared" si="55"/>
        <v>66175</v>
      </c>
      <c r="U738" s="164">
        <f t="shared" si="56"/>
        <v>864.41</v>
      </c>
      <c r="V738" s="159">
        <f t="shared" si="59"/>
        <v>-6052.45</v>
      </c>
      <c r="W738" s="156">
        <f>D_Emprunts!$U738-D_Emprunts!$V738</f>
        <v>6916.86</v>
      </c>
      <c r="X738" s="157">
        <f>X737-D_Emprunts!$W738</f>
        <v>-2058559.3799999985</v>
      </c>
      <c r="Y738">
        <v>731</v>
      </c>
      <c r="Z738" t="str">
        <f t="shared" si="57"/>
        <v>Investissement</v>
      </c>
      <c r="AA738" t="str">
        <f t="shared" si="58"/>
        <v>travaux magasin</v>
      </c>
    </row>
    <row r="739" spans="20:27" x14ac:dyDescent="0.25">
      <c r="T739" s="158">
        <f t="shared" si="55"/>
        <v>66206</v>
      </c>
      <c r="U739" s="164">
        <f t="shared" si="56"/>
        <v>864.41</v>
      </c>
      <c r="V739" s="159">
        <f t="shared" si="59"/>
        <v>-6072.86</v>
      </c>
      <c r="W739" s="159">
        <f>D_Emprunts!$U739-D_Emprunts!$V739</f>
        <v>6937.2699999999995</v>
      </c>
      <c r="X739" s="160">
        <f>X738-D_Emprunts!$W739</f>
        <v>-2065496.6499999985</v>
      </c>
      <c r="Y739">
        <v>732</v>
      </c>
      <c r="Z739" t="str">
        <f t="shared" si="57"/>
        <v>Investissement</v>
      </c>
      <c r="AA739" t="str">
        <f t="shared" si="58"/>
        <v>travaux magasin</v>
      </c>
    </row>
    <row r="740" spans="20:27" x14ac:dyDescent="0.25">
      <c r="T740" s="155">
        <f t="shared" si="55"/>
        <v>66236</v>
      </c>
      <c r="U740" s="164">
        <f t="shared" si="56"/>
        <v>864.41</v>
      </c>
      <c r="V740" s="159">
        <f t="shared" si="59"/>
        <v>-6093.32</v>
      </c>
      <c r="W740" s="156">
        <f>D_Emprunts!$U740-D_Emprunts!$V740</f>
        <v>6957.73</v>
      </c>
      <c r="X740" s="157">
        <f>X739-D_Emprunts!$W740</f>
        <v>-2072454.3799999985</v>
      </c>
      <c r="Y740">
        <v>733</v>
      </c>
      <c r="Z740" t="str">
        <f t="shared" si="57"/>
        <v>Investissement</v>
      </c>
      <c r="AA740" t="str">
        <f t="shared" si="58"/>
        <v>travaux magasin</v>
      </c>
    </row>
    <row r="741" spans="20:27" x14ac:dyDescent="0.25">
      <c r="T741" s="158">
        <f t="shared" si="55"/>
        <v>66267</v>
      </c>
      <c r="U741" s="164">
        <f t="shared" si="56"/>
        <v>864.41</v>
      </c>
      <c r="V741" s="159">
        <f t="shared" si="59"/>
        <v>-6113.85</v>
      </c>
      <c r="W741" s="159">
        <f>D_Emprunts!$U741-D_Emprunts!$V741</f>
        <v>6978.26</v>
      </c>
      <c r="X741" s="160">
        <f>X740-D_Emprunts!$W741</f>
        <v>-2079432.6399999985</v>
      </c>
      <c r="Y741">
        <v>734</v>
      </c>
      <c r="Z741" t="str">
        <f t="shared" si="57"/>
        <v>Investissement</v>
      </c>
      <c r="AA741" t="str">
        <f t="shared" si="58"/>
        <v>travaux magasin</v>
      </c>
    </row>
    <row r="742" spans="20:27" x14ac:dyDescent="0.25">
      <c r="T742" s="155">
        <f t="shared" si="55"/>
        <v>66297</v>
      </c>
      <c r="U742" s="164">
        <f t="shared" si="56"/>
        <v>864.41</v>
      </c>
      <c r="V742" s="159">
        <f t="shared" si="59"/>
        <v>-6134.43</v>
      </c>
      <c r="W742" s="156">
        <f>D_Emprunts!$U742-D_Emprunts!$V742</f>
        <v>6998.84</v>
      </c>
      <c r="X742" s="157">
        <f>X741-D_Emprunts!$W742</f>
        <v>-2086431.4799999986</v>
      </c>
      <c r="Y742">
        <v>735</v>
      </c>
      <c r="Z742" t="str">
        <f t="shared" si="57"/>
        <v>Investissement</v>
      </c>
      <c r="AA742" t="str">
        <f t="shared" si="58"/>
        <v>travaux magasin</v>
      </c>
    </row>
    <row r="743" spans="20:27" x14ac:dyDescent="0.25">
      <c r="T743" s="158">
        <f t="shared" si="55"/>
        <v>66328</v>
      </c>
      <c r="U743" s="164">
        <f t="shared" si="56"/>
        <v>864.41</v>
      </c>
      <c r="V743" s="159">
        <f t="shared" si="59"/>
        <v>-6155.08</v>
      </c>
      <c r="W743" s="159">
        <f>D_Emprunts!$U743-D_Emprunts!$V743</f>
        <v>7019.49</v>
      </c>
      <c r="X743" s="160">
        <f>X742-D_Emprunts!$W743</f>
        <v>-2093450.9699999986</v>
      </c>
      <c r="Y743">
        <v>736</v>
      </c>
      <c r="Z743" t="str">
        <f t="shared" si="57"/>
        <v>Investissement</v>
      </c>
      <c r="AA743" t="str">
        <f t="shared" si="58"/>
        <v>travaux magasin</v>
      </c>
    </row>
    <row r="744" spans="20:27" x14ac:dyDescent="0.25">
      <c r="T744" s="155">
        <f t="shared" si="55"/>
        <v>66359</v>
      </c>
      <c r="U744" s="164">
        <f t="shared" si="56"/>
        <v>864.41</v>
      </c>
      <c r="V744" s="159">
        <f t="shared" si="59"/>
        <v>-6175.79</v>
      </c>
      <c r="W744" s="156">
        <f>D_Emprunts!$U744-D_Emprunts!$V744</f>
        <v>7040.2</v>
      </c>
      <c r="X744" s="157">
        <f>X743-D_Emprunts!$W744</f>
        <v>-2100491.1699999985</v>
      </c>
      <c r="Y744">
        <v>737</v>
      </c>
      <c r="Z744" t="str">
        <f t="shared" si="57"/>
        <v>Investissement</v>
      </c>
      <c r="AA744" t="str">
        <f t="shared" si="58"/>
        <v>travaux magasin</v>
      </c>
    </row>
    <row r="745" spans="20:27" x14ac:dyDescent="0.25">
      <c r="T745" s="158">
        <f t="shared" si="55"/>
        <v>66389</v>
      </c>
      <c r="U745" s="164">
        <f t="shared" si="56"/>
        <v>864.41</v>
      </c>
      <c r="V745" s="159">
        <f t="shared" si="59"/>
        <v>-6196.56</v>
      </c>
      <c r="W745" s="159">
        <f>D_Emprunts!$U745-D_Emprunts!$V745</f>
        <v>7060.97</v>
      </c>
      <c r="X745" s="160">
        <f>X744-D_Emprunts!$W745</f>
        <v>-2107552.1399999987</v>
      </c>
      <c r="Y745">
        <v>738</v>
      </c>
      <c r="Z745" t="str">
        <f t="shared" si="57"/>
        <v>Investissement</v>
      </c>
      <c r="AA745" t="str">
        <f t="shared" si="58"/>
        <v>travaux magasin</v>
      </c>
    </row>
    <row r="746" spans="20:27" x14ac:dyDescent="0.25">
      <c r="T746" s="155">
        <f t="shared" si="55"/>
        <v>66420</v>
      </c>
      <c r="U746" s="164">
        <f t="shared" si="56"/>
        <v>864.41</v>
      </c>
      <c r="V746" s="159">
        <f t="shared" si="59"/>
        <v>-6217.39</v>
      </c>
      <c r="W746" s="156">
        <f>D_Emprunts!$U746-D_Emprunts!$V746</f>
        <v>7081.8</v>
      </c>
      <c r="X746" s="157">
        <f>X745-D_Emprunts!$W746</f>
        <v>-2114633.9399999985</v>
      </c>
      <c r="Y746">
        <v>739</v>
      </c>
      <c r="Z746" t="str">
        <f t="shared" si="57"/>
        <v>Investissement</v>
      </c>
      <c r="AA746" t="str">
        <f t="shared" si="58"/>
        <v>travaux magasin</v>
      </c>
    </row>
    <row r="747" spans="20:27" x14ac:dyDescent="0.25">
      <c r="T747" s="158">
        <f t="shared" si="55"/>
        <v>66450</v>
      </c>
      <c r="U747" s="164">
        <f t="shared" si="56"/>
        <v>864.41</v>
      </c>
      <c r="V747" s="159">
        <f t="shared" si="59"/>
        <v>-6238.28</v>
      </c>
      <c r="W747" s="159">
        <f>D_Emprunts!$U747-D_Emprunts!$V747</f>
        <v>7102.69</v>
      </c>
      <c r="X747" s="160">
        <f>X746-D_Emprunts!$W747</f>
        <v>-2121736.6299999985</v>
      </c>
      <c r="Y747">
        <v>740</v>
      </c>
      <c r="Z747" t="str">
        <f t="shared" si="57"/>
        <v>Investissement</v>
      </c>
      <c r="AA747" t="str">
        <f t="shared" si="58"/>
        <v>travaux magasin</v>
      </c>
    </row>
    <row r="748" spans="20:27" x14ac:dyDescent="0.25">
      <c r="T748" s="155">
        <f t="shared" si="55"/>
        <v>66481</v>
      </c>
      <c r="U748" s="164">
        <f t="shared" si="56"/>
        <v>864.41</v>
      </c>
      <c r="V748" s="159">
        <f t="shared" si="59"/>
        <v>-6259.23</v>
      </c>
      <c r="W748" s="156">
        <f>D_Emprunts!$U748-D_Emprunts!$V748</f>
        <v>7123.6399999999994</v>
      </c>
      <c r="X748" s="157">
        <f>X747-D_Emprunts!$W748</f>
        <v>-2128860.2699999986</v>
      </c>
      <c r="Y748">
        <v>741</v>
      </c>
      <c r="Z748" t="str">
        <f t="shared" si="57"/>
        <v>Investissement</v>
      </c>
      <c r="AA748" t="str">
        <f t="shared" si="58"/>
        <v>travaux magasin</v>
      </c>
    </row>
    <row r="749" spans="20:27" x14ac:dyDescent="0.25">
      <c r="T749" s="158">
        <f t="shared" si="55"/>
        <v>66512</v>
      </c>
      <c r="U749" s="164">
        <f t="shared" si="56"/>
        <v>864.41</v>
      </c>
      <c r="V749" s="159">
        <f t="shared" si="59"/>
        <v>-6280.25</v>
      </c>
      <c r="W749" s="159">
        <f>D_Emprunts!$U749-D_Emprunts!$V749</f>
        <v>7144.66</v>
      </c>
      <c r="X749" s="160">
        <f>X748-D_Emprunts!$W749</f>
        <v>-2136004.9299999988</v>
      </c>
      <c r="Y749">
        <v>742</v>
      </c>
      <c r="Z749" t="str">
        <f t="shared" si="57"/>
        <v>Investissement</v>
      </c>
      <c r="AA749" t="str">
        <f t="shared" si="58"/>
        <v>travaux magasin</v>
      </c>
    </row>
    <row r="750" spans="20:27" x14ac:dyDescent="0.25">
      <c r="T750" s="155">
        <f t="shared" si="55"/>
        <v>66540</v>
      </c>
      <c r="U750" s="164">
        <f t="shared" si="56"/>
        <v>864.41</v>
      </c>
      <c r="V750" s="159">
        <f t="shared" si="59"/>
        <v>-6301.32</v>
      </c>
      <c r="W750" s="156">
        <f>D_Emprunts!$U750-D_Emprunts!$V750</f>
        <v>7165.73</v>
      </c>
      <c r="X750" s="157">
        <f>X749-D_Emprunts!$W750</f>
        <v>-2143170.6599999988</v>
      </c>
      <c r="Y750">
        <v>743</v>
      </c>
      <c r="Z750" t="str">
        <f t="shared" si="57"/>
        <v>Investissement</v>
      </c>
      <c r="AA750" t="str">
        <f t="shared" si="58"/>
        <v>travaux magasin</v>
      </c>
    </row>
    <row r="751" spans="20:27" x14ac:dyDescent="0.25">
      <c r="T751" s="158">
        <f t="shared" si="55"/>
        <v>66571</v>
      </c>
      <c r="U751" s="164">
        <f t="shared" si="56"/>
        <v>864.41</v>
      </c>
      <c r="V751" s="159">
        <f t="shared" si="59"/>
        <v>-6322.46</v>
      </c>
      <c r="W751" s="159">
        <f>D_Emprunts!$U751-D_Emprunts!$V751</f>
        <v>7186.87</v>
      </c>
      <c r="X751" s="160">
        <f>X750-D_Emprunts!$W751</f>
        <v>-2150357.5299999989</v>
      </c>
      <c r="Y751">
        <v>744</v>
      </c>
      <c r="Z751" t="str">
        <f t="shared" si="57"/>
        <v>Investissement</v>
      </c>
      <c r="AA751" t="str">
        <f t="shared" si="58"/>
        <v>travaux magasin</v>
      </c>
    </row>
    <row r="752" spans="20:27" x14ac:dyDescent="0.25">
      <c r="T752" s="155">
        <f t="shared" si="55"/>
        <v>66601</v>
      </c>
      <c r="U752" s="164">
        <f t="shared" si="56"/>
        <v>864.41</v>
      </c>
      <c r="V752" s="159">
        <f t="shared" si="59"/>
        <v>-6343.66</v>
      </c>
      <c r="W752" s="156">
        <f>D_Emprunts!$U752-D_Emprunts!$V752</f>
        <v>7208.07</v>
      </c>
      <c r="X752" s="157">
        <f>X751-D_Emprunts!$W752</f>
        <v>-2157565.5999999987</v>
      </c>
      <c r="Y752">
        <v>745</v>
      </c>
      <c r="Z752" t="str">
        <f t="shared" si="57"/>
        <v>Investissement</v>
      </c>
      <c r="AA752" t="str">
        <f t="shared" si="58"/>
        <v>travaux magasin</v>
      </c>
    </row>
    <row r="753" spans="20:27" x14ac:dyDescent="0.25">
      <c r="T753" s="158">
        <f t="shared" si="55"/>
        <v>66632</v>
      </c>
      <c r="U753" s="164">
        <f t="shared" si="56"/>
        <v>864.41</v>
      </c>
      <c r="V753" s="159">
        <f t="shared" si="59"/>
        <v>-6364.93</v>
      </c>
      <c r="W753" s="159">
        <f>D_Emprunts!$U753-D_Emprunts!$V753</f>
        <v>7229.34</v>
      </c>
      <c r="X753" s="160">
        <f>X752-D_Emprunts!$W753</f>
        <v>-2164794.9399999985</v>
      </c>
      <c r="Y753">
        <v>746</v>
      </c>
      <c r="Z753" t="str">
        <f t="shared" si="57"/>
        <v>Investissement</v>
      </c>
      <c r="AA753" t="str">
        <f t="shared" si="58"/>
        <v>travaux magasin</v>
      </c>
    </row>
    <row r="754" spans="20:27" x14ac:dyDescent="0.25">
      <c r="T754" s="155">
        <f t="shared" si="55"/>
        <v>66662</v>
      </c>
      <c r="U754" s="164">
        <f t="shared" si="56"/>
        <v>864.41</v>
      </c>
      <c r="V754" s="159">
        <f t="shared" si="59"/>
        <v>-6386.26</v>
      </c>
      <c r="W754" s="156">
        <f>D_Emprunts!$U754-D_Emprunts!$V754</f>
        <v>7250.67</v>
      </c>
      <c r="X754" s="157">
        <f>X753-D_Emprunts!$W754</f>
        <v>-2172045.6099999985</v>
      </c>
      <c r="Y754">
        <v>747</v>
      </c>
      <c r="Z754" t="str">
        <f t="shared" si="57"/>
        <v>Investissement</v>
      </c>
      <c r="AA754" t="str">
        <f t="shared" si="58"/>
        <v>travaux magasin</v>
      </c>
    </row>
    <row r="755" spans="20:27" x14ac:dyDescent="0.25">
      <c r="T755" s="158">
        <f t="shared" si="55"/>
        <v>66693</v>
      </c>
      <c r="U755" s="164">
        <f t="shared" si="56"/>
        <v>864.41</v>
      </c>
      <c r="V755" s="159">
        <f t="shared" si="59"/>
        <v>-6407.65</v>
      </c>
      <c r="W755" s="159">
        <f>D_Emprunts!$U755-D_Emprunts!$V755</f>
        <v>7272.0599999999995</v>
      </c>
      <c r="X755" s="160">
        <f>X754-D_Emprunts!$W755</f>
        <v>-2179317.6699999985</v>
      </c>
      <c r="Y755">
        <v>748</v>
      </c>
      <c r="Z755" t="str">
        <f t="shared" si="57"/>
        <v>Investissement</v>
      </c>
      <c r="AA755" t="str">
        <f t="shared" si="58"/>
        <v>travaux magasin</v>
      </c>
    </row>
    <row r="756" spans="20:27" x14ac:dyDescent="0.25">
      <c r="T756" s="155">
        <f t="shared" si="55"/>
        <v>66724</v>
      </c>
      <c r="U756" s="164">
        <f t="shared" si="56"/>
        <v>864.41</v>
      </c>
      <c r="V756" s="159">
        <f t="shared" si="59"/>
        <v>-6429.1</v>
      </c>
      <c r="W756" s="156">
        <f>D_Emprunts!$U756-D_Emprunts!$V756</f>
        <v>7293.51</v>
      </c>
      <c r="X756" s="157">
        <f>X755-D_Emprunts!$W756</f>
        <v>-2186611.1799999983</v>
      </c>
      <c r="Y756">
        <v>749</v>
      </c>
      <c r="Z756" t="str">
        <f t="shared" si="57"/>
        <v>Investissement</v>
      </c>
      <c r="AA756" t="str">
        <f t="shared" si="58"/>
        <v>travaux magasin</v>
      </c>
    </row>
    <row r="757" spans="20:27" x14ac:dyDescent="0.25">
      <c r="T757" s="158">
        <f t="shared" si="55"/>
        <v>66754</v>
      </c>
      <c r="U757" s="164">
        <f t="shared" si="56"/>
        <v>864.41</v>
      </c>
      <c r="V757" s="159">
        <f t="shared" si="59"/>
        <v>-6450.61</v>
      </c>
      <c r="W757" s="159">
        <f>D_Emprunts!$U757-D_Emprunts!$V757</f>
        <v>7315.0199999999995</v>
      </c>
      <c r="X757" s="160">
        <f>X756-D_Emprunts!$W757</f>
        <v>-2193926.1999999983</v>
      </c>
      <c r="Y757">
        <v>750</v>
      </c>
      <c r="Z757" t="str">
        <f t="shared" si="57"/>
        <v>Investissement</v>
      </c>
      <c r="AA757" t="str">
        <f t="shared" si="58"/>
        <v>travaux magasin</v>
      </c>
    </row>
    <row r="758" spans="20:27" x14ac:dyDescent="0.25">
      <c r="T758" s="155">
        <f t="shared" si="55"/>
        <v>66785</v>
      </c>
      <c r="U758" s="164">
        <f t="shared" si="56"/>
        <v>864.41</v>
      </c>
      <c r="V758" s="159">
        <f t="shared" si="59"/>
        <v>-6472.19</v>
      </c>
      <c r="W758" s="156">
        <f>D_Emprunts!$U758-D_Emprunts!$V758</f>
        <v>7336.5999999999995</v>
      </c>
      <c r="X758" s="157">
        <f>X757-D_Emprunts!$W758</f>
        <v>-2201262.7999999984</v>
      </c>
      <c r="Y758">
        <v>751</v>
      </c>
      <c r="Z758" t="str">
        <f t="shared" si="57"/>
        <v>Investissement</v>
      </c>
      <c r="AA758" t="str">
        <f t="shared" si="58"/>
        <v>travaux magasin</v>
      </c>
    </row>
    <row r="759" spans="20:27" x14ac:dyDescent="0.25">
      <c r="T759" s="158">
        <f t="shared" si="55"/>
        <v>66815</v>
      </c>
      <c r="U759" s="164">
        <f t="shared" si="56"/>
        <v>864.41</v>
      </c>
      <c r="V759" s="159">
        <f t="shared" si="59"/>
        <v>-6493.84</v>
      </c>
      <c r="W759" s="159">
        <f>D_Emprunts!$U759-D_Emprunts!$V759</f>
        <v>7358.25</v>
      </c>
      <c r="X759" s="160">
        <f>X758-D_Emprunts!$W759</f>
        <v>-2208621.0499999984</v>
      </c>
      <c r="Y759">
        <v>752</v>
      </c>
      <c r="Z759" t="str">
        <f t="shared" si="57"/>
        <v>Investissement</v>
      </c>
      <c r="AA759" t="str">
        <f t="shared" si="58"/>
        <v>travaux magasin</v>
      </c>
    </row>
    <row r="760" spans="20:27" x14ac:dyDescent="0.25">
      <c r="T760" s="155">
        <f t="shared" si="55"/>
        <v>66846</v>
      </c>
      <c r="U760" s="164">
        <f t="shared" si="56"/>
        <v>864.41</v>
      </c>
      <c r="V760" s="159">
        <f t="shared" si="59"/>
        <v>-6515.55</v>
      </c>
      <c r="W760" s="156">
        <f>D_Emprunts!$U760-D_Emprunts!$V760</f>
        <v>7379.96</v>
      </c>
      <c r="X760" s="157">
        <f>X759-D_Emprunts!$W760</f>
        <v>-2216001.0099999984</v>
      </c>
      <c r="Y760">
        <v>753</v>
      </c>
      <c r="Z760" t="str">
        <f t="shared" si="57"/>
        <v>Investissement</v>
      </c>
      <c r="AA760" t="str">
        <f t="shared" si="58"/>
        <v>travaux magasin</v>
      </c>
    </row>
    <row r="761" spans="20:27" x14ac:dyDescent="0.25">
      <c r="T761" s="158">
        <f t="shared" si="55"/>
        <v>66877</v>
      </c>
      <c r="U761" s="164">
        <f t="shared" si="56"/>
        <v>864.41</v>
      </c>
      <c r="V761" s="159">
        <f t="shared" si="59"/>
        <v>-6537.32</v>
      </c>
      <c r="W761" s="159">
        <f>D_Emprunts!$U761-D_Emprunts!$V761</f>
        <v>7401.73</v>
      </c>
      <c r="X761" s="160">
        <f>X760-D_Emprunts!$W761</f>
        <v>-2223402.7399999984</v>
      </c>
      <c r="Y761">
        <v>754</v>
      </c>
      <c r="Z761" t="str">
        <f t="shared" si="57"/>
        <v>Investissement</v>
      </c>
      <c r="AA761" t="str">
        <f t="shared" si="58"/>
        <v>travaux magasin</v>
      </c>
    </row>
    <row r="762" spans="20:27" x14ac:dyDescent="0.25">
      <c r="T762" s="155">
        <f t="shared" si="55"/>
        <v>66905</v>
      </c>
      <c r="U762" s="164">
        <f t="shared" si="56"/>
        <v>864.41</v>
      </c>
      <c r="V762" s="159">
        <f t="shared" si="59"/>
        <v>-6559.15</v>
      </c>
      <c r="W762" s="156">
        <f>D_Emprunts!$U762-D_Emprunts!$V762</f>
        <v>7423.5599999999995</v>
      </c>
      <c r="X762" s="157">
        <f>X761-D_Emprunts!$W762</f>
        <v>-2230826.2999999984</v>
      </c>
      <c r="Y762">
        <v>755</v>
      </c>
      <c r="Z762" t="str">
        <f t="shared" si="57"/>
        <v>Investissement</v>
      </c>
      <c r="AA762" t="str">
        <f t="shared" si="58"/>
        <v>travaux magasin</v>
      </c>
    </row>
    <row r="763" spans="20:27" x14ac:dyDescent="0.25">
      <c r="T763" s="158">
        <f t="shared" si="55"/>
        <v>66936</v>
      </c>
      <c r="U763" s="164">
        <f t="shared" si="56"/>
        <v>864.41</v>
      </c>
      <c r="V763" s="159">
        <f t="shared" si="59"/>
        <v>-6581.05</v>
      </c>
      <c r="W763" s="159">
        <f>D_Emprunts!$U763-D_Emprunts!$V763</f>
        <v>7445.46</v>
      </c>
      <c r="X763" s="160">
        <f>X762-D_Emprunts!$W763</f>
        <v>-2238271.7599999984</v>
      </c>
      <c r="Y763">
        <v>756</v>
      </c>
      <c r="Z763" t="str">
        <f t="shared" si="57"/>
        <v>Investissement</v>
      </c>
      <c r="AA763" t="str">
        <f t="shared" si="58"/>
        <v>travaux magasin</v>
      </c>
    </row>
    <row r="764" spans="20:27" x14ac:dyDescent="0.25">
      <c r="T764" s="155">
        <f t="shared" si="55"/>
        <v>66966</v>
      </c>
      <c r="U764" s="164">
        <f t="shared" si="56"/>
        <v>864.41</v>
      </c>
      <c r="V764" s="159">
        <f t="shared" si="59"/>
        <v>-6603.02</v>
      </c>
      <c r="W764" s="156">
        <f>D_Emprunts!$U764-D_Emprunts!$V764</f>
        <v>7467.43</v>
      </c>
      <c r="X764" s="157">
        <f>X763-D_Emprunts!$W764</f>
        <v>-2245739.1899999985</v>
      </c>
      <c r="Y764">
        <v>757</v>
      </c>
      <c r="Z764" t="str">
        <f t="shared" si="57"/>
        <v>Investissement</v>
      </c>
      <c r="AA764" t="str">
        <f t="shared" si="58"/>
        <v>travaux magasin</v>
      </c>
    </row>
    <row r="765" spans="20:27" x14ac:dyDescent="0.25">
      <c r="T765" s="158">
        <f t="shared" si="55"/>
        <v>66997</v>
      </c>
      <c r="U765" s="164">
        <f t="shared" si="56"/>
        <v>864.41</v>
      </c>
      <c r="V765" s="159">
        <f t="shared" si="59"/>
        <v>-6625.05</v>
      </c>
      <c r="W765" s="159">
        <f>D_Emprunts!$U765-D_Emprunts!$V765</f>
        <v>7489.46</v>
      </c>
      <c r="X765" s="160">
        <f>X764-D_Emprunts!$W765</f>
        <v>-2253228.6499999985</v>
      </c>
      <c r="Y765">
        <v>758</v>
      </c>
      <c r="Z765" t="str">
        <f t="shared" si="57"/>
        <v>Investissement</v>
      </c>
      <c r="AA765" t="str">
        <f t="shared" si="58"/>
        <v>travaux magasin</v>
      </c>
    </row>
    <row r="766" spans="20:27" x14ac:dyDescent="0.25">
      <c r="T766" s="155">
        <f t="shared" si="55"/>
        <v>67027</v>
      </c>
      <c r="U766" s="164">
        <f t="shared" si="56"/>
        <v>864.41</v>
      </c>
      <c r="V766" s="159">
        <f t="shared" si="59"/>
        <v>-6647.14</v>
      </c>
      <c r="W766" s="156">
        <f>D_Emprunts!$U766-D_Emprunts!$V766</f>
        <v>7511.55</v>
      </c>
      <c r="X766" s="157">
        <f>X765-D_Emprunts!$W766</f>
        <v>-2260740.1999999983</v>
      </c>
      <c r="Y766">
        <v>759</v>
      </c>
      <c r="Z766" t="str">
        <f t="shared" si="57"/>
        <v>Investissement</v>
      </c>
      <c r="AA766" t="str">
        <f t="shared" si="58"/>
        <v>travaux magasin</v>
      </c>
    </row>
    <row r="767" spans="20:27" x14ac:dyDescent="0.25">
      <c r="T767" s="158">
        <f t="shared" si="55"/>
        <v>67058</v>
      </c>
      <c r="U767" s="164">
        <f t="shared" si="56"/>
        <v>864.41</v>
      </c>
      <c r="V767" s="159">
        <f t="shared" si="59"/>
        <v>-6669.3</v>
      </c>
      <c r="W767" s="159">
        <f>D_Emprunts!$U767-D_Emprunts!$V767</f>
        <v>7533.71</v>
      </c>
      <c r="X767" s="160">
        <f>X766-D_Emprunts!$W767</f>
        <v>-2268273.9099999983</v>
      </c>
      <c r="Y767">
        <v>760</v>
      </c>
      <c r="Z767" t="str">
        <f t="shared" si="57"/>
        <v>Investissement</v>
      </c>
      <c r="AA767" t="str">
        <f t="shared" si="58"/>
        <v>travaux magasin</v>
      </c>
    </row>
    <row r="768" spans="20:27" x14ac:dyDescent="0.25">
      <c r="T768" s="155">
        <f t="shared" si="55"/>
        <v>67089</v>
      </c>
      <c r="U768" s="164">
        <f t="shared" si="56"/>
        <v>864.41</v>
      </c>
      <c r="V768" s="159">
        <f t="shared" si="59"/>
        <v>-6691.52</v>
      </c>
      <c r="W768" s="156">
        <f>D_Emprunts!$U768-D_Emprunts!$V768</f>
        <v>7555.93</v>
      </c>
      <c r="X768" s="157">
        <f>X767-D_Emprunts!$W768</f>
        <v>-2275829.8399999985</v>
      </c>
      <c r="Y768">
        <v>761</v>
      </c>
      <c r="Z768" t="str">
        <f t="shared" si="57"/>
        <v>Investissement</v>
      </c>
      <c r="AA768" t="str">
        <f t="shared" si="58"/>
        <v>travaux magasin</v>
      </c>
    </row>
    <row r="769" spans="20:27" x14ac:dyDescent="0.25">
      <c r="T769" s="158">
        <f t="shared" si="55"/>
        <v>67119</v>
      </c>
      <c r="U769" s="164">
        <f t="shared" si="56"/>
        <v>864.41</v>
      </c>
      <c r="V769" s="159">
        <f t="shared" si="59"/>
        <v>-6713.81</v>
      </c>
      <c r="W769" s="159">
        <f>D_Emprunts!$U769-D_Emprunts!$V769</f>
        <v>7578.22</v>
      </c>
      <c r="X769" s="160">
        <f>X768-D_Emprunts!$W769</f>
        <v>-2283408.0599999987</v>
      </c>
      <c r="Y769">
        <v>762</v>
      </c>
      <c r="Z769" t="str">
        <f t="shared" si="57"/>
        <v>Investissement</v>
      </c>
      <c r="AA769" t="str">
        <f t="shared" si="58"/>
        <v>travaux magasin</v>
      </c>
    </row>
    <row r="770" spans="20:27" x14ac:dyDescent="0.25">
      <c r="T770" s="155">
        <f t="shared" si="55"/>
        <v>67150</v>
      </c>
      <c r="U770" s="164">
        <f t="shared" si="56"/>
        <v>864.41</v>
      </c>
      <c r="V770" s="159">
        <f t="shared" si="59"/>
        <v>-6736.17</v>
      </c>
      <c r="W770" s="156">
        <f>D_Emprunts!$U770-D_Emprunts!$V770</f>
        <v>7600.58</v>
      </c>
      <c r="X770" s="157">
        <f>X769-D_Emprunts!$W770</f>
        <v>-2291008.6399999987</v>
      </c>
      <c r="Y770">
        <v>763</v>
      </c>
      <c r="Z770" t="str">
        <f t="shared" si="57"/>
        <v>Investissement</v>
      </c>
      <c r="AA770" t="str">
        <f t="shared" si="58"/>
        <v>travaux magasin</v>
      </c>
    </row>
    <row r="771" spans="20:27" x14ac:dyDescent="0.25">
      <c r="T771" s="158">
        <f t="shared" si="55"/>
        <v>67180</v>
      </c>
      <c r="U771" s="164">
        <f t="shared" si="56"/>
        <v>864.41</v>
      </c>
      <c r="V771" s="159">
        <f t="shared" si="59"/>
        <v>-6758.59</v>
      </c>
      <c r="W771" s="159">
        <f>D_Emprunts!$U771-D_Emprunts!$V771</f>
        <v>7623</v>
      </c>
      <c r="X771" s="160">
        <f>X770-D_Emprunts!$W771</f>
        <v>-2298631.6399999987</v>
      </c>
      <c r="Y771">
        <v>764</v>
      </c>
      <c r="Z771" t="str">
        <f t="shared" si="57"/>
        <v>Investissement</v>
      </c>
      <c r="AA771" t="str">
        <f t="shared" si="58"/>
        <v>travaux magasin</v>
      </c>
    </row>
    <row r="772" spans="20:27" x14ac:dyDescent="0.25">
      <c r="T772" s="155">
        <f t="shared" si="55"/>
        <v>67211</v>
      </c>
      <c r="U772" s="164">
        <f t="shared" si="56"/>
        <v>864.41</v>
      </c>
      <c r="V772" s="159">
        <f t="shared" si="59"/>
        <v>-6781.08</v>
      </c>
      <c r="W772" s="156">
        <f>D_Emprunts!$U772-D_Emprunts!$V772</f>
        <v>7645.49</v>
      </c>
      <c r="X772" s="157">
        <f>X771-D_Emprunts!$W772</f>
        <v>-2306277.129999999</v>
      </c>
      <c r="Y772">
        <v>765</v>
      </c>
      <c r="Z772" t="str">
        <f t="shared" si="57"/>
        <v>Investissement</v>
      </c>
      <c r="AA772" t="str">
        <f t="shared" si="58"/>
        <v>travaux magasin</v>
      </c>
    </row>
    <row r="773" spans="20:27" x14ac:dyDescent="0.25">
      <c r="T773" s="158">
        <f t="shared" si="55"/>
        <v>67242</v>
      </c>
      <c r="U773" s="164">
        <f t="shared" si="56"/>
        <v>864.41</v>
      </c>
      <c r="V773" s="159">
        <f t="shared" si="59"/>
        <v>-6803.64</v>
      </c>
      <c r="W773" s="159">
        <f>D_Emprunts!$U773-D_Emprunts!$V773</f>
        <v>7668.05</v>
      </c>
      <c r="X773" s="160">
        <f>X772-D_Emprunts!$W773</f>
        <v>-2313945.1799999988</v>
      </c>
      <c r="Y773">
        <v>766</v>
      </c>
      <c r="Z773" t="str">
        <f t="shared" si="57"/>
        <v>Investissement</v>
      </c>
      <c r="AA773" t="str">
        <f t="shared" si="58"/>
        <v>travaux magasin</v>
      </c>
    </row>
    <row r="774" spans="20:27" x14ac:dyDescent="0.25">
      <c r="T774" s="155">
        <f t="shared" si="55"/>
        <v>67271</v>
      </c>
      <c r="U774" s="164">
        <f t="shared" si="56"/>
        <v>864.41</v>
      </c>
      <c r="V774" s="159">
        <f t="shared" si="59"/>
        <v>-6826.26</v>
      </c>
      <c r="W774" s="156">
        <f>D_Emprunts!$U774-D_Emprunts!$V774</f>
        <v>7690.67</v>
      </c>
      <c r="X774" s="157">
        <f>X773-D_Emprunts!$W774</f>
        <v>-2321635.8499999987</v>
      </c>
      <c r="Y774">
        <v>767</v>
      </c>
      <c r="Z774" t="str">
        <f t="shared" si="57"/>
        <v>Investissement</v>
      </c>
      <c r="AA774" t="str">
        <f t="shared" si="58"/>
        <v>travaux magasin</v>
      </c>
    </row>
    <row r="775" spans="20:27" x14ac:dyDescent="0.25">
      <c r="T775" s="158">
        <f t="shared" si="55"/>
        <v>67302</v>
      </c>
      <c r="U775" s="164">
        <f t="shared" si="56"/>
        <v>864.41</v>
      </c>
      <c r="V775" s="159">
        <f t="shared" si="59"/>
        <v>-6848.94</v>
      </c>
      <c r="W775" s="159">
        <f>D_Emprunts!$U775-D_Emprunts!$V775</f>
        <v>7713.3499999999995</v>
      </c>
      <c r="X775" s="160">
        <f>X774-D_Emprunts!$W775</f>
        <v>-2329349.1999999988</v>
      </c>
      <c r="Y775">
        <v>768</v>
      </c>
      <c r="Z775" t="str">
        <f t="shared" si="57"/>
        <v>Investissement</v>
      </c>
      <c r="AA775" t="str">
        <f t="shared" si="58"/>
        <v>travaux magasin</v>
      </c>
    </row>
    <row r="776" spans="20:27" x14ac:dyDescent="0.25">
      <c r="T776" s="155">
        <f t="shared" ref="T776:T839" si="60">EDATE(T775,1)</f>
        <v>67332</v>
      </c>
      <c r="U776" s="164">
        <f t="shared" si="56"/>
        <v>864.41</v>
      </c>
      <c r="V776" s="159">
        <f t="shared" si="59"/>
        <v>-6871.7</v>
      </c>
      <c r="W776" s="156">
        <f>D_Emprunts!$U776-D_Emprunts!$V776</f>
        <v>7736.11</v>
      </c>
      <c r="X776" s="157">
        <f>X775-D_Emprunts!$W776</f>
        <v>-2337085.3099999987</v>
      </c>
      <c r="Y776">
        <v>769</v>
      </c>
      <c r="Z776" t="str">
        <f t="shared" si="57"/>
        <v>Investissement</v>
      </c>
      <c r="AA776" t="str">
        <f t="shared" si="58"/>
        <v>travaux magasin</v>
      </c>
    </row>
    <row r="777" spans="20:27" x14ac:dyDescent="0.25">
      <c r="T777" s="158">
        <f t="shared" si="60"/>
        <v>67363</v>
      </c>
      <c r="U777" s="164">
        <f t="shared" ref="U777:U840" si="61">$X$4</f>
        <v>864.41</v>
      </c>
      <c r="V777" s="159">
        <f t="shared" si="59"/>
        <v>-6894.52</v>
      </c>
      <c r="W777" s="159">
        <f>D_Emprunts!$U777-D_Emprunts!$V777</f>
        <v>7758.93</v>
      </c>
      <c r="X777" s="160">
        <f>X776-D_Emprunts!$W777</f>
        <v>-2344844.2399999988</v>
      </c>
      <c r="Y777">
        <v>770</v>
      </c>
      <c r="Z777" t="str">
        <f t="shared" ref="Z777:Z840" si="62">$Y$4</f>
        <v>Investissement</v>
      </c>
      <c r="AA777" t="str">
        <f t="shared" ref="AA777:AA840" si="63">$Z$4</f>
        <v>travaux magasin</v>
      </c>
    </row>
    <row r="778" spans="20:27" x14ac:dyDescent="0.25">
      <c r="T778" s="155">
        <f t="shared" si="60"/>
        <v>67393</v>
      </c>
      <c r="U778" s="164">
        <f t="shared" si="61"/>
        <v>864.41</v>
      </c>
      <c r="V778" s="159">
        <f t="shared" ref="V778:V841" si="64">ROUND(X777*$V$4/12,2)</f>
        <v>-6917.41</v>
      </c>
      <c r="W778" s="156">
        <f>D_Emprunts!$U778-D_Emprunts!$V778</f>
        <v>7781.82</v>
      </c>
      <c r="X778" s="157">
        <f>X777-D_Emprunts!$W778</f>
        <v>-2352626.0599999987</v>
      </c>
      <c r="Y778">
        <v>771</v>
      </c>
      <c r="Z778" t="str">
        <f t="shared" si="62"/>
        <v>Investissement</v>
      </c>
      <c r="AA778" t="str">
        <f t="shared" si="63"/>
        <v>travaux magasin</v>
      </c>
    </row>
    <row r="779" spans="20:27" x14ac:dyDescent="0.25">
      <c r="T779" s="158">
        <f t="shared" si="60"/>
        <v>67424</v>
      </c>
      <c r="U779" s="164">
        <f t="shared" si="61"/>
        <v>864.41</v>
      </c>
      <c r="V779" s="159">
        <f t="shared" si="64"/>
        <v>-6940.37</v>
      </c>
      <c r="W779" s="159">
        <f>D_Emprunts!$U779-D_Emprunts!$V779</f>
        <v>7804.78</v>
      </c>
      <c r="X779" s="160">
        <f>X778-D_Emprunts!$W779</f>
        <v>-2360430.8399999985</v>
      </c>
      <c r="Y779">
        <v>772</v>
      </c>
      <c r="Z779" t="str">
        <f t="shared" si="62"/>
        <v>Investissement</v>
      </c>
      <c r="AA779" t="str">
        <f t="shared" si="63"/>
        <v>travaux magasin</v>
      </c>
    </row>
    <row r="780" spans="20:27" x14ac:dyDescent="0.25">
      <c r="T780" s="155">
        <f t="shared" si="60"/>
        <v>67455</v>
      </c>
      <c r="U780" s="164">
        <f t="shared" si="61"/>
        <v>864.41</v>
      </c>
      <c r="V780" s="159">
        <f t="shared" si="64"/>
        <v>-6963.39</v>
      </c>
      <c r="W780" s="156">
        <f>D_Emprunts!$U780-D_Emprunts!$V780</f>
        <v>7827.8</v>
      </c>
      <c r="X780" s="157">
        <f>X779-D_Emprunts!$W780</f>
        <v>-2368258.6399999983</v>
      </c>
      <c r="Y780">
        <v>773</v>
      </c>
      <c r="Z780" t="str">
        <f t="shared" si="62"/>
        <v>Investissement</v>
      </c>
      <c r="AA780" t="str">
        <f t="shared" si="63"/>
        <v>travaux magasin</v>
      </c>
    </row>
    <row r="781" spans="20:27" x14ac:dyDescent="0.25">
      <c r="T781" s="158">
        <f t="shared" si="60"/>
        <v>67485</v>
      </c>
      <c r="U781" s="164">
        <f t="shared" si="61"/>
        <v>864.41</v>
      </c>
      <c r="V781" s="159">
        <f t="shared" si="64"/>
        <v>-6986.48</v>
      </c>
      <c r="W781" s="159">
        <f>D_Emprunts!$U781-D_Emprunts!$V781</f>
        <v>7850.8899999999994</v>
      </c>
      <c r="X781" s="160">
        <f>X780-D_Emprunts!$W781</f>
        <v>-2376109.5299999984</v>
      </c>
      <c r="Y781">
        <v>774</v>
      </c>
      <c r="Z781" t="str">
        <f t="shared" si="62"/>
        <v>Investissement</v>
      </c>
      <c r="AA781" t="str">
        <f t="shared" si="63"/>
        <v>travaux magasin</v>
      </c>
    </row>
    <row r="782" spans="20:27" x14ac:dyDescent="0.25">
      <c r="T782" s="155">
        <f t="shared" si="60"/>
        <v>67516</v>
      </c>
      <c r="U782" s="164">
        <f t="shared" si="61"/>
        <v>864.41</v>
      </c>
      <c r="V782" s="159">
        <f t="shared" si="64"/>
        <v>-7009.64</v>
      </c>
      <c r="W782" s="156">
        <f>D_Emprunts!$U782-D_Emprunts!$V782</f>
        <v>7874.05</v>
      </c>
      <c r="X782" s="157">
        <f>X781-D_Emprunts!$W782</f>
        <v>-2383983.5799999982</v>
      </c>
      <c r="Y782">
        <v>775</v>
      </c>
      <c r="Z782" t="str">
        <f t="shared" si="62"/>
        <v>Investissement</v>
      </c>
      <c r="AA782" t="str">
        <f t="shared" si="63"/>
        <v>travaux magasin</v>
      </c>
    </row>
    <row r="783" spans="20:27" x14ac:dyDescent="0.25">
      <c r="T783" s="158">
        <f t="shared" si="60"/>
        <v>67546</v>
      </c>
      <c r="U783" s="164">
        <f t="shared" si="61"/>
        <v>864.41</v>
      </c>
      <c r="V783" s="159">
        <f t="shared" si="64"/>
        <v>-7032.87</v>
      </c>
      <c r="W783" s="159">
        <f>D_Emprunts!$U783-D_Emprunts!$V783</f>
        <v>7897.28</v>
      </c>
      <c r="X783" s="160">
        <f>X782-D_Emprunts!$W783</f>
        <v>-2391880.859999998</v>
      </c>
      <c r="Y783">
        <v>776</v>
      </c>
      <c r="Z783" t="str">
        <f t="shared" si="62"/>
        <v>Investissement</v>
      </c>
      <c r="AA783" t="str">
        <f t="shared" si="63"/>
        <v>travaux magasin</v>
      </c>
    </row>
    <row r="784" spans="20:27" x14ac:dyDescent="0.25">
      <c r="T784" s="155">
        <f t="shared" si="60"/>
        <v>67577</v>
      </c>
      <c r="U784" s="164">
        <f t="shared" si="61"/>
        <v>864.41</v>
      </c>
      <c r="V784" s="159">
        <f t="shared" si="64"/>
        <v>-7056.17</v>
      </c>
      <c r="W784" s="156">
        <f>D_Emprunts!$U784-D_Emprunts!$V784</f>
        <v>7920.58</v>
      </c>
      <c r="X784" s="157">
        <f>X783-D_Emprunts!$W784</f>
        <v>-2399801.4399999981</v>
      </c>
      <c r="Y784">
        <v>777</v>
      </c>
      <c r="Z784" t="str">
        <f t="shared" si="62"/>
        <v>Investissement</v>
      </c>
      <c r="AA784" t="str">
        <f t="shared" si="63"/>
        <v>travaux magasin</v>
      </c>
    </row>
    <row r="785" spans="20:27" x14ac:dyDescent="0.25">
      <c r="T785" s="158">
        <f t="shared" si="60"/>
        <v>67608</v>
      </c>
      <c r="U785" s="164">
        <f t="shared" si="61"/>
        <v>864.41</v>
      </c>
      <c r="V785" s="159">
        <f t="shared" si="64"/>
        <v>-7079.54</v>
      </c>
      <c r="W785" s="159">
        <f>D_Emprunts!$U785-D_Emprunts!$V785</f>
        <v>7943.95</v>
      </c>
      <c r="X785" s="160">
        <f>X784-D_Emprunts!$W785</f>
        <v>-2407745.3899999983</v>
      </c>
      <c r="Y785">
        <v>778</v>
      </c>
      <c r="Z785" t="str">
        <f t="shared" si="62"/>
        <v>Investissement</v>
      </c>
      <c r="AA785" t="str">
        <f t="shared" si="63"/>
        <v>travaux magasin</v>
      </c>
    </row>
    <row r="786" spans="20:27" x14ac:dyDescent="0.25">
      <c r="T786" s="155">
        <f t="shared" si="60"/>
        <v>67636</v>
      </c>
      <c r="U786" s="164">
        <f t="shared" si="61"/>
        <v>864.41</v>
      </c>
      <c r="V786" s="159">
        <f t="shared" si="64"/>
        <v>-7102.97</v>
      </c>
      <c r="W786" s="156">
        <f>D_Emprunts!$U786-D_Emprunts!$V786</f>
        <v>7967.38</v>
      </c>
      <c r="X786" s="157">
        <f>X785-D_Emprunts!$W786</f>
        <v>-2415712.7699999982</v>
      </c>
      <c r="Y786">
        <v>779</v>
      </c>
      <c r="Z786" t="str">
        <f t="shared" si="62"/>
        <v>Investissement</v>
      </c>
      <c r="AA786" t="str">
        <f t="shared" si="63"/>
        <v>travaux magasin</v>
      </c>
    </row>
    <row r="787" spans="20:27" x14ac:dyDescent="0.25">
      <c r="T787" s="158">
        <f t="shared" si="60"/>
        <v>67667</v>
      </c>
      <c r="U787" s="164">
        <f t="shared" si="61"/>
        <v>864.41</v>
      </c>
      <c r="V787" s="159">
        <f t="shared" si="64"/>
        <v>-7126.48</v>
      </c>
      <c r="W787" s="159">
        <f>D_Emprunts!$U787-D_Emprunts!$V787</f>
        <v>7990.8899999999994</v>
      </c>
      <c r="X787" s="160">
        <f>X786-D_Emprunts!$W787</f>
        <v>-2423703.6599999983</v>
      </c>
      <c r="Y787">
        <v>780</v>
      </c>
      <c r="Z787" t="str">
        <f t="shared" si="62"/>
        <v>Investissement</v>
      </c>
      <c r="AA787" t="str">
        <f t="shared" si="63"/>
        <v>travaux magasin</v>
      </c>
    </row>
    <row r="788" spans="20:27" x14ac:dyDescent="0.25">
      <c r="T788" s="155">
        <f t="shared" si="60"/>
        <v>67697</v>
      </c>
      <c r="U788" s="164">
        <f t="shared" si="61"/>
        <v>864.41</v>
      </c>
      <c r="V788" s="159">
        <f t="shared" si="64"/>
        <v>-7150.05</v>
      </c>
      <c r="W788" s="156">
        <f>D_Emprunts!$U788-D_Emprunts!$V788</f>
        <v>8014.46</v>
      </c>
      <c r="X788" s="157">
        <f>X787-D_Emprunts!$W788</f>
        <v>-2431718.1199999982</v>
      </c>
      <c r="Y788">
        <v>781</v>
      </c>
      <c r="Z788" t="str">
        <f t="shared" si="62"/>
        <v>Investissement</v>
      </c>
      <c r="AA788" t="str">
        <f t="shared" si="63"/>
        <v>travaux magasin</v>
      </c>
    </row>
    <row r="789" spans="20:27" x14ac:dyDescent="0.25">
      <c r="T789" s="158">
        <f t="shared" si="60"/>
        <v>67728</v>
      </c>
      <c r="U789" s="164">
        <f t="shared" si="61"/>
        <v>864.41</v>
      </c>
      <c r="V789" s="159">
        <f t="shared" si="64"/>
        <v>-7173.69</v>
      </c>
      <c r="W789" s="159">
        <f>D_Emprunts!$U789-D_Emprunts!$V789</f>
        <v>8038.0999999999995</v>
      </c>
      <c r="X789" s="160">
        <f>X788-D_Emprunts!$W789</f>
        <v>-2439756.2199999983</v>
      </c>
      <c r="Y789">
        <v>782</v>
      </c>
      <c r="Z789" t="str">
        <f t="shared" si="62"/>
        <v>Investissement</v>
      </c>
      <c r="AA789" t="str">
        <f t="shared" si="63"/>
        <v>travaux magasin</v>
      </c>
    </row>
    <row r="790" spans="20:27" x14ac:dyDescent="0.25">
      <c r="T790" s="155">
        <f t="shared" si="60"/>
        <v>67758</v>
      </c>
      <c r="U790" s="164">
        <f t="shared" si="61"/>
        <v>864.41</v>
      </c>
      <c r="V790" s="159">
        <f t="shared" si="64"/>
        <v>-7197.41</v>
      </c>
      <c r="W790" s="156">
        <f>D_Emprunts!$U790-D_Emprunts!$V790</f>
        <v>8061.82</v>
      </c>
      <c r="X790" s="157">
        <f>X789-D_Emprunts!$W790</f>
        <v>-2447818.0399999982</v>
      </c>
      <c r="Y790">
        <v>783</v>
      </c>
      <c r="Z790" t="str">
        <f t="shared" si="62"/>
        <v>Investissement</v>
      </c>
      <c r="AA790" t="str">
        <f t="shared" si="63"/>
        <v>travaux magasin</v>
      </c>
    </row>
    <row r="791" spans="20:27" x14ac:dyDescent="0.25">
      <c r="T791" s="158">
        <f t="shared" si="60"/>
        <v>67789</v>
      </c>
      <c r="U791" s="164">
        <f t="shared" si="61"/>
        <v>864.41</v>
      </c>
      <c r="V791" s="159">
        <f t="shared" si="64"/>
        <v>-7221.19</v>
      </c>
      <c r="W791" s="159">
        <f>D_Emprunts!$U791-D_Emprunts!$V791</f>
        <v>8085.5999999999995</v>
      </c>
      <c r="X791" s="160">
        <f>X790-D_Emprunts!$W791</f>
        <v>-2455903.6399999983</v>
      </c>
      <c r="Y791">
        <v>784</v>
      </c>
      <c r="Z791" t="str">
        <f t="shared" si="62"/>
        <v>Investissement</v>
      </c>
      <c r="AA791" t="str">
        <f t="shared" si="63"/>
        <v>travaux magasin</v>
      </c>
    </row>
    <row r="792" spans="20:27" x14ac:dyDescent="0.25">
      <c r="T792" s="155">
        <f t="shared" si="60"/>
        <v>67820</v>
      </c>
      <c r="U792" s="164">
        <f t="shared" si="61"/>
        <v>864.41</v>
      </c>
      <c r="V792" s="159">
        <f t="shared" si="64"/>
        <v>-7245.04</v>
      </c>
      <c r="W792" s="156">
        <f>D_Emprunts!$U792-D_Emprunts!$V792</f>
        <v>8109.45</v>
      </c>
      <c r="X792" s="157">
        <f>X791-D_Emprunts!$W792</f>
        <v>-2464013.0899999985</v>
      </c>
      <c r="Y792">
        <v>785</v>
      </c>
      <c r="Z792" t="str">
        <f t="shared" si="62"/>
        <v>Investissement</v>
      </c>
      <c r="AA792" t="str">
        <f t="shared" si="63"/>
        <v>travaux magasin</v>
      </c>
    </row>
    <row r="793" spans="20:27" x14ac:dyDescent="0.25">
      <c r="T793" s="158">
        <f t="shared" si="60"/>
        <v>67850</v>
      </c>
      <c r="U793" s="164">
        <f t="shared" si="61"/>
        <v>864.41</v>
      </c>
      <c r="V793" s="159">
        <f t="shared" si="64"/>
        <v>-7268.96</v>
      </c>
      <c r="W793" s="159">
        <f>D_Emprunts!$U793-D_Emprunts!$V793</f>
        <v>8133.37</v>
      </c>
      <c r="X793" s="160">
        <f>X792-D_Emprunts!$W793</f>
        <v>-2472146.4599999986</v>
      </c>
      <c r="Y793">
        <v>786</v>
      </c>
      <c r="Z793" t="str">
        <f t="shared" si="62"/>
        <v>Investissement</v>
      </c>
      <c r="AA793" t="str">
        <f t="shared" si="63"/>
        <v>travaux magasin</v>
      </c>
    </row>
    <row r="794" spans="20:27" x14ac:dyDescent="0.25">
      <c r="T794" s="155">
        <f t="shared" si="60"/>
        <v>67881</v>
      </c>
      <c r="U794" s="164">
        <f t="shared" si="61"/>
        <v>864.41</v>
      </c>
      <c r="V794" s="159">
        <f t="shared" si="64"/>
        <v>-7292.96</v>
      </c>
      <c r="W794" s="156">
        <f>D_Emprunts!$U794-D_Emprunts!$V794</f>
        <v>8157.37</v>
      </c>
      <c r="X794" s="157">
        <f>X793-D_Emprunts!$W794</f>
        <v>-2480303.8299999987</v>
      </c>
      <c r="Y794">
        <v>787</v>
      </c>
      <c r="Z794" t="str">
        <f t="shared" si="62"/>
        <v>Investissement</v>
      </c>
      <c r="AA794" t="str">
        <f t="shared" si="63"/>
        <v>travaux magasin</v>
      </c>
    </row>
    <row r="795" spans="20:27" x14ac:dyDescent="0.25">
      <c r="T795" s="158">
        <f t="shared" si="60"/>
        <v>67911</v>
      </c>
      <c r="U795" s="164">
        <f t="shared" si="61"/>
        <v>864.41</v>
      </c>
      <c r="V795" s="159">
        <f t="shared" si="64"/>
        <v>-7317.02</v>
      </c>
      <c r="W795" s="159">
        <f>D_Emprunts!$U795-D_Emprunts!$V795</f>
        <v>8181.43</v>
      </c>
      <c r="X795" s="160">
        <f>X794-D_Emprunts!$W795</f>
        <v>-2488485.2599999988</v>
      </c>
      <c r="Y795">
        <v>788</v>
      </c>
      <c r="Z795" t="str">
        <f t="shared" si="62"/>
        <v>Investissement</v>
      </c>
      <c r="AA795" t="str">
        <f t="shared" si="63"/>
        <v>travaux magasin</v>
      </c>
    </row>
    <row r="796" spans="20:27" x14ac:dyDescent="0.25">
      <c r="T796" s="155">
        <f t="shared" si="60"/>
        <v>67942</v>
      </c>
      <c r="U796" s="164">
        <f t="shared" si="61"/>
        <v>864.41</v>
      </c>
      <c r="V796" s="159">
        <f t="shared" si="64"/>
        <v>-7341.16</v>
      </c>
      <c r="W796" s="156">
        <f>D_Emprunts!$U796-D_Emprunts!$V796</f>
        <v>8205.57</v>
      </c>
      <c r="X796" s="157">
        <f>X795-D_Emprunts!$W796</f>
        <v>-2496690.8299999987</v>
      </c>
      <c r="Y796">
        <v>789</v>
      </c>
      <c r="Z796" t="str">
        <f t="shared" si="62"/>
        <v>Investissement</v>
      </c>
      <c r="AA796" t="str">
        <f t="shared" si="63"/>
        <v>travaux magasin</v>
      </c>
    </row>
    <row r="797" spans="20:27" x14ac:dyDescent="0.25">
      <c r="T797" s="158">
        <f t="shared" si="60"/>
        <v>67973</v>
      </c>
      <c r="U797" s="164">
        <f t="shared" si="61"/>
        <v>864.41</v>
      </c>
      <c r="V797" s="159">
        <f t="shared" si="64"/>
        <v>-7365.37</v>
      </c>
      <c r="W797" s="159">
        <f>D_Emprunts!$U797-D_Emprunts!$V797</f>
        <v>8229.7800000000007</v>
      </c>
      <c r="X797" s="160">
        <f>X796-D_Emprunts!$W797</f>
        <v>-2504920.6099999985</v>
      </c>
      <c r="Y797">
        <v>790</v>
      </c>
      <c r="Z797" t="str">
        <f t="shared" si="62"/>
        <v>Investissement</v>
      </c>
      <c r="AA797" t="str">
        <f t="shared" si="63"/>
        <v>travaux magasin</v>
      </c>
    </row>
    <row r="798" spans="20:27" x14ac:dyDescent="0.25">
      <c r="T798" s="155">
        <f t="shared" si="60"/>
        <v>68001</v>
      </c>
      <c r="U798" s="164">
        <f t="shared" si="61"/>
        <v>864.41</v>
      </c>
      <c r="V798" s="159">
        <f t="shared" si="64"/>
        <v>-7389.64</v>
      </c>
      <c r="W798" s="156">
        <f>D_Emprunts!$U798-D_Emprunts!$V798</f>
        <v>8254.0500000000011</v>
      </c>
      <c r="X798" s="157">
        <f>X797-D_Emprunts!$W798</f>
        <v>-2513174.6599999983</v>
      </c>
      <c r="Y798">
        <v>791</v>
      </c>
      <c r="Z798" t="str">
        <f t="shared" si="62"/>
        <v>Investissement</v>
      </c>
      <c r="AA798" t="str">
        <f t="shared" si="63"/>
        <v>travaux magasin</v>
      </c>
    </row>
    <row r="799" spans="20:27" x14ac:dyDescent="0.25">
      <c r="T799" s="158">
        <f t="shared" si="60"/>
        <v>68032</v>
      </c>
      <c r="U799" s="164">
        <f t="shared" si="61"/>
        <v>864.41</v>
      </c>
      <c r="V799" s="159">
        <f t="shared" si="64"/>
        <v>-7413.99</v>
      </c>
      <c r="W799" s="159">
        <f>D_Emprunts!$U799-D_Emprunts!$V799</f>
        <v>8278.4</v>
      </c>
      <c r="X799" s="160">
        <f>X798-D_Emprunts!$W799</f>
        <v>-2521453.0599999982</v>
      </c>
      <c r="Y799">
        <v>792</v>
      </c>
      <c r="Z799" t="str">
        <f t="shared" si="62"/>
        <v>Investissement</v>
      </c>
      <c r="AA799" t="str">
        <f t="shared" si="63"/>
        <v>travaux magasin</v>
      </c>
    </row>
    <row r="800" spans="20:27" x14ac:dyDescent="0.25">
      <c r="T800" s="155">
        <f t="shared" si="60"/>
        <v>68062</v>
      </c>
      <c r="U800" s="164">
        <f t="shared" si="61"/>
        <v>864.41</v>
      </c>
      <c r="V800" s="159">
        <f t="shared" si="64"/>
        <v>-7438.42</v>
      </c>
      <c r="W800" s="156">
        <f>D_Emprunts!$U800-D_Emprunts!$V800</f>
        <v>8302.83</v>
      </c>
      <c r="X800" s="157">
        <f>X799-D_Emprunts!$W800</f>
        <v>-2529755.8899999983</v>
      </c>
      <c r="Y800">
        <v>793</v>
      </c>
      <c r="Z800" t="str">
        <f t="shared" si="62"/>
        <v>Investissement</v>
      </c>
      <c r="AA800" t="str">
        <f t="shared" si="63"/>
        <v>travaux magasin</v>
      </c>
    </row>
    <row r="801" spans="20:27" x14ac:dyDescent="0.25">
      <c r="T801" s="158">
        <f t="shared" si="60"/>
        <v>68093</v>
      </c>
      <c r="U801" s="164">
        <f t="shared" si="61"/>
        <v>864.41</v>
      </c>
      <c r="V801" s="159">
        <f t="shared" si="64"/>
        <v>-7462.91</v>
      </c>
      <c r="W801" s="159">
        <f>D_Emprunts!$U801-D_Emprunts!$V801</f>
        <v>8327.32</v>
      </c>
      <c r="X801" s="160">
        <f>X800-D_Emprunts!$W801</f>
        <v>-2538083.2099999981</v>
      </c>
      <c r="Y801">
        <v>794</v>
      </c>
      <c r="Z801" t="str">
        <f t="shared" si="62"/>
        <v>Investissement</v>
      </c>
      <c r="AA801" t="str">
        <f t="shared" si="63"/>
        <v>travaux magasin</v>
      </c>
    </row>
    <row r="802" spans="20:27" x14ac:dyDescent="0.25">
      <c r="T802" s="155">
        <f t="shared" si="60"/>
        <v>68123</v>
      </c>
      <c r="U802" s="164">
        <f t="shared" si="61"/>
        <v>864.41</v>
      </c>
      <c r="V802" s="159">
        <f t="shared" si="64"/>
        <v>-7487.48</v>
      </c>
      <c r="W802" s="156">
        <f>D_Emprunts!$U802-D_Emprunts!$V802</f>
        <v>8351.89</v>
      </c>
      <c r="X802" s="157">
        <f>X801-D_Emprunts!$W802</f>
        <v>-2546435.0999999982</v>
      </c>
      <c r="Y802">
        <v>795</v>
      </c>
      <c r="Z802" t="str">
        <f t="shared" si="62"/>
        <v>Investissement</v>
      </c>
      <c r="AA802" t="str">
        <f t="shared" si="63"/>
        <v>travaux magasin</v>
      </c>
    </row>
    <row r="803" spans="20:27" x14ac:dyDescent="0.25">
      <c r="T803" s="158">
        <f t="shared" si="60"/>
        <v>68154</v>
      </c>
      <c r="U803" s="164">
        <f t="shared" si="61"/>
        <v>864.41</v>
      </c>
      <c r="V803" s="159">
        <f t="shared" si="64"/>
        <v>-7512.11</v>
      </c>
      <c r="W803" s="159">
        <f>D_Emprunts!$U803-D_Emprunts!$V803</f>
        <v>8376.52</v>
      </c>
      <c r="X803" s="160">
        <f>X802-D_Emprunts!$W803</f>
        <v>-2554811.6199999982</v>
      </c>
      <c r="Y803">
        <v>796</v>
      </c>
      <c r="Z803" t="str">
        <f t="shared" si="62"/>
        <v>Investissement</v>
      </c>
      <c r="AA803" t="str">
        <f t="shared" si="63"/>
        <v>travaux magasin</v>
      </c>
    </row>
    <row r="804" spans="20:27" x14ac:dyDescent="0.25">
      <c r="T804" s="155">
        <f t="shared" si="60"/>
        <v>68185</v>
      </c>
      <c r="U804" s="164">
        <f t="shared" si="61"/>
        <v>864.41</v>
      </c>
      <c r="V804" s="159">
        <f t="shared" si="64"/>
        <v>-7536.82</v>
      </c>
      <c r="W804" s="156">
        <f>D_Emprunts!$U804-D_Emprunts!$V804</f>
        <v>8401.23</v>
      </c>
      <c r="X804" s="157">
        <f>X803-D_Emprunts!$W804</f>
        <v>-2563212.8499999982</v>
      </c>
      <c r="Y804">
        <v>797</v>
      </c>
      <c r="Z804" t="str">
        <f t="shared" si="62"/>
        <v>Investissement</v>
      </c>
      <c r="AA804" t="str">
        <f t="shared" si="63"/>
        <v>travaux magasin</v>
      </c>
    </row>
    <row r="805" spans="20:27" x14ac:dyDescent="0.25">
      <c r="T805" s="158">
        <f t="shared" si="60"/>
        <v>68215</v>
      </c>
      <c r="U805" s="164">
        <f t="shared" si="61"/>
        <v>864.41</v>
      </c>
      <c r="V805" s="159">
        <f t="shared" si="64"/>
        <v>-7561.61</v>
      </c>
      <c r="W805" s="159">
        <f>D_Emprunts!$U805-D_Emprunts!$V805</f>
        <v>8426.02</v>
      </c>
      <c r="X805" s="160">
        <f>X804-D_Emprunts!$W805</f>
        <v>-2571638.8699999982</v>
      </c>
      <c r="Y805">
        <v>798</v>
      </c>
      <c r="Z805" t="str">
        <f t="shared" si="62"/>
        <v>Investissement</v>
      </c>
      <c r="AA805" t="str">
        <f t="shared" si="63"/>
        <v>travaux magasin</v>
      </c>
    </row>
    <row r="806" spans="20:27" x14ac:dyDescent="0.25">
      <c r="T806" s="155">
        <f t="shared" si="60"/>
        <v>68246</v>
      </c>
      <c r="U806" s="164">
        <f t="shared" si="61"/>
        <v>864.41</v>
      </c>
      <c r="V806" s="159">
        <f t="shared" si="64"/>
        <v>-7586.47</v>
      </c>
      <c r="W806" s="156">
        <f>D_Emprunts!$U806-D_Emprunts!$V806</f>
        <v>8450.880000000001</v>
      </c>
      <c r="X806" s="157">
        <f>X805-D_Emprunts!$W806</f>
        <v>-2580089.7499999981</v>
      </c>
      <c r="Y806">
        <v>799</v>
      </c>
      <c r="Z806" t="str">
        <f t="shared" si="62"/>
        <v>Investissement</v>
      </c>
      <c r="AA806" t="str">
        <f t="shared" si="63"/>
        <v>travaux magasin</v>
      </c>
    </row>
    <row r="807" spans="20:27" x14ac:dyDescent="0.25">
      <c r="T807" s="158">
        <f t="shared" si="60"/>
        <v>68276</v>
      </c>
      <c r="U807" s="164">
        <f t="shared" si="61"/>
        <v>864.41</v>
      </c>
      <c r="V807" s="159">
        <f t="shared" si="64"/>
        <v>-7611.4</v>
      </c>
      <c r="W807" s="159">
        <f>D_Emprunts!$U807-D_Emprunts!$V807</f>
        <v>8475.81</v>
      </c>
      <c r="X807" s="160">
        <f>X806-D_Emprunts!$W807</f>
        <v>-2588565.5599999982</v>
      </c>
      <c r="Y807">
        <v>800</v>
      </c>
      <c r="Z807" t="str">
        <f t="shared" si="62"/>
        <v>Investissement</v>
      </c>
      <c r="AA807" t="str">
        <f t="shared" si="63"/>
        <v>travaux magasin</v>
      </c>
    </row>
    <row r="808" spans="20:27" x14ac:dyDescent="0.25">
      <c r="T808" s="155">
        <f t="shared" si="60"/>
        <v>68307</v>
      </c>
      <c r="U808" s="164">
        <f t="shared" si="61"/>
        <v>864.41</v>
      </c>
      <c r="V808" s="159">
        <f t="shared" si="64"/>
        <v>-7636.4</v>
      </c>
      <c r="W808" s="156">
        <f>D_Emprunts!$U808-D_Emprunts!$V808</f>
        <v>8500.81</v>
      </c>
      <c r="X808" s="157">
        <f>X807-D_Emprunts!$W808</f>
        <v>-2597066.3699999982</v>
      </c>
      <c r="Y808">
        <v>801</v>
      </c>
      <c r="Z808" t="str">
        <f t="shared" si="62"/>
        <v>Investissement</v>
      </c>
      <c r="AA808" t="str">
        <f t="shared" si="63"/>
        <v>travaux magasin</v>
      </c>
    </row>
    <row r="809" spans="20:27" x14ac:dyDescent="0.25">
      <c r="T809" s="158">
        <f t="shared" si="60"/>
        <v>68338</v>
      </c>
      <c r="U809" s="164">
        <f t="shared" si="61"/>
        <v>864.41</v>
      </c>
      <c r="V809" s="159">
        <f t="shared" si="64"/>
        <v>-7661.48</v>
      </c>
      <c r="W809" s="159">
        <f>D_Emprunts!$U809-D_Emprunts!$V809</f>
        <v>8525.89</v>
      </c>
      <c r="X809" s="160">
        <f>X808-D_Emprunts!$W809</f>
        <v>-2605592.2599999984</v>
      </c>
      <c r="Y809">
        <v>802</v>
      </c>
      <c r="Z809" t="str">
        <f t="shared" si="62"/>
        <v>Investissement</v>
      </c>
      <c r="AA809" t="str">
        <f t="shared" si="63"/>
        <v>travaux magasin</v>
      </c>
    </row>
    <row r="810" spans="20:27" x14ac:dyDescent="0.25">
      <c r="T810" s="155">
        <f t="shared" si="60"/>
        <v>68366</v>
      </c>
      <c r="U810" s="164">
        <f t="shared" si="61"/>
        <v>864.41</v>
      </c>
      <c r="V810" s="159">
        <f t="shared" si="64"/>
        <v>-7686.63</v>
      </c>
      <c r="W810" s="156">
        <f>D_Emprunts!$U810-D_Emprunts!$V810</f>
        <v>8551.0400000000009</v>
      </c>
      <c r="X810" s="157">
        <f>X809-D_Emprunts!$W810</f>
        <v>-2614143.2999999984</v>
      </c>
      <c r="Y810">
        <v>803</v>
      </c>
      <c r="Z810" t="str">
        <f t="shared" si="62"/>
        <v>Investissement</v>
      </c>
      <c r="AA810" t="str">
        <f t="shared" si="63"/>
        <v>travaux magasin</v>
      </c>
    </row>
    <row r="811" spans="20:27" x14ac:dyDescent="0.25">
      <c r="T811" s="158">
        <f t="shared" si="60"/>
        <v>68397</v>
      </c>
      <c r="U811" s="164">
        <f t="shared" si="61"/>
        <v>864.41</v>
      </c>
      <c r="V811" s="159">
        <f t="shared" si="64"/>
        <v>-7711.86</v>
      </c>
      <c r="W811" s="159">
        <f>D_Emprunts!$U811-D_Emprunts!$V811</f>
        <v>8576.27</v>
      </c>
      <c r="X811" s="160">
        <f>X810-D_Emprunts!$W811</f>
        <v>-2622719.5699999984</v>
      </c>
      <c r="Y811">
        <v>804</v>
      </c>
      <c r="Z811" t="str">
        <f t="shared" si="62"/>
        <v>Investissement</v>
      </c>
      <c r="AA811" t="str">
        <f t="shared" si="63"/>
        <v>travaux magasin</v>
      </c>
    </row>
    <row r="812" spans="20:27" x14ac:dyDescent="0.25">
      <c r="T812" s="155">
        <f t="shared" si="60"/>
        <v>68427</v>
      </c>
      <c r="U812" s="164">
        <f t="shared" si="61"/>
        <v>864.41</v>
      </c>
      <c r="V812" s="159">
        <f t="shared" si="64"/>
        <v>-7737.16</v>
      </c>
      <c r="W812" s="156">
        <f>D_Emprunts!$U812-D_Emprunts!$V812</f>
        <v>8601.57</v>
      </c>
      <c r="X812" s="157">
        <f>X811-D_Emprunts!$W812</f>
        <v>-2631321.1399999983</v>
      </c>
      <c r="Y812">
        <v>805</v>
      </c>
      <c r="Z812" t="str">
        <f t="shared" si="62"/>
        <v>Investissement</v>
      </c>
      <c r="AA812" t="str">
        <f t="shared" si="63"/>
        <v>travaux magasin</v>
      </c>
    </row>
    <row r="813" spans="20:27" x14ac:dyDescent="0.25">
      <c r="T813" s="158">
        <f t="shared" si="60"/>
        <v>68458</v>
      </c>
      <c r="U813" s="164">
        <f t="shared" si="61"/>
        <v>864.41</v>
      </c>
      <c r="V813" s="159">
        <f t="shared" si="64"/>
        <v>-7762.53</v>
      </c>
      <c r="W813" s="159">
        <f>D_Emprunts!$U813-D_Emprunts!$V813</f>
        <v>8626.94</v>
      </c>
      <c r="X813" s="160">
        <f>X812-D_Emprunts!$W813</f>
        <v>-2639948.0799999982</v>
      </c>
      <c r="Y813">
        <v>806</v>
      </c>
      <c r="Z813" t="str">
        <f t="shared" si="62"/>
        <v>Investissement</v>
      </c>
      <c r="AA813" t="str">
        <f t="shared" si="63"/>
        <v>travaux magasin</v>
      </c>
    </row>
    <row r="814" spans="20:27" x14ac:dyDescent="0.25">
      <c r="T814" s="155">
        <f t="shared" si="60"/>
        <v>68488</v>
      </c>
      <c r="U814" s="164">
        <f t="shared" si="61"/>
        <v>864.41</v>
      </c>
      <c r="V814" s="159">
        <f t="shared" si="64"/>
        <v>-7787.98</v>
      </c>
      <c r="W814" s="156">
        <f>D_Emprunts!$U814-D_Emprunts!$V814</f>
        <v>8652.39</v>
      </c>
      <c r="X814" s="157">
        <f>X813-D_Emprunts!$W814</f>
        <v>-2648600.4699999983</v>
      </c>
      <c r="Y814">
        <v>807</v>
      </c>
      <c r="Z814" t="str">
        <f t="shared" si="62"/>
        <v>Investissement</v>
      </c>
      <c r="AA814" t="str">
        <f t="shared" si="63"/>
        <v>travaux magasin</v>
      </c>
    </row>
    <row r="815" spans="20:27" x14ac:dyDescent="0.25">
      <c r="T815" s="158">
        <f t="shared" si="60"/>
        <v>68519</v>
      </c>
      <c r="U815" s="164">
        <f t="shared" si="61"/>
        <v>864.41</v>
      </c>
      <c r="V815" s="159">
        <f t="shared" si="64"/>
        <v>-7813.51</v>
      </c>
      <c r="W815" s="159">
        <f>D_Emprunts!$U815-D_Emprunts!$V815</f>
        <v>8677.92</v>
      </c>
      <c r="X815" s="160">
        <f>X814-D_Emprunts!$W815</f>
        <v>-2657278.3899999983</v>
      </c>
      <c r="Y815">
        <v>808</v>
      </c>
      <c r="Z815" t="str">
        <f t="shared" si="62"/>
        <v>Investissement</v>
      </c>
      <c r="AA815" t="str">
        <f t="shared" si="63"/>
        <v>travaux magasin</v>
      </c>
    </row>
    <row r="816" spans="20:27" x14ac:dyDescent="0.25">
      <c r="T816" s="155">
        <f t="shared" si="60"/>
        <v>68550</v>
      </c>
      <c r="U816" s="164">
        <f t="shared" si="61"/>
        <v>864.41</v>
      </c>
      <c r="V816" s="159">
        <f t="shared" si="64"/>
        <v>-7839.11</v>
      </c>
      <c r="W816" s="156">
        <f>D_Emprunts!$U816-D_Emprunts!$V816</f>
        <v>8703.52</v>
      </c>
      <c r="X816" s="157">
        <f>X815-D_Emprunts!$W816</f>
        <v>-2665981.9099999983</v>
      </c>
      <c r="Y816">
        <v>809</v>
      </c>
      <c r="Z816" t="str">
        <f t="shared" si="62"/>
        <v>Investissement</v>
      </c>
      <c r="AA816" t="str">
        <f t="shared" si="63"/>
        <v>travaux magasin</v>
      </c>
    </row>
    <row r="817" spans="20:27" x14ac:dyDescent="0.25">
      <c r="T817" s="158">
        <f t="shared" si="60"/>
        <v>68580</v>
      </c>
      <c r="U817" s="164">
        <f t="shared" si="61"/>
        <v>864.41</v>
      </c>
      <c r="V817" s="159">
        <f t="shared" si="64"/>
        <v>-7864.78</v>
      </c>
      <c r="W817" s="159">
        <f>D_Emprunts!$U817-D_Emprunts!$V817</f>
        <v>8729.19</v>
      </c>
      <c r="X817" s="160">
        <f>X816-D_Emprunts!$W817</f>
        <v>-2674711.0999999982</v>
      </c>
      <c r="Y817">
        <v>810</v>
      </c>
      <c r="Z817" t="str">
        <f t="shared" si="62"/>
        <v>Investissement</v>
      </c>
      <c r="AA817" t="str">
        <f t="shared" si="63"/>
        <v>travaux magasin</v>
      </c>
    </row>
    <row r="818" spans="20:27" x14ac:dyDescent="0.25">
      <c r="T818" s="155">
        <f t="shared" si="60"/>
        <v>68611</v>
      </c>
      <c r="U818" s="164">
        <f t="shared" si="61"/>
        <v>864.41</v>
      </c>
      <c r="V818" s="159">
        <f t="shared" si="64"/>
        <v>-7890.53</v>
      </c>
      <c r="W818" s="156">
        <f>D_Emprunts!$U818-D_Emprunts!$V818</f>
        <v>8754.94</v>
      </c>
      <c r="X818" s="157">
        <f>X817-D_Emprunts!$W818</f>
        <v>-2683466.0399999982</v>
      </c>
      <c r="Y818">
        <v>811</v>
      </c>
      <c r="Z818" t="str">
        <f t="shared" si="62"/>
        <v>Investissement</v>
      </c>
      <c r="AA818" t="str">
        <f t="shared" si="63"/>
        <v>travaux magasin</v>
      </c>
    </row>
    <row r="819" spans="20:27" x14ac:dyDescent="0.25">
      <c r="T819" s="158">
        <f t="shared" si="60"/>
        <v>68641</v>
      </c>
      <c r="U819" s="164">
        <f t="shared" si="61"/>
        <v>864.41</v>
      </c>
      <c r="V819" s="159">
        <f t="shared" si="64"/>
        <v>-7916.36</v>
      </c>
      <c r="W819" s="159">
        <f>D_Emprunts!$U819-D_Emprunts!$V819</f>
        <v>8780.77</v>
      </c>
      <c r="X819" s="160">
        <f>X818-D_Emprunts!$W819</f>
        <v>-2692246.8099999982</v>
      </c>
      <c r="Y819">
        <v>812</v>
      </c>
      <c r="Z819" t="str">
        <f t="shared" si="62"/>
        <v>Investissement</v>
      </c>
      <c r="AA819" t="str">
        <f t="shared" si="63"/>
        <v>travaux magasin</v>
      </c>
    </row>
    <row r="820" spans="20:27" x14ac:dyDescent="0.25">
      <c r="T820" s="155">
        <f t="shared" si="60"/>
        <v>68672</v>
      </c>
      <c r="U820" s="164">
        <f t="shared" si="61"/>
        <v>864.41</v>
      </c>
      <c r="V820" s="159">
        <f t="shared" si="64"/>
        <v>-7942.27</v>
      </c>
      <c r="W820" s="156">
        <f>D_Emprunts!$U820-D_Emprunts!$V820</f>
        <v>8806.68</v>
      </c>
      <c r="X820" s="157">
        <f>X819-D_Emprunts!$W820</f>
        <v>-2701053.4899999984</v>
      </c>
      <c r="Y820">
        <v>813</v>
      </c>
      <c r="Z820" t="str">
        <f t="shared" si="62"/>
        <v>Investissement</v>
      </c>
      <c r="AA820" t="str">
        <f t="shared" si="63"/>
        <v>travaux magasin</v>
      </c>
    </row>
    <row r="821" spans="20:27" x14ac:dyDescent="0.25">
      <c r="T821" s="158">
        <f t="shared" si="60"/>
        <v>68703</v>
      </c>
      <c r="U821" s="164">
        <f t="shared" si="61"/>
        <v>864.41</v>
      </c>
      <c r="V821" s="159">
        <f t="shared" si="64"/>
        <v>-7968.25</v>
      </c>
      <c r="W821" s="159">
        <f>D_Emprunts!$U821-D_Emprunts!$V821</f>
        <v>8832.66</v>
      </c>
      <c r="X821" s="160">
        <f>X820-D_Emprunts!$W821</f>
        <v>-2709886.1499999985</v>
      </c>
      <c r="Y821">
        <v>814</v>
      </c>
      <c r="Z821" t="str">
        <f t="shared" si="62"/>
        <v>Investissement</v>
      </c>
      <c r="AA821" t="str">
        <f t="shared" si="63"/>
        <v>travaux magasin</v>
      </c>
    </row>
    <row r="822" spans="20:27" x14ac:dyDescent="0.25">
      <c r="T822" s="155">
        <f t="shared" si="60"/>
        <v>68732</v>
      </c>
      <c r="U822" s="164">
        <f t="shared" si="61"/>
        <v>864.41</v>
      </c>
      <c r="V822" s="159">
        <f t="shared" si="64"/>
        <v>-7994.3</v>
      </c>
      <c r="W822" s="156">
        <f>D_Emprunts!$U822-D_Emprunts!$V822</f>
        <v>8858.7100000000009</v>
      </c>
      <c r="X822" s="157">
        <f>X821-D_Emprunts!$W822</f>
        <v>-2718744.8599999985</v>
      </c>
      <c r="Y822">
        <v>815</v>
      </c>
      <c r="Z822" t="str">
        <f t="shared" si="62"/>
        <v>Investissement</v>
      </c>
      <c r="AA822" t="str">
        <f t="shared" si="63"/>
        <v>travaux magasin</v>
      </c>
    </row>
    <row r="823" spans="20:27" x14ac:dyDescent="0.25">
      <c r="T823" s="158">
        <f t="shared" si="60"/>
        <v>68763</v>
      </c>
      <c r="U823" s="164">
        <f t="shared" si="61"/>
        <v>864.41</v>
      </c>
      <c r="V823" s="159">
        <f t="shared" si="64"/>
        <v>-8020.44</v>
      </c>
      <c r="W823" s="159">
        <f>D_Emprunts!$U823-D_Emprunts!$V823</f>
        <v>8884.85</v>
      </c>
      <c r="X823" s="160">
        <f>X822-D_Emprunts!$W823</f>
        <v>-2727629.7099999986</v>
      </c>
      <c r="Y823">
        <v>816</v>
      </c>
      <c r="Z823" t="str">
        <f t="shared" si="62"/>
        <v>Investissement</v>
      </c>
      <c r="AA823" t="str">
        <f t="shared" si="63"/>
        <v>travaux magasin</v>
      </c>
    </row>
    <row r="824" spans="20:27" x14ac:dyDescent="0.25">
      <c r="T824" s="155">
        <f t="shared" si="60"/>
        <v>68793</v>
      </c>
      <c r="U824" s="164">
        <f t="shared" si="61"/>
        <v>864.41</v>
      </c>
      <c r="V824" s="159">
        <f t="shared" si="64"/>
        <v>-8046.65</v>
      </c>
      <c r="W824" s="156">
        <f>D_Emprunts!$U824-D_Emprunts!$V824</f>
        <v>8911.06</v>
      </c>
      <c r="X824" s="157">
        <f>X823-D_Emprunts!$W824</f>
        <v>-2736540.7699999986</v>
      </c>
      <c r="Y824">
        <v>817</v>
      </c>
      <c r="Z824" t="str">
        <f t="shared" si="62"/>
        <v>Investissement</v>
      </c>
      <c r="AA824" t="str">
        <f t="shared" si="63"/>
        <v>travaux magasin</v>
      </c>
    </row>
    <row r="825" spans="20:27" x14ac:dyDescent="0.25">
      <c r="T825" s="158">
        <f t="shared" si="60"/>
        <v>68824</v>
      </c>
      <c r="U825" s="164">
        <f t="shared" si="61"/>
        <v>864.41</v>
      </c>
      <c r="V825" s="159">
        <f t="shared" si="64"/>
        <v>-8072.94</v>
      </c>
      <c r="W825" s="159">
        <f>D_Emprunts!$U825-D_Emprunts!$V825</f>
        <v>8937.35</v>
      </c>
      <c r="X825" s="160">
        <f>X824-D_Emprunts!$W825</f>
        <v>-2745478.1199999987</v>
      </c>
      <c r="Y825">
        <v>818</v>
      </c>
      <c r="Z825" t="str">
        <f t="shared" si="62"/>
        <v>Investissement</v>
      </c>
      <c r="AA825" t="str">
        <f t="shared" si="63"/>
        <v>travaux magasin</v>
      </c>
    </row>
    <row r="826" spans="20:27" x14ac:dyDescent="0.25">
      <c r="T826" s="155">
        <f t="shared" si="60"/>
        <v>68854</v>
      </c>
      <c r="U826" s="164">
        <f t="shared" si="61"/>
        <v>864.41</v>
      </c>
      <c r="V826" s="159">
        <f t="shared" si="64"/>
        <v>-8099.3</v>
      </c>
      <c r="W826" s="156">
        <f>D_Emprunts!$U826-D_Emprunts!$V826</f>
        <v>8963.7100000000009</v>
      </c>
      <c r="X826" s="157">
        <f>X825-D_Emprunts!$W826</f>
        <v>-2754441.8299999987</v>
      </c>
      <c r="Y826">
        <v>819</v>
      </c>
      <c r="Z826" t="str">
        <f t="shared" si="62"/>
        <v>Investissement</v>
      </c>
      <c r="AA826" t="str">
        <f t="shared" si="63"/>
        <v>travaux magasin</v>
      </c>
    </row>
    <row r="827" spans="20:27" x14ac:dyDescent="0.25">
      <c r="T827" s="158">
        <f t="shared" si="60"/>
        <v>68885</v>
      </c>
      <c r="U827" s="164">
        <f t="shared" si="61"/>
        <v>864.41</v>
      </c>
      <c r="V827" s="159">
        <f t="shared" si="64"/>
        <v>-8125.74</v>
      </c>
      <c r="W827" s="159">
        <f>D_Emprunts!$U827-D_Emprunts!$V827</f>
        <v>8990.15</v>
      </c>
      <c r="X827" s="160">
        <f>X826-D_Emprunts!$W827</f>
        <v>-2763431.9799999986</v>
      </c>
      <c r="Y827">
        <v>820</v>
      </c>
      <c r="Z827" t="str">
        <f t="shared" si="62"/>
        <v>Investissement</v>
      </c>
      <c r="AA827" t="str">
        <f t="shared" si="63"/>
        <v>travaux magasin</v>
      </c>
    </row>
    <row r="828" spans="20:27" x14ac:dyDescent="0.25">
      <c r="T828" s="155">
        <f t="shared" si="60"/>
        <v>68916</v>
      </c>
      <c r="U828" s="164">
        <f t="shared" si="61"/>
        <v>864.41</v>
      </c>
      <c r="V828" s="159">
        <f t="shared" si="64"/>
        <v>-8152.27</v>
      </c>
      <c r="W828" s="156">
        <f>D_Emprunts!$U828-D_Emprunts!$V828</f>
        <v>9016.68</v>
      </c>
      <c r="X828" s="157">
        <f>X827-D_Emprunts!$W828</f>
        <v>-2772448.6599999988</v>
      </c>
      <c r="Y828">
        <v>821</v>
      </c>
      <c r="Z828" t="str">
        <f t="shared" si="62"/>
        <v>Investissement</v>
      </c>
      <c r="AA828" t="str">
        <f t="shared" si="63"/>
        <v>travaux magasin</v>
      </c>
    </row>
    <row r="829" spans="20:27" x14ac:dyDescent="0.25">
      <c r="T829" s="158">
        <f t="shared" si="60"/>
        <v>68946</v>
      </c>
      <c r="U829" s="164">
        <f t="shared" si="61"/>
        <v>864.41</v>
      </c>
      <c r="V829" s="159">
        <f t="shared" si="64"/>
        <v>-8178.87</v>
      </c>
      <c r="W829" s="159">
        <f>D_Emprunts!$U829-D_Emprunts!$V829</f>
        <v>9043.2800000000007</v>
      </c>
      <c r="X829" s="160">
        <f>X828-D_Emprunts!$W829</f>
        <v>-2781491.9399999985</v>
      </c>
      <c r="Y829">
        <v>822</v>
      </c>
      <c r="Z829" t="str">
        <f t="shared" si="62"/>
        <v>Investissement</v>
      </c>
      <c r="AA829" t="str">
        <f t="shared" si="63"/>
        <v>travaux magasin</v>
      </c>
    </row>
    <row r="830" spans="20:27" x14ac:dyDescent="0.25">
      <c r="T830" s="155">
        <f t="shared" si="60"/>
        <v>68977</v>
      </c>
      <c r="U830" s="164">
        <f t="shared" si="61"/>
        <v>864.41</v>
      </c>
      <c r="V830" s="159">
        <f t="shared" si="64"/>
        <v>-8205.5400000000009</v>
      </c>
      <c r="W830" s="156">
        <f>D_Emprunts!$U830-D_Emprunts!$V830</f>
        <v>9069.9500000000007</v>
      </c>
      <c r="X830" s="157">
        <f>X829-D_Emprunts!$W830</f>
        <v>-2790561.8899999987</v>
      </c>
      <c r="Y830">
        <v>823</v>
      </c>
      <c r="Z830" t="str">
        <f t="shared" si="62"/>
        <v>Investissement</v>
      </c>
      <c r="AA830" t="str">
        <f t="shared" si="63"/>
        <v>travaux magasin</v>
      </c>
    </row>
    <row r="831" spans="20:27" x14ac:dyDescent="0.25">
      <c r="T831" s="158">
        <f t="shared" si="60"/>
        <v>69007</v>
      </c>
      <c r="U831" s="164">
        <f t="shared" si="61"/>
        <v>864.41</v>
      </c>
      <c r="V831" s="159">
        <f t="shared" si="64"/>
        <v>-8232.2999999999993</v>
      </c>
      <c r="W831" s="159">
        <f>D_Emprunts!$U831-D_Emprunts!$V831</f>
        <v>9096.7099999999991</v>
      </c>
      <c r="X831" s="160">
        <f>X830-D_Emprunts!$W831</f>
        <v>-2799658.5999999987</v>
      </c>
      <c r="Y831">
        <v>824</v>
      </c>
      <c r="Z831" t="str">
        <f t="shared" si="62"/>
        <v>Investissement</v>
      </c>
      <c r="AA831" t="str">
        <f t="shared" si="63"/>
        <v>travaux magasin</v>
      </c>
    </row>
    <row r="832" spans="20:27" x14ac:dyDescent="0.25">
      <c r="T832" s="155">
        <f t="shared" si="60"/>
        <v>69038</v>
      </c>
      <c r="U832" s="164">
        <f t="shared" si="61"/>
        <v>864.41</v>
      </c>
      <c r="V832" s="159">
        <f t="shared" si="64"/>
        <v>-8259.14</v>
      </c>
      <c r="W832" s="156">
        <f>D_Emprunts!$U832-D_Emprunts!$V832</f>
        <v>9123.5499999999993</v>
      </c>
      <c r="X832" s="157">
        <f>X831-D_Emprunts!$W832</f>
        <v>-2808782.1499999985</v>
      </c>
      <c r="Y832">
        <v>825</v>
      </c>
      <c r="Z832" t="str">
        <f t="shared" si="62"/>
        <v>Investissement</v>
      </c>
      <c r="AA832" t="str">
        <f t="shared" si="63"/>
        <v>travaux magasin</v>
      </c>
    </row>
    <row r="833" spans="20:27" x14ac:dyDescent="0.25">
      <c r="T833" s="158">
        <f t="shared" si="60"/>
        <v>69069</v>
      </c>
      <c r="U833" s="164">
        <f t="shared" si="61"/>
        <v>864.41</v>
      </c>
      <c r="V833" s="159">
        <f t="shared" si="64"/>
        <v>-8286.0499999999993</v>
      </c>
      <c r="W833" s="159">
        <f>D_Emprunts!$U833-D_Emprunts!$V833</f>
        <v>9150.4599999999991</v>
      </c>
      <c r="X833" s="160">
        <f>X832-D_Emprunts!$W833</f>
        <v>-2817932.6099999985</v>
      </c>
      <c r="Y833">
        <v>826</v>
      </c>
      <c r="Z833" t="str">
        <f t="shared" si="62"/>
        <v>Investissement</v>
      </c>
      <c r="AA833" t="str">
        <f t="shared" si="63"/>
        <v>travaux magasin</v>
      </c>
    </row>
    <row r="834" spans="20:27" x14ac:dyDescent="0.25">
      <c r="T834" s="155">
        <f t="shared" si="60"/>
        <v>69097</v>
      </c>
      <c r="U834" s="164">
        <f t="shared" si="61"/>
        <v>864.41</v>
      </c>
      <c r="V834" s="159">
        <f t="shared" si="64"/>
        <v>-8313.0499999999993</v>
      </c>
      <c r="W834" s="156">
        <f>D_Emprunts!$U834-D_Emprunts!$V834</f>
        <v>9177.4599999999991</v>
      </c>
      <c r="X834" s="157">
        <f>X833-D_Emprunts!$W834</f>
        <v>-2827110.0699999984</v>
      </c>
      <c r="Y834">
        <v>827</v>
      </c>
      <c r="Z834" t="str">
        <f t="shared" si="62"/>
        <v>Investissement</v>
      </c>
      <c r="AA834" t="str">
        <f t="shared" si="63"/>
        <v>travaux magasin</v>
      </c>
    </row>
    <row r="835" spans="20:27" x14ac:dyDescent="0.25">
      <c r="T835" s="158">
        <f t="shared" si="60"/>
        <v>69128</v>
      </c>
      <c r="U835" s="164">
        <f t="shared" si="61"/>
        <v>864.41</v>
      </c>
      <c r="V835" s="159">
        <f t="shared" si="64"/>
        <v>-8340.1200000000008</v>
      </c>
      <c r="W835" s="159">
        <f>D_Emprunts!$U835-D_Emprunts!$V835</f>
        <v>9204.5300000000007</v>
      </c>
      <c r="X835" s="160">
        <f>X834-D_Emprunts!$W835</f>
        <v>-2836314.5999999982</v>
      </c>
      <c r="Y835">
        <v>828</v>
      </c>
      <c r="Z835" t="str">
        <f t="shared" si="62"/>
        <v>Investissement</v>
      </c>
      <c r="AA835" t="str">
        <f t="shared" si="63"/>
        <v>travaux magasin</v>
      </c>
    </row>
    <row r="836" spans="20:27" x14ac:dyDescent="0.25">
      <c r="T836" s="155">
        <f t="shared" si="60"/>
        <v>69158</v>
      </c>
      <c r="U836" s="164">
        <f t="shared" si="61"/>
        <v>864.41</v>
      </c>
      <c r="V836" s="159">
        <f t="shared" si="64"/>
        <v>-8367.27</v>
      </c>
      <c r="W836" s="156">
        <f>D_Emprunts!$U836-D_Emprunts!$V836</f>
        <v>9231.68</v>
      </c>
      <c r="X836" s="157">
        <f>X835-D_Emprunts!$W836</f>
        <v>-2845546.2799999984</v>
      </c>
      <c r="Y836">
        <v>829</v>
      </c>
      <c r="Z836" t="str">
        <f t="shared" si="62"/>
        <v>Investissement</v>
      </c>
      <c r="AA836" t="str">
        <f t="shared" si="63"/>
        <v>travaux magasin</v>
      </c>
    </row>
    <row r="837" spans="20:27" x14ac:dyDescent="0.25">
      <c r="T837" s="158">
        <f t="shared" si="60"/>
        <v>69189</v>
      </c>
      <c r="U837" s="164">
        <f t="shared" si="61"/>
        <v>864.41</v>
      </c>
      <c r="V837" s="159">
        <f t="shared" si="64"/>
        <v>-8394.51</v>
      </c>
      <c r="W837" s="159">
        <f>D_Emprunts!$U837-D_Emprunts!$V837</f>
        <v>9258.92</v>
      </c>
      <c r="X837" s="160">
        <f>X836-D_Emprunts!$W837</f>
        <v>-2854805.1999999983</v>
      </c>
      <c r="Y837">
        <v>830</v>
      </c>
      <c r="Z837" t="str">
        <f t="shared" si="62"/>
        <v>Investissement</v>
      </c>
      <c r="AA837" t="str">
        <f t="shared" si="63"/>
        <v>travaux magasin</v>
      </c>
    </row>
    <row r="838" spans="20:27" x14ac:dyDescent="0.25">
      <c r="T838" s="155">
        <f t="shared" si="60"/>
        <v>69219</v>
      </c>
      <c r="U838" s="164">
        <f t="shared" si="61"/>
        <v>864.41</v>
      </c>
      <c r="V838" s="159">
        <f t="shared" si="64"/>
        <v>-8421.82</v>
      </c>
      <c r="W838" s="156">
        <f>D_Emprunts!$U838-D_Emprunts!$V838</f>
        <v>9286.23</v>
      </c>
      <c r="X838" s="157">
        <f>X837-D_Emprunts!$W838</f>
        <v>-2864091.4299999983</v>
      </c>
      <c r="Y838">
        <v>831</v>
      </c>
      <c r="Z838" t="str">
        <f t="shared" si="62"/>
        <v>Investissement</v>
      </c>
      <c r="AA838" t="str">
        <f t="shared" si="63"/>
        <v>travaux magasin</v>
      </c>
    </row>
    <row r="839" spans="20:27" x14ac:dyDescent="0.25">
      <c r="T839" s="158">
        <f t="shared" si="60"/>
        <v>69250</v>
      </c>
      <c r="U839" s="164">
        <f t="shared" si="61"/>
        <v>864.41</v>
      </c>
      <c r="V839" s="159">
        <f t="shared" si="64"/>
        <v>-8449.2199999999993</v>
      </c>
      <c r="W839" s="159">
        <f>D_Emprunts!$U839-D_Emprunts!$V839</f>
        <v>9313.6299999999992</v>
      </c>
      <c r="X839" s="160">
        <f>X838-D_Emprunts!$W839</f>
        <v>-2873405.0599999982</v>
      </c>
      <c r="Y839">
        <v>832</v>
      </c>
      <c r="Z839" t="str">
        <f t="shared" si="62"/>
        <v>Investissement</v>
      </c>
      <c r="AA839" t="str">
        <f t="shared" si="63"/>
        <v>travaux magasin</v>
      </c>
    </row>
    <row r="840" spans="20:27" x14ac:dyDescent="0.25">
      <c r="T840" s="155">
        <f t="shared" ref="T840:T903" si="65">EDATE(T839,1)</f>
        <v>69281</v>
      </c>
      <c r="U840" s="164">
        <f t="shared" si="61"/>
        <v>864.41</v>
      </c>
      <c r="V840" s="159">
        <f t="shared" si="64"/>
        <v>-8476.69</v>
      </c>
      <c r="W840" s="156">
        <f>D_Emprunts!$U840-D_Emprunts!$V840</f>
        <v>9341.1</v>
      </c>
      <c r="X840" s="157">
        <f>X839-D_Emprunts!$W840</f>
        <v>-2882746.1599999983</v>
      </c>
      <c r="Y840">
        <v>833</v>
      </c>
      <c r="Z840" t="str">
        <f t="shared" si="62"/>
        <v>Investissement</v>
      </c>
      <c r="AA840" t="str">
        <f t="shared" si="63"/>
        <v>travaux magasin</v>
      </c>
    </row>
    <row r="841" spans="20:27" x14ac:dyDescent="0.25">
      <c r="T841" s="158">
        <f t="shared" si="65"/>
        <v>69311</v>
      </c>
      <c r="U841" s="164">
        <f t="shared" ref="U841:U904" si="66">$X$4</f>
        <v>864.41</v>
      </c>
      <c r="V841" s="159">
        <f t="shared" si="64"/>
        <v>-8504.25</v>
      </c>
      <c r="W841" s="159">
        <f>D_Emprunts!$U841-D_Emprunts!$V841</f>
        <v>9368.66</v>
      </c>
      <c r="X841" s="160">
        <f>X840-D_Emprunts!$W841</f>
        <v>-2892114.8199999984</v>
      </c>
      <c r="Y841">
        <v>834</v>
      </c>
      <c r="Z841" t="str">
        <f t="shared" ref="Z841:Z904" si="67">$Y$4</f>
        <v>Investissement</v>
      </c>
      <c r="AA841" t="str">
        <f t="shared" ref="AA841:AA904" si="68">$Z$4</f>
        <v>travaux magasin</v>
      </c>
    </row>
    <row r="842" spans="20:27" x14ac:dyDescent="0.25">
      <c r="T842" s="155">
        <f t="shared" si="65"/>
        <v>69342</v>
      </c>
      <c r="U842" s="164">
        <f t="shared" si="66"/>
        <v>864.41</v>
      </c>
      <c r="V842" s="159">
        <f t="shared" ref="V842:V905" si="69">ROUND(X841*$V$4/12,2)</f>
        <v>-8531.89</v>
      </c>
      <c r="W842" s="156">
        <f>D_Emprunts!$U842-D_Emprunts!$V842</f>
        <v>9396.2999999999993</v>
      </c>
      <c r="X842" s="157">
        <f>X841-D_Emprunts!$W842</f>
        <v>-2901511.1199999982</v>
      </c>
      <c r="Y842">
        <v>835</v>
      </c>
      <c r="Z842" t="str">
        <f t="shared" si="67"/>
        <v>Investissement</v>
      </c>
      <c r="AA842" t="str">
        <f t="shared" si="68"/>
        <v>travaux magasin</v>
      </c>
    </row>
    <row r="843" spans="20:27" x14ac:dyDescent="0.25">
      <c r="T843" s="158">
        <f t="shared" si="65"/>
        <v>69372</v>
      </c>
      <c r="U843" s="164">
        <f t="shared" si="66"/>
        <v>864.41</v>
      </c>
      <c r="V843" s="159">
        <f t="shared" si="69"/>
        <v>-8559.61</v>
      </c>
      <c r="W843" s="159">
        <f>D_Emprunts!$U843-D_Emprunts!$V843</f>
        <v>9424.02</v>
      </c>
      <c r="X843" s="160">
        <f>X842-D_Emprunts!$W843</f>
        <v>-2910935.1399999983</v>
      </c>
      <c r="Y843">
        <v>836</v>
      </c>
      <c r="Z843" t="str">
        <f t="shared" si="67"/>
        <v>Investissement</v>
      </c>
      <c r="AA843" t="str">
        <f t="shared" si="68"/>
        <v>travaux magasin</v>
      </c>
    </row>
    <row r="844" spans="20:27" x14ac:dyDescent="0.25">
      <c r="T844" s="155">
        <f t="shared" si="65"/>
        <v>69403</v>
      </c>
      <c r="U844" s="164">
        <f t="shared" si="66"/>
        <v>864.41</v>
      </c>
      <c r="V844" s="159">
        <f t="shared" si="69"/>
        <v>-8587.41</v>
      </c>
      <c r="W844" s="156">
        <f>D_Emprunts!$U844-D_Emprunts!$V844</f>
        <v>9451.82</v>
      </c>
      <c r="X844" s="157">
        <f>X843-D_Emprunts!$W844</f>
        <v>-2920386.9599999981</v>
      </c>
      <c r="Y844">
        <v>837</v>
      </c>
      <c r="Z844" t="str">
        <f t="shared" si="67"/>
        <v>Investissement</v>
      </c>
      <c r="AA844" t="str">
        <f t="shared" si="68"/>
        <v>travaux magasin</v>
      </c>
    </row>
    <row r="845" spans="20:27" x14ac:dyDescent="0.25">
      <c r="T845" s="158">
        <f t="shared" si="65"/>
        <v>69434</v>
      </c>
      <c r="U845" s="164">
        <f t="shared" si="66"/>
        <v>864.41</v>
      </c>
      <c r="V845" s="159">
        <f t="shared" si="69"/>
        <v>-8615.2900000000009</v>
      </c>
      <c r="W845" s="159">
        <f>D_Emprunts!$U845-D_Emprunts!$V845</f>
        <v>9479.7000000000007</v>
      </c>
      <c r="X845" s="160">
        <f>X844-D_Emprunts!$W845</f>
        <v>-2929866.6599999983</v>
      </c>
      <c r="Y845">
        <v>838</v>
      </c>
      <c r="Z845" t="str">
        <f t="shared" si="67"/>
        <v>Investissement</v>
      </c>
      <c r="AA845" t="str">
        <f t="shared" si="68"/>
        <v>travaux magasin</v>
      </c>
    </row>
    <row r="846" spans="20:27" x14ac:dyDescent="0.25">
      <c r="T846" s="155">
        <f t="shared" si="65"/>
        <v>69462</v>
      </c>
      <c r="U846" s="164">
        <f t="shared" si="66"/>
        <v>864.41</v>
      </c>
      <c r="V846" s="159">
        <f t="shared" si="69"/>
        <v>-8643.26</v>
      </c>
      <c r="W846" s="156">
        <f>D_Emprunts!$U846-D_Emprunts!$V846</f>
        <v>9507.67</v>
      </c>
      <c r="X846" s="157">
        <f>X845-D_Emprunts!$W846</f>
        <v>-2939374.3299999982</v>
      </c>
      <c r="Y846">
        <v>839</v>
      </c>
      <c r="Z846" t="str">
        <f t="shared" si="67"/>
        <v>Investissement</v>
      </c>
      <c r="AA846" t="str">
        <f t="shared" si="68"/>
        <v>travaux magasin</v>
      </c>
    </row>
    <row r="847" spans="20:27" x14ac:dyDescent="0.25">
      <c r="T847" s="158">
        <f t="shared" si="65"/>
        <v>69493</v>
      </c>
      <c r="U847" s="164">
        <f t="shared" si="66"/>
        <v>864.41</v>
      </c>
      <c r="V847" s="159">
        <f t="shared" si="69"/>
        <v>-8671.2999999999993</v>
      </c>
      <c r="W847" s="159">
        <f>D_Emprunts!$U847-D_Emprunts!$V847</f>
        <v>9535.7099999999991</v>
      </c>
      <c r="X847" s="160">
        <f>X846-D_Emprunts!$W847</f>
        <v>-2948910.0399999982</v>
      </c>
      <c r="Y847">
        <v>840</v>
      </c>
      <c r="Z847" t="str">
        <f t="shared" si="67"/>
        <v>Investissement</v>
      </c>
      <c r="AA847" t="str">
        <f t="shared" si="68"/>
        <v>travaux magasin</v>
      </c>
    </row>
    <row r="848" spans="20:27" x14ac:dyDescent="0.25">
      <c r="T848" s="155">
        <f t="shared" si="65"/>
        <v>69523</v>
      </c>
      <c r="U848" s="164">
        <f t="shared" si="66"/>
        <v>864.41</v>
      </c>
      <c r="V848" s="159">
        <f t="shared" si="69"/>
        <v>-8699.44</v>
      </c>
      <c r="W848" s="156">
        <f>D_Emprunts!$U848-D_Emprunts!$V848</f>
        <v>9563.85</v>
      </c>
      <c r="X848" s="157">
        <f>X847-D_Emprunts!$W848</f>
        <v>-2958473.8899999983</v>
      </c>
      <c r="Y848">
        <v>841</v>
      </c>
      <c r="Z848" t="str">
        <f t="shared" si="67"/>
        <v>Investissement</v>
      </c>
      <c r="AA848" t="str">
        <f t="shared" si="68"/>
        <v>travaux magasin</v>
      </c>
    </row>
    <row r="849" spans="20:27" x14ac:dyDescent="0.25">
      <c r="T849" s="158">
        <f t="shared" si="65"/>
        <v>69554</v>
      </c>
      <c r="U849" s="164">
        <f t="shared" si="66"/>
        <v>864.41</v>
      </c>
      <c r="V849" s="159">
        <f t="shared" si="69"/>
        <v>-8727.65</v>
      </c>
      <c r="W849" s="159">
        <f>D_Emprunts!$U849-D_Emprunts!$V849</f>
        <v>9592.06</v>
      </c>
      <c r="X849" s="160">
        <f>X848-D_Emprunts!$W849</f>
        <v>-2968065.9499999983</v>
      </c>
      <c r="Y849">
        <v>842</v>
      </c>
      <c r="Z849" t="str">
        <f t="shared" si="67"/>
        <v>Investissement</v>
      </c>
      <c r="AA849" t="str">
        <f t="shared" si="68"/>
        <v>travaux magasin</v>
      </c>
    </row>
    <row r="850" spans="20:27" x14ac:dyDescent="0.25">
      <c r="T850" s="155">
        <f t="shared" si="65"/>
        <v>69584</v>
      </c>
      <c r="U850" s="164">
        <f t="shared" si="66"/>
        <v>864.41</v>
      </c>
      <c r="V850" s="159">
        <f t="shared" si="69"/>
        <v>-8755.9500000000007</v>
      </c>
      <c r="W850" s="156">
        <f>D_Emprunts!$U850-D_Emprunts!$V850</f>
        <v>9620.36</v>
      </c>
      <c r="X850" s="157">
        <f>X849-D_Emprunts!$W850</f>
        <v>-2977686.3099999982</v>
      </c>
      <c r="Y850">
        <v>843</v>
      </c>
      <c r="Z850" t="str">
        <f t="shared" si="67"/>
        <v>Investissement</v>
      </c>
      <c r="AA850" t="str">
        <f t="shared" si="68"/>
        <v>travaux magasin</v>
      </c>
    </row>
    <row r="851" spans="20:27" x14ac:dyDescent="0.25">
      <c r="T851" s="158">
        <f t="shared" si="65"/>
        <v>69615</v>
      </c>
      <c r="U851" s="164">
        <f t="shared" si="66"/>
        <v>864.41</v>
      </c>
      <c r="V851" s="159">
        <f t="shared" si="69"/>
        <v>-8784.33</v>
      </c>
      <c r="W851" s="159">
        <f>D_Emprunts!$U851-D_Emprunts!$V851</f>
        <v>9648.74</v>
      </c>
      <c r="X851" s="160">
        <f>X850-D_Emprunts!$W851</f>
        <v>-2987335.0499999984</v>
      </c>
      <c r="Y851">
        <v>844</v>
      </c>
      <c r="Z851" t="str">
        <f t="shared" si="67"/>
        <v>Investissement</v>
      </c>
      <c r="AA851" t="str">
        <f t="shared" si="68"/>
        <v>travaux magasin</v>
      </c>
    </row>
    <row r="852" spans="20:27" x14ac:dyDescent="0.25">
      <c r="T852" s="155">
        <f t="shared" si="65"/>
        <v>69646</v>
      </c>
      <c r="U852" s="164">
        <f t="shared" si="66"/>
        <v>864.41</v>
      </c>
      <c r="V852" s="159">
        <f t="shared" si="69"/>
        <v>-8812.7900000000009</v>
      </c>
      <c r="W852" s="156">
        <f>D_Emprunts!$U852-D_Emprunts!$V852</f>
        <v>9677.2000000000007</v>
      </c>
      <c r="X852" s="157">
        <f>X851-D_Emprunts!$W852</f>
        <v>-2997012.2499999986</v>
      </c>
      <c r="Y852">
        <v>845</v>
      </c>
      <c r="Z852" t="str">
        <f t="shared" si="67"/>
        <v>Investissement</v>
      </c>
      <c r="AA852" t="str">
        <f t="shared" si="68"/>
        <v>travaux magasin</v>
      </c>
    </row>
    <row r="853" spans="20:27" x14ac:dyDescent="0.25">
      <c r="T853" s="158">
        <f t="shared" si="65"/>
        <v>69676</v>
      </c>
      <c r="U853" s="164">
        <f t="shared" si="66"/>
        <v>864.41</v>
      </c>
      <c r="V853" s="159">
        <f t="shared" si="69"/>
        <v>-8841.34</v>
      </c>
      <c r="W853" s="159">
        <f>D_Emprunts!$U853-D_Emprunts!$V853</f>
        <v>9705.75</v>
      </c>
      <c r="X853" s="160">
        <f>X852-D_Emprunts!$W853</f>
        <v>-3006717.9999999986</v>
      </c>
      <c r="Y853">
        <v>846</v>
      </c>
      <c r="Z853" t="str">
        <f t="shared" si="67"/>
        <v>Investissement</v>
      </c>
      <c r="AA853" t="str">
        <f t="shared" si="68"/>
        <v>travaux magasin</v>
      </c>
    </row>
    <row r="854" spans="20:27" x14ac:dyDescent="0.25">
      <c r="T854" s="155">
        <f t="shared" si="65"/>
        <v>69707</v>
      </c>
      <c r="U854" s="164">
        <f t="shared" si="66"/>
        <v>864.41</v>
      </c>
      <c r="V854" s="159">
        <f t="shared" si="69"/>
        <v>-8869.9699999999993</v>
      </c>
      <c r="W854" s="156">
        <f>D_Emprunts!$U854-D_Emprunts!$V854</f>
        <v>9734.3799999999992</v>
      </c>
      <c r="X854" s="157">
        <f>X853-D_Emprunts!$W854</f>
        <v>-3016452.3799999985</v>
      </c>
      <c r="Y854">
        <v>847</v>
      </c>
      <c r="Z854" t="str">
        <f t="shared" si="67"/>
        <v>Investissement</v>
      </c>
      <c r="AA854" t="str">
        <f t="shared" si="68"/>
        <v>travaux magasin</v>
      </c>
    </row>
    <row r="855" spans="20:27" x14ac:dyDescent="0.25">
      <c r="T855" s="158">
        <f t="shared" si="65"/>
        <v>69737</v>
      </c>
      <c r="U855" s="164">
        <f t="shared" si="66"/>
        <v>864.41</v>
      </c>
      <c r="V855" s="159">
        <f t="shared" si="69"/>
        <v>-8898.69</v>
      </c>
      <c r="W855" s="159">
        <f>D_Emprunts!$U855-D_Emprunts!$V855</f>
        <v>9763.1</v>
      </c>
      <c r="X855" s="160">
        <f>X854-D_Emprunts!$W855</f>
        <v>-3026215.4799999986</v>
      </c>
      <c r="Y855">
        <v>848</v>
      </c>
      <c r="Z855" t="str">
        <f t="shared" si="67"/>
        <v>Investissement</v>
      </c>
      <c r="AA855" t="str">
        <f t="shared" si="68"/>
        <v>travaux magasin</v>
      </c>
    </row>
    <row r="856" spans="20:27" x14ac:dyDescent="0.25">
      <c r="T856" s="155">
        <f t="shared" si="65"/>
        <v>69768</v>
      </c>
      <c r="U856" s="164">
        <f t="shared" si="66"/>
        <v>864.41</v>
      </c>
      <c r="V856" s="159">
        <f t="shared" si="69"/>
        <v>-8927.49</v>
      </c>
      <c r="W856" s="156">
        <f>D_Emprunts!$U856-D_Emprunts!$V856</f>
        <v>9791.9</v>
      </c>
      <c r="X856" s="157">
        <f>X855-D_Emprunts!$W856</f>
        <v>-3036007.3799999985</v>
      </c>
      <c r="Y856">
        <v>849</v>
      </c>
      <c r="Z856" t="str">
        <f t="shared" si="67"/>
        <v>Investissement</v>
      </c>
      <c r="AA856" t="str">
        <f t="shared" si="68"/>
        <v>travaux magasin</v>
      </c>
    </row>
    <row r="857" spans="20:27" x14ac:dyDescent="0.25">
      <c r="T857" s="158">
        <f t="shared" si="65"/>
        <v>69799</v>
      </c>
      <c r="U857" s="164">
        <f t="shared" si="66"/>
        <v>864.41</v>
      </c>
      <c r="V857" s="159">
        <f t="shared" si="69"/>
        <v>-8956.3799999999992</v>
      </c>
      <c r="W857" s="159">
        <f>D_Emprunts!$U857-D_Emprunts!$V857</f>
        <v>9820.7899999999991</v>
      </c>
      <c r="X857" s="160">
        <f>X856-D_Emprunts!$W857</f>
        <v>-3045828.1699999985</v>
      </c>
      <c r="Y857">
        <v>850</v>
      </c>
      <c r="Z857" t="str">
        <f t="shared" si="67"/>
        <v>Investissement</v>
      </c>
      <c r="AA857" t="str">
        <f t="shared" si="68"/>
        <v>travaux magasin</v>
      </c>
    </row>
    <row r="858" spans="20:27" x14ac:dyDescent="0.25">
      <c r="T858" s="155">
        <f t="shared" si="65"/>
        <v>69827</v>
      </c>
      <c r="U858" s="164">
        <f t="shared" si="66"/>
        <v>864.41</v>
      </c>
      <c r="V858" s="159">
        <f t="shared" si="69"/>
        <v>-8985.35</v>
      </c>
      <c r="W858" s="156">
        <f>D_Emprunts!$U858-D_Emprunts!$V858</f>
        <v>9849.76</v>
      </c>
      <c r="X858" s="157">
        <f>X857-D_Emprunts!$W858</f>
        <v>-3055677.9299999983</v>
      </c>
      <c r="Y858">
        <v>851</v>
      </c>
      <c r="Z858" t="str">
        <f t="shared" si="67"/>
        <v>Investissement</v>
      </c>
      <c r="AA858" t="str">
        <f t="shared" si="68"/>
        <v>travaux magasin</v>
      </c>
    </row>
    <row r="859" spans="20:27" x14ac:dyDescent="0.25">
      <c r="T859" s="158">
        <f t="shared" si="65"/>
        <v>69858</v>
      </c>
      <c r="U859" s="164">
        <f t="shared" si="66"/>
        <v>864.41</v>
      </c>
      <c r="V859" s="159">
        <f t="shared" si="69"/>
        <v>-9014.41</v>
      </c>
      <c r="W859" s="159">
        <f>D_Emprunts!$U859-D_Emprunts!$V859</f>
        <v>9878.82</v>
      </c>
      <c r="X859" s="160">
        <f>X858-D_Emprunts!$W859</f>
        <v>-3065556.7499999981</v>
      </c>
      <c r="Y859">
        <v>852</v>
      </c>
      <c r="Z859" t="str">
        <f t="shared" si="67"/>
        <v>Investissement</v>
      </c>
      <c r="AA859" t="str">
        <f t="shared" si="68"/>
        <v>travaux magasin</v>
      </c>
    </row>
    <row r="860" spans="20:27" x14ac:dyDescent="0.25">
      <c r="T860" s="155">
        <f t="shared" si="65"/>
        <v>69888</v>
      </c>
      <c r="U860" s="164">
        <f t="shared" si="66"/>
        <v>864.41</v>
      </c>
      <c r="V860" s="159">
        <f t="shared" si="69"/>
        <v>-9043.5499999999993</v>
      </c>
      <c r="W860" s="156">
        <f>D_Emprunts!$U860-D_Emprunts!$V860</f>
        <v>9907.9599999999991</v>
      </c>
      <c r="X860" s="157">
        <f>X859-D_Emprunts!$W860</f>
        <v>-3075464.7099999981</v>
      </c>
      <c r="Y860">
        <v>853</v>
      </c>
      <c r="Z860" t="str">
        <f t="shared" si="67"/>
        <v>Investissement</v>
      </c>
      <c r="AA860" t="str">
        <f t="shared" si="68"/>
        <v>travaux magasin</v>
      </c>
    </row>
    <row r="861" spans="20:27" x14ac:dyDescent="0.25">
      <c r="T861" s="158">
        <f t="shared" si="65"/>
        <v>69919</v>
      </c>
      <c r="U861" s="164">
        <f t="shared" si="66"/>
        <v>864.41</v>
      </c>
      <c r="V861" s="159">
        <f t="shared" si="69"/>
        <v>-9072.7800000000007</v>
      </c>
      <c r="W861" s="159">
        <f>D_Emprunts!$U861-D_Emprunts!$V861</f>
        <v>9937.19</v>
      </c>
      <c r="X861" s="160">
        <f>X860-D_Emprunts!$W861</f>
        <v>-3085401.899999998</v>
      </c>
      <c r="Y861">
        <v>854</v>
      </c>
      <c r="Z861" t="str">
        <f t="shared" si="67"/>
        <v>Investissement</v>
      </c>
      <c r="AA861" t="str">
        <f t="shared" si="68"/>
        <v>travaux magasin</v>
      </c>
    </row>
    <row r="862" spans="20:27" x14ac:dyDescent="0.25">
      <c r="T862" s="155">
        <f t="shared" si="65"/>
        <v>69949</v>
      </c>
      <c r="U862" s="164">
        <f t="shared" si="66"/>
        <v>864.41</v>
      </c>
      <c r="V862" s="159">
        <f t="shared" si="69"/>
        <v>-9102.09</v>
      </c>
      <c r="W862" s="156">
        <f>D_Emprunts!$U862-D_Emprunts!$V862</f>
        <v>9966.5</v>
      </c>
      <c r="X862" s="157">
        <f>X861-D_Emprunts!$W862</f>
        <v>-3095368.399999998</v>
      </c>
      <c r="Y862">
        <v>855</v>
      </c>
      <c r="Z862" t="str">
        <f t="shared" si="67"/>
        <v>Investissement</v>
      </c>
      <c r="AA862" t="str">
        <f t="shared" si="68"/>
        <v>travaux magasin</v>
      </c>
    </row>
    <row r="863" spans="20:27" x14ac:dyDescent="0.25">
      <c r="T863" s="158">
        <f t="shared" si="65"/>
        <v>69980</v>
      </c>
      <c r="U863" s="164">
        <f t="shared" si="66"/>
        <v>864.41</v>
      </c>
      <c r="V863" s="159">
        <f t="shared" si="69"/>
        <v>-9131.5</v>
      </c>
      <c r="W863" s="159">
        <f>D_Emprunts!$U863-D_Emprunts!$V863</f>
        <v>9995.91</v>
      </c>
      <c r="X863" s="160">
        <f>X862-D_Emprunts!$W863</f>
        <v>-3105364.3099999982</v>
      </c>
      <c r="Y863">
        <v>856</v>
      </c>
      <c r="Z863" t="str">
        <f t="shared" si="67"/>
        <v>Investissement</v>
      </c>
      <c r="AA863" t="str">
        <f t="shared" si="68"/>
        <v>travaux magasin</v>
      </c>
    </row>
    <row r="864" spans="20:27" x14ac:dyDescent="0.25">
      <c r="T864" s="155">
        <f t="shared" si="65"/>
        <v>70011</v>
      </c>
      <c r="U864" s="164">
        <f t="shared" si="66"/>
        <v>864.41</v>
      </c>
      <c r="V864" s="159">
        <f t="shared" si="69"/>
        <v>-9160.98</v>
      </c>
      <c r="W864" s="156">
        <f>D_Emprunts!$U864-D_Emprunts!$V864</f>
        <v>10025.39</v>
      </c>
      <c r="X864" s="157">
        <f>X863-D_Emprunts!$W864</f>
        <v>-3115389.6999999983</v>
      </c>
      <c r="Y864">
        <v>857</v>
      </c>
      <c r="Z864" t="str">
        <f t="shared" si="67"/>
        <v>Investissement</v>
      </c>
      <c r="AA864" t="str">
        <f t="shared" si="68"/>
        <v>travaux magasin</v>
      </c>
    </row>
    <row r="865" spans="20:27" x14ac:dyDescent="0.25">
      <c r="T865" s="158">
        <f t="shared" si="65"/>
        <v>70041</v>
      </c>
      <c r="U865" s="164">
        <f t="shared" si="66"/>
        <v>864.41</v>
      </c>
      <c r="V865" s="159">
        <f t="shared" si="69"/>
        <v>-9190.56</v>
      </c>
      <c r="W865" s="159">
        <f>D_Emprunts!$U865-D_Emprunts!$V865</f>
        <v>10054.969999999999</v>
      </c>
      <c r="X865" s="160">
        <f>X864-D_Emprunts!$W865</f>
        <v>-3125444.6699999985</v>
      </c>
      <c r="Y865">
        <v>858</v>
      </c>
      <c r="Z865" t="str">
        <f t="shared" si="67"/>
        <v>Investissement</v>
      </c>
      <c r="AA865" t="str">
        <f t="shared" si="68"/>
        <v>travaux magasin</v>
      </c>
    </row>
    <row r="866" spans="20:27" x14ac:dyDescent="0.25">
      <c r="T866" s="155">
        <f t="shared" si="65"/>
        <v>70072</v>
      </c>
      <c r="U866" s="164">
        <f t="shared" si="66"/>
        <v>864.41</v>
      </c>
      <c r="V866" s="159">
        <f t="shared" si="69"/>
        <v>-9220.2199999999993</v>
      </c>
      <c r="W866" s="156">
        <f>D_Emprunts!$U866-D_Emprunts!$V866</f>
        <v>10084.629999999999</v>
      </c>
      <c r="X866" s="157">
        <f>X865-D_Emprunts!$W866</f>
        <v>-3135529.2999999984</v>
      </c>
      <c r="Y866">
        <v>859</v>
      </c>
      <c r="Z866" t="str">
        <f t="shared" si="67"/>
        <v>Investissement</v>
      </c>
      <c r="AA866" t="str">
        <f t="shared" si="68"/>
        <v>travaux magasin</v>
      </c>
    </row>
    <row r="867" spans="20:27" x14ac:dyDescent="0.25">
      <c r="T867" s="158">
        <f t="shared" si="65"/>
        <v>70102</v>
      </c>
      <c r="U867" s="164">
        <f t="shared" si="66"/>
        <v>864.41</v>
      </c>
      <c r="V867" s="159">
        <f t="shared" si="69"/>
        <v>-9249.9699999999993</v>
      </c>
      <c r="W867" s="159">
        <f>D_Emprunts!$U867-D_Emprunts!$V867</f>
        <v>10114.379999999999</v>
      </c>
      <c r="X867" s="160">
        <f>X866-D_Emprunts!$W867</f>
        <v>-3145643.6799999983</v>
      </c>
      <c r="Y867">
        <v>860</v>
      </c>
      <c r="Z867" t="str">
        <f t="shared" si="67"/>
        <v>Investissement</v>
      </c>
      <c r="AA867" t="str">
        <f t="shared" si="68"/>
        <v>travaux magasin</v>
      </c>
    </row>
    <row r="868" spans="20:27" x14ac:dyDescent="0.25">
      <c r="T868" s="155">
        <f t="shared" si="65"/>
        <v>70133</v>
      </c>
      <c r="U868" s="164">
        <f t="shared" si="66"/>
        <v>864.41</v>
      </c>
      <c r="V868" s="159">
        <f t="shared" si="69"/>
        <v>-9279.81</v>
      </c>
      <c r="W868" s="156">
        <f>D_Emprunts!$U868-D_Emprunts!$V868</f>
        <v>10144.219999999999</v>
      </c>
      <c r="X868" s="157">
        <f>X867-D_Emprunts!$W868</f>
        <v>-3155787.8999999985</v>
      </c>
      <c r="Y868">
        <v>861</v>
      </c>
      <c r="Z868" t="str">
        <f t="shared" si="67"/>
        <v>Investissement</v>
      </c>
      <c r="AA868" t="str">
        <f t="shared" si="68"/>
        <v>travaux magasin</v>
      </c>
    </row>
    <row r="869" spans="20:27" x14ac:dyDescent="0.25">
      <c r="T869" s="158">
        <f t="shared" si="65"/>
        <v>70164</v>
      </c>
      <c r="U869" s="164">
        <f t="shared" si="66"/>
        <v>864.41</v>
      </c>
      <c r="V869" s="159">
        <f t="shared" si="69"/>
        <v>-9309.74</v>
      </c>
      <c r="W869" s="159">
        <f>D_Emprunts!$U869-D_Emprunts!$V869</f>
        <v>10174.15</v>
      </c>
      <c r="X869" s="160">
        <f>X868-D_Emprunts!$W869</f>
        <v>-3165962.0499999984</v>
      </c>
      <c r="Y869">
        <v>862</v>
      </c>
      <c r="Z869" t="str">
        <f t="shared" si="67"/>
        <v>Investissement</v>
      </c>
      <c r="AA869" t="str">
        <f t="shared" si="68"/>
        <v>travaux magasin</v>
      </c>
    </row>
    <row r="870" spans="20:27" x14ac:dyDescent="0.25">
      <c r="T870" s="155">
        <f t="shared" si="65"/>
        <v>70193</v>
      </c>
      <c r="U870" s="164">
        <f t="shared" si="66"/>
        <v>864.41</v>
      </c>
      <c r="V870" s="159">
        <f t="shared" si="69"/>
        <v>-9339.75</v>
      </c>
      <c r="W870" s="156">
        <f>D_Emprunts!$U870-D_Emprunts!$V870</f>
        <v>10204.16</v>
      </c>
      <c r="X870" s="157">
        <f>X869-D_Emprunts!$W870</f>
        <v>-3176166.2099999986</v>
      </c>
      <c r="Y870">
        <v>863</v>
      </c>
      <c r="Z870" t="str">
        <f t="shared" si="67"/>
        <v>Investissement</v>
      </c>
      <c r="AA870" t="str">
        <f t="shared" si="68"/>
        <v>travaux magasin</v>
      </c>
    </row>
    <row r="871" spans="20:27" x14ac:dyDescent="0.25">
      <c r="T871" s="158">
        <f t="shared" si="65"/>
        <v>70224</v>
      </c>
      <c r="U871" s="164">
        <f t="shared" si="66"/>
        <v>864.41</v>
      </c>
      <c r="V871" s="159">
        <f t="shared" si="69"/>
        <v>-9369.85</v>
      </c>
      <c r="W871" s="159">
        <f>D_Emprunts!$U871-D_Emprunts!$V871</f>
        <v>10234.26</v>
      </c>
      <c r="X871" s="160">
        <f>X870-D_Emprunts!$W871</f>
        <v>-3186400.4699999983</v>
      </c>
      <c r="Y871">
        <v>864</v>
      </c>
      <c r="Z871" t="str">
        <f t="shared" si="67"/>
        <v>Investissement</v>
      </c>
      <c r="AA871" t="str">
        <f t="shared" si="68"/>
        <v>travaux magasin</v>
      </c>
    </row>
    <row r="872" spans="20:27" x14ac:dyDescent="0.25">
      <c r="T872" s="155">
        <f t="shared" si="65"/>
        <v>70254</v>
      </c>
      <c r="U872" s="164">
        <f t="shared" si="66"/>
        <v>864.41</v>
      </c>
      <c r="V872" s="159">
        <f t="shared" si="69"/>
        <v>-9400.0400000000009</v>
      </c>
      <c r="W872" s="156">
        <f>D_Emprunts!$U872-D_Emprunts!$V872</f>
        <v>10264.450000000001</v>
      </c>
      <c r="X872" s="157">
        <f>X871-D_Emprunts!$W872</f>
        <v>-3196664.9199999985</v>
      </c>
      <c r="Y872">
        <v>865</v>
      </c>
      <c r="Z872" t="str">
        <f t="shared" si="67"/>
        <v>Investissement</v>
      </c>
      <c r="AA872" t="str">
        <f t="shared" si="68"/>
        <v>travaux magasin</v>
      </c>
    </row>
    <row r="873" spans="20:27" x14ac:dyDescent="0.25">
      <c r="T873" s="158">
        <f t="shared" si="65"/>
        <v>70285</v>
      </c>
      <c r="U873" s="164">
        <f t="shared" si="66"/>
        <v>864.41</v>
      </c>
      <c r="V873" s="159">
        <f t="shared" si="69"/>
        <v>-9430.33</v>
      </c>
      <c r="W873" s="159">
        <f>D_Emprunts!$U873-D_Emprunts!$V873</f>
        <v>10294.74</v>
      </c>
      <c r="X873" s="160">
        <f>X872-D_Emprunts!$W873</f>
        <v>-3206959.6599999988</v>
      </c>
      <c r="Y873">
        <v>866</v>
      </c>
      <c r="Z873" t="str">
        <f t="shared" si="67"/>
        <v>Investissement</v>
      </c>
      <c r="AA873" t="str">
        <f t="shared" si="68"/>
        <v>travaux magasin</v>
      </c>
    </row>
    <row r="874" spans="20:27" x14ac:dyDescent="0.25">
      <c r="T874" s="155">
        <f t="shared" si="65"/>
        <v>70315</v>
      </c>
      <c r="U874" s="164">
        <f t="shared" si="66"/>
        <v>864.41</v>
      </c>
      <c r="V874" s="159">
        <f t="shared" si="69"/>
        <v>-9460.7000000000007</v>
      </c>
      <c r="W874" s="156">
        <f>D_Emprunts!$U874-D_Emprunts!$V874</f>
        <v>10325.11</v>
      </c>
      <c r="X874" s="157">
        <f>X873-D_Emprunts!$W874</f>
        <v>-3217284.7699999986</v>
      </c>
      <c r="Y874">
        <v>867</v>
      </c>
      <c r="Z874" t="str">
        <f t="shared" si="67"/>
        <v>Investissement</v>
      </c>
      <c r="AA874" t="str">
        <f t="shared" si="68"/>
        <v>travaux magasin</v>
      </c>
    </row>
    <row r="875" spans="20:27" x14ac:dyDescent="0.25">
      <c r="T875" s="158">
        <f t="shared" si="65"/>
        <v>70346</v>
      </c>
      <c r="U875" s="164">
        <f t="shared" si="66"/>
        <v>864.41</v>
      </c>
      <c r="V875" s="159">
        <f t="shared" si="69"/>
        <v>-9491.15</v>
      </c>
      <c r="W875" s="159">
        <f>D_Emprunts!$U875-D_Emprunts!$V875</f>
        <v>10355.56</v>
      </c>
      <c r="X875" s="160">
        <f>X874-D_Emprunts!$W875</f>
        <v>-3227640.3299999987</v>
      </c>
      <c r="Y875">
        <v>868</v>
      </c>
      <c r="Z875" t="str">
        <f t="shared" si="67"/>
        <v>Investissement</v>
      </c>
      <c r="AA875" t="str">
        <f t="shared" si="68"/>
        <v>travaux magasin</v>
      </c>
    </row>
    <row r="876" spans="20:27" x14ac:dyDescent="0.25">
      <c r="T876" s="155">
        <f t="shared" si="65"/>
        <v>70377</v>
      </c>
      <c r="U876" s="164">
        <f t="shared" si="66"/>
        <v>864.41</v>
      </c>
      <c r="V876" s="159">
        <f t="shared" si="69"/>
        <v>-9521.7000000000007</v>
      </c>
      <c r="W876" s="156">
        <f>D_Emprunts!$U876-D_Emprunts!$V876</f>
        <v>10386.11</v>
      </c>
      <c r="X876" s="157">
        <f>X875-D_Emprunts!$W876</f>
        <v>-3238026.4399999985</v>
      </c>
      <c r="Y876">
        <v>869</v>
      </c>
      <c r="Z876" t="str">
        <f t="shared" si="67"/>
        <v>Investissement</v>
      </c>
      <c r="AA876" t="str">
        <f t="shared" si="68"/>
        <v>travaux magasin</v>
      </c>
    </row>
    <row r="877" spans="20:27" x14ac:dyDescent="0.25">
      <c r="T877" s="158">
        <f t="shared" si="65"/>
        <v>70407</v>
      </c>
      <c r="U877" s="164">
        <f t="shared" si="66"/>
        <v>864.41</v>
      </c>
      <c r="V877" s="159">
        <f t="shared" si="69"/>
        <v>-9552.34</v>
      </c>
      <c r="W877" s="159">
        <f>D_Emprunts!$U877-D_Emprunts!$V877</f>
        <v>10416.75</v>
      </c>
      <c r="X877" s="160">
        <f>X876-D_Emprunts!$W877</f>
        <v>-3248443.1899999985</v>
      </c>
      <c r="Y877">
        <v>870</v>
      </c>
      <c r="Z877" t="str">
        <f t="shared" si="67"/>
        <v>Investissement</v>
      </c>
      <c r="AA877" t="str">
        <f t="shared" si="68"/>
        <v>travaux magasin</v>
      </c>
    </row>
    <row r="878" spans="20:27" x14ac:dyDescent="0.25">
      <c r="T878" s="155">
        <f t="shared" si="65"/>
        <v>70438</v>
      </c>
      <c r="U878" s="164">
        <f t="shared" si="66"/>
        <v>864.41</v>
      </c>
      <c r="V878" s="159">
        <f t="shared" si="69"/>
        <v>-9583.07</v>
      </c>
      <c r="W878" s="156">
        <f>D_Emprunts!$U878-D_Emprunts!$V878</f>
        <v>10447.48</v>
      </c>
      <c r="X878" s="157">
        <f>X877-D_Emprunts!$W878</f>
        <v>-3258890.6699999985</v>
      </c>
      <c r="Y878">
        <v>871</v>
      </c>
      <c r="Z878" t="str">
        <f t="shared" si="67"/>
        <v>Investissement</v>
      </c>
      <c r="AA878" t="str">
        <f t="shared" si="68"/>
        <v>travaux magasin</v>
      </c>
    </row>
    <row r="879" spans="20:27" x14ac:dyDescent="0.25">
      <c r="T879" s="158">
        <f t="shared" si="65"/>
        <v>70468</v>
      </c>
      <c r="U879" s="164">
        <f t="shared" si="66"/>
        <v>864.41</v>
      </c>
      <c r="V879" s="159">
        <f t="shared" si="69"/>
        <v>-9613.89</v>
      </c>
      <c r="W879" s="159">
        <f>D_Emprunts!$U879-D_Emprunts!$V879</f>
        <v>10478.299999999999</v>
      </c>
      <c r="X879" s="160">
        <f>X878-D_Emprunts!$W879</f>
        <v>-3269368.9699999983</v>
      </c>
      <c r="Y879">
        <v>872</v>
      </c>
      <c r="Z879" t="str">
        <f t="shared" si="67"/>
        <v>Investissement</v>
      </c>
      <c r="AA879" t="str">
        <f t="shared" si="68"/>
        <v>travaux magasin</v>
      </c>
    </row>
    <row r="880" spans="20:27" x14ac:dyDescent="0.25">
      <c r="T880" s="155">
        <f t="shared" si="65"/>
        <v>70499</v>
      </c>
      <c r="U880" s="164">
        <f t="shared" si="66"/>
        <v>864.41</v>
      </c>
      <c r="V880" s="159">
        <f t="shared" si="69"/>
        <v>-9644.81</v>
      </c>
      <c r="W880" s="156">
        <f>D_Emprunts!$U880-D_Emprunts!$V880</f>
        <v>10509.22</v>
      </c>
      <c r="X880" s="157">
        <f>X879-D_Emprunts!$W880</f>
        <v>-3279878.1899999985</v>
      </c>
      <c r="Y880">
        <v>873</v>
      </c>
      <c r="Z880" t="str">
        <f t="shared" si="67"/>
        <v>Investissement</v>
      </c>
      <c r="AA880" t="str">
        <f t="shared" si="68"/>
        <v>travaux magasin</v>
      </c>
    </row>
    <row r="881" spans="20:27" x14ac:dyDescent="0.25">
      <c r="T881" s="158">
        <f t="shared" si="65"/>
        <v>70530</v>
      </c>
      <c r="U881" s="164">
        <f t="shared" si="66"/>
        <v>864.41</v>
      </c>
      <c r="V881" s="159">
        <f t="shared" si="69"/>
        <v>-9675.81</v>
      </c>
      <c r="W881" s="159">
        <f>D_Emprunts!$U881-D_Emprunts!$V881</f>
        <v>10540.22</v>
      </c>
      <c r="X881" s="160">
        <f>X880-D_Emprunts!$W881</f>
        <v>-3290418.4099999988</v>
      </c>
      <c r="Y881">
        <v>874</v>
      </c>
      <c r="Z881" t="str">
        <f t="shared" si="67"/>
        <v>Investissement</v>
      </c>
      <c r="AA881" t="str">
        <f t="shared" si="68"/>
        <v>travaux magasin</v>
      </c>
    </row>
    <row r="882" spans="20:27" x14ac:dyDescent="0.25">
      <c r="T882" s="155">
        <f t="shared" si="65"/>
        <v>70558</v>
      </c>
      <c r="U882" s="164">
        <f t="shared" si="66"/>
        <v>864.41</v>
      </c>
      <c r="V882" s="159">
        <f t="shared" si="69"/>
        <v>-9706.9</v>
      </c>
      <c r="W882" s="156">
        <f>D_Emprunts!$U882-D_Emprunts!$V882</f>
        <v>10571.31</v>
      </c>
      <c r="X882" s="157">
        <f>X881-D_Emprunts!$W882</f>
        <v>-3300989.7199999988</v>
      </c>
      <c r="Y882">
        <v>875</v>
      </c>
      <c r="Z882" t="str">
        <f t="shared" si="67"/>
        <v>Investissement</v>
      </c>
      <c r="AA882" t="str">
        <f t="shared" si="68"/>
        <v>travaux magasin</v>
      </c>
    </row>
    <row r="883" spans="20:27" x14ac:dyDescent="0.25">
      <c r="T883" s="158">
        <f t="shared" si="65"/>
        <v>70589</v>
      </c>
      <c r="U883" s="164">
        <f t="shared" si="66"/>
        <v>864.41</v>
      </c>
      <c r="V883" s="159">
        <f t="shared" si="69"/>
        <v>-9738.09</v>
      </c>
      <c r="W883" s="159">
        <f>D_Emprunts!$U883-D_Emprunts!$V883</f>
        <v>10602.5</v>
      </c>
      <c r="X883" s="160">
        <f>X882-D_Emprunts!$W883</f>
        <v>-3311592.2199999988</v>
      </c>
      <c r="Y883">
        <v>876</v>
      </c>
      <c r="Z883" t="str">
        <f t="shared" si="67"/>
        <v>Investissement</v>
      </c>
      <c r="AA883" t="str">
        <f t="shared" si="68"/>
        <v>travaux magasin</v>
      </c>
    </row>
    <row r="884" spans="20:27" x14ac:dyDescent="0.25">
      <c r="T884" s="155">
        <f t="shared" si="65"/>
        <v>70619</v>
      </c>
      <c r="U884" s="164">
        <f t="shared" si="66"/>
        <v>864.41</v>
      </c>
      <c r="V884" s="159">
        <f t="shared" si="69"/>
        <v>-9769.3700000000008</v>
      </c>
      <c r="W884" s="156">
        <f>D_Emprunts!$U884-D_Emprunts!$V884</f>
        <v>10633.78</v>
      </c>
      <c r="X884" s="157">
        <f>X883-D_Emprunts!$W884</f>
        <v>-3322225.9999999986</v>
      </c>
      <c r="Y884">
        <v>877</v>
      </c>
      <c r="Z884" t="str">
        <f t="shared" si="67"/>
        <v>Investissement</v>
      </c>
      <c r="AA884" t="str">
        <f t="shared" si="68"/>
        <v>travaux magasin</v>
      </c>
    </row>
    <row r="885" spans="20:27" x14ac:dyDescent="0.25">
      <c r="T885" s="158">
        <f t="shared" si="65"/>
        <v>70650</v>
      </c>
      <c r="U885" s="164">
        <f t="shared" si="66"/>
        <v>864.41</v>
      </c>
      <c r="V885" s="159">
        <f t="shared" si="69"/>
        <v>-9800.74</v>
      </c>
      <c r="W885" s="159">
        <f>D_Emprunts!$U885-D_Emprunts!$V885</f>
        <v>10665.15</v>
      </c>
      <c r="X885" s="160">
        <f>X884-D_Emprunts!$W885</f>
        <v>-3332891.1499999985</v>
      </c>
      <c r="Y885">
        <v>878</v>
      </c>
      <c r="Z885" t="str">
        <f t="shared" si="67"/>
        <v>Investissement</v>
      </c>
      <c r="AA885" t="str">
        <f t="shared" si="68"/>
        <v>travaux magasin</v>
      </c>
    </row>
    <row r="886" spans="20:27" x14ac:dyDescent="0.25">
      <c r="T886" s="155">
        <f t="shared" si="65"/>
        <v>70680</v>
      </c>
      <c r="U886" s="164">
        <f t="shared" si="66"/>
        <v>864.41</v>
      </c>
      <c r="V886" s="159">
        <f t="shared" si="69"/>
        <v>-9832.2000000000007</v>
      </c>
      <c r="W886" s="156">
        <f>D_Emprunts!$U886-D_Emprunts!$V886</f>
        <v>10696.61</v>
      </c>
      <c r="X886" s="157">
        <f>X885-D_Emprunts!$W886</f>
        <v>-3343587.7599999984</v>
      </c>
      <c r="Y886">
        <v>879</v>
      </c>
      <c r="Z886" t="str">
        <f t="shared" si="67"/>
        <v>Investissement</v>
      </c>
      <c r="AA886" t="str">
        <f t="shared" si="68"/>
        <v>travaux magasin</v>
      </c>
    </row>
    <row r="887" spans="20:27" x14ac:dyDescent="0.25">
      <c r="T887" s="158">
        <f t="shared" si="65"/>
        <v>70711</v>
      </c>
      <c r="U887" s="164">
        <f t="shared" si="66"/>
        <v>864.41</v>
      </c>
      <c r="V887" s="159">
        <f t="shared" si="69"/>
        <v>-9863.75</v>
      </c>
      <c r="W887" s="159">
        <f>D_Emprunts!$U887-D_Emprunts!$V887</f>
        <v>10728.16</v>
      </c>
      <c r="X887" s="160">
        <f>X886-D_Emprunts!$W887</f>
        <v>-3354315.9199999985</v>
      </c>
      <c r="Y887">
        <v>880</v>
      </c>
      <c r="Z887" t="str">
        <f t="shared" si="67"/>
        <v>Investissement</v>
      </c>
      <c r="AA887" t="str">
        <f t="shared" si="68"/>
        <v>travaux magasin</v>
      </c>
    </row>
    <row r="888" spans="20:27" x14ac:dyDescent="0.25">
      <c r="T888" s="155">
        <f t="shared" si="65"/>
        <v>70742</v>
      </c>
      <c r="U888" s="164">
        <f t="shared" si="66"/>
        <v>864.41</v>
      </c>
      <c r="V888" s="159">
        <f t="shared" si="69"/>
        <v>-9895.4</v>
      </c>
      <c r="W888" s="156">
        <f>D_Emprunts!$U888-D_Emprunts!$V888</f>
        <v>10759.81</v>
      </c>
      <c r="X888" s="157">
        <f>X887-D_Emprunts!$W888</f>
        <v>-3365075.7299999986</v>
      </c>
      <c r="Y888">
        <v>881</v>
      </c>
      <c r="Z888" t="str">
        <f t="shared" si="67"/>
        <v>Investissement</v>
      </c>
      <c r="AA888" t="str">
        <f t="shared" si="68"/>
        <v>travaux magasin</v>
      </c>
    </row>
    <row r="889" spans="20:27" x14ac:dyDescent="0.25">
      <c r="T889" s="158">
        <f t="shared" si="65"/>
        <v>70772</v>
      </c>
      <c r="U889" s="164">
        <f t="shared" si="66"/>
        <v>864.41</v>
      </c>
      <c r="V889" s="159">
        <f t="shared" si="69"/>
        <v>-9927.15</v>
      </c>
      <c r="W889" s="159">
        <f>D_Emprunts!$U889-D_Emprunts!$V889</f>
        <v>10791.56</v>
      </c>
      <c r="X889" s="160">
        <f>X888-D_Emprunts!$W889</f>
        <v>-3375867.2899999986</v>
      </c>
      <c r="Y889">
        <v>882</v>
      </c>
      <c r="Z889" t="str">
        <f t="shared" si="67"/>
        <v>Investissement</v>
      </c>
      <c r="AA889" t="str">
        <f t="shared" si="68"/>
        <v>travaux magasin</v>
      </c>
    </row>
    <row r="890" spans="20:27" x14ac:dyDescent="0.25">
      <c r="T890" s="155">
        <f t="shared" si="65"/>
        <v>70803</v>
      </c>
      <c r="U890" s="164">
        <f t="shared" si="66"/>
        <v>864.41</v>
      </c>
      <c r="V890" s="159">
        <f t="shared" si="69"/>
        <v>-9958.98</v>
      </c>
      <c r="W890" s="156">
        <f>D_Emprunts!$U890-D_Emprunts!$V890</f>
        <v>10823.39</v>
      </c>
      <c r="X890" s="157">
        <f>X889-D_Emprunts!$W890</f>
        <v>-3386690.6799999988</v>
      </c>
      <c r="Y890">
        <v>883</v>
      </c>
      <c r="Z890" t="str">
        <f t="shared" si="67"/>
        <v>Investissement</v>
      </c>
      <c r="AA890" t="str">
        <f t="shared" si="68"/>
        <v>travaux magasin</v>
      </c>
    </row>
    <row r="891" spans="20:27" x14ac:dyDescent="0.25">
      <c r="T891" s="158">
        <f t="shared" si="65"/>
        <v>70833</v>
      </c>
      <c r="U891" s="164">
        <f t="shared" si="66"/>
        <v>864.41</v>
      </c>
      <c r="V891" s="159">
        <f t="shared" si="69"/>
        <v>-9990.91</v>
      </c>
      <c r="W891" s="159">
        <f>D_Emprunts!$U891-D_Emprunts!$V891</f>
        <v>10855.32</v>
      </c>
      <c r="X891" s="160">
        <f>X890-D_Emprunts!$W891</f>
        <v>-3397545.9999999986</v>
      </c>
      <c r="Y891">
        <v>884</v>
      </c>
      <c r="Z891" t="str">
        <f t="shared" si="67"/>
        <v>Investissement</v>
      </c>
      <c r="AA891" t="str">
        <f t="shared" si="68"/>
        <v>travaux magasin</v>
      </c>
    </row>
    <row r="892" spans="20:27" x14ac:dyDescent="0.25">
      <c r="T892" s="155">
        <f t="shared" si="65"/>
        <v>70864</v>
      </c>
      <c r="U892" s="164">
        <f t="shared" si="66"/>
        <v>864.41</v>
      </c>
      <c r="V892" s="159">
        <f t="shared" si="69"/>
        <v>-10022.93</v>
      </c>
      <c r="W892" s="156">
        <f>D_Emprunts!$U892-D_Emprunts!$V892</f>
        <v>10887.34</v>
      </c>
      <c r="X892" s="157">
        <f>X891-D_Emprunts!$W892</f>
        <v>-3408433.3399999985</v>
      </c>
      <c r="Y892">
        <v>885</v>
      </c>
      <c r="Z892" t="str">
        <f t="shared" si="67"/>
        <v>Investissement</v>
      </c>
      <c r="AA892" t="str">
        <f t="shared" si="68"/>
        <v>travaux magasin</v>
      </c>
    </row>
    <row r="893" spans="20:27" x14ac:dyDescent="0.25">
      <c r="T893" s="158">
        <f t="shared" si="65"/>
        <v>70895</v>
      </c>
      <c r="U893" s="164">
        <f t="shared" si="66"/>
        <v>864.41</v>
      </c>
      <c r="V893" s="159">
        <f t="shared" si="69"/>
        <v>-10055.049999999999</v>
      </c>
      <c r="W893" s="159">
        <f>D_Emprunts!$U893-D_Emprunts!$V893</f>
        <v>10919.46</v>
      </c>
      <c r="X893" s="160">
        <f>X892-D_Emprunts!$W893</f>
        <v>-3419352.7999999984</v>
      </c>
      <c r="Y893">
        <v>886</v>
      </c>
      <c r="Z893" t="str">
        <f t="shared" si="67"/>
        <v>Investissement</v>
      </c>
      <c r="AA893" t="str">
        <f t="shared" si="68"/>
        <v>travaux magasin</v>
      </c>
    </row>
    <row r="894" spans="20:27" x14ac:dyDescent="0.25">
      <c r="T894" s="155">
        <f t="shared" si="65"/>
        <v>70923</v>
      </c>
      <c r="U894" s="164">
        <f t="shared" si="66"/>
        <v>864.41</v>
      </c>
      <c r="V894" s="159">
        <f t="shared" si="69"/>
        <v>-10087.27</v>
      </c>
      <c r="W894" s="156">
        <f>D_Emprunts!$U894-D_Emprunts!$V894</f>
        <v>10951.68</v>
      </c>
      <c r="X894" s="157">
        <f>X893-D_Emprunts!$W894</f>
        <v>-3430304.4799999986</v>
      </c>
      <c r="Y894">
        <v>887</v>
      </c>
      <c r="Z894" t="str">
        <f t="shared" si="67"/>
        <v>Investissement</v>
      </c>
      <c r="AA894" t="str">
        <f t="shared" si="68"/>
        <v>travaux magasin</v>
      </c>
    </row>
    <row r="895" spans="20:27" x14ac:dyDescent="0.25">
      <c r="T895" s="158">
        <f t="shared" si="65"/>
        <v>70954</v>
      </c>
      <c r="U895" s="164">
        <f t="shared" si="66"/>
        <v>864.41</v>
      </c>
      <c r="V895" s="159">
        <f t="shared" si="69"/>
        <v>-10119.57</v>
      </c>
      <c r="W895" s="159">
        <f>D_Emprunts!$U895-D_Emprunts!$V895</f>
        <v>10983.98</v>
      </c>
      <c r="X895" s="160">
        <f>X894-D_Emprunts!$W895</f>
        <v>-3441288.4599999986</v>
      </c>
      <c r="Y895">
        <v>888</v>
      </c>
      <c r="Z895" t="str">
        <f t="shared" si="67"/>
        <v>Investissement</v>
      </c>
      <c r="AA895" t="str">
        <f t="shared" si="68"/>
        <v>travaux magasin</v>
      </c>
    </row>
    <row r="896" spans="20:27" x14ac:dyDescent="0.25">
      <c r="T896" s="155">
        <f t="shared" si="65"/>
        <v>70984</v>
      </c>
      <c r="U896" s="164">
        <f t="shared" si="66"/>
        <v>864.41</v>
      </c>
      <c r="V896" s="159">
        <f t="shared" si="69"/>
        <v>-10151.98</v>
      </c>
      <c r="W896" s="156">
        <f>D_Emprunts!$U896-D_Emprunts!$V896</f>
        <v>11016.39</v>
      </c>
      <c r="X896" s="157">
        <f>X895-D_Emprunts!$W896</f>
        <v>-3452304.8499999987</v>
      </c>
      <c r="Y896">
        <v>889</v>
      </c>
      <c r="Z896" t="str">
        <f t="shared" si="67"/>
        <v>Investissement</v>
      </c>
      <c r="AA896" t="str">
        <f t="shared" si="68"/>
        <v>travaux magasin</v>
      </c>
    </row>
    <row r="897" spans="20:27" x14ac:dyDescent="0.25">
      <c r="T897" s="158">
        <f t="shared" si="65"/>
        <v>71015</v>
      </c>
      <c r="U897" s="164">
        <f t="shared" si="66"/>
        <v>864.41</v>
      </c>
      <c r="V897" s="159">
        <f t="shared" si="69"/>
        <v>-10184.48</v>
      </c>
      <c r="W897" s="159">
        <f>D_Emprunts!$U897-D_Emprunts!$V897</f>
        <v>11048.89</v>
      </c>
      <c r="X897" s="160">
        <f>X896-D_Emprunts!$W897</f>
        <v>-3463353.7399999988</v>
      </c>
      <c r="Y897">
        <v>890</v>
      </c>
      <c r="Z897" t="str">
        <f t="shared" si="67"/>
        <v>Investissement</v>
      </c>
      <c r="AA897" t="str">
        <f t="shared" si="68"/>
        <v>travaux magasin</v>
      </c>
    </row>
    <row r="898" spans="20:27" x14ac:dyDescent="0.25">
      <c r="T898" s="155">
        <f t="shared" si="65"/>
        <v>71045</v>
      </c>
      <c r="U898" s="164">
        <f t="shared" si="66"/>
        <v>864.41</v>
      </c>
      <c r="V898" s="159">
        <f t="shared" si="69"/>
        <v>-10217.07</v>
      </c>
      <c r="W898" s="156">
        <f>D_Emprunts!$U898-D_Emprunts!$V898</f>
        <v>11081.48</v>
      </c>
      <c r="X898" s="157">
        <f>X897-D_Emprunts!$W898</f>
        <v>-3474435.2199999988</v>
      </c>
      <c r="Y898">
        <v>891</v>
      </c>
      <c r="Z898" t="str">
        <f t="shared" si="67"/>
        <v>Investissement</v>
      </c>
      <c r="AA898" t="str">
        <f t="shared" si="68"/>
        <v>travaux magasin</v>
      </c>
    </row>
    <row r="899" spans="20:27" x14ac:dyDescent="0.25">
      <c r="T899" s="158">
        <f t="shared" si="65"/>
        <v>71076</v>
      </c>
      <c r="U899" s="164">
        <f t="shared" si="66"/>
        <v>864.41</v>
      </c>
      <c r="V899" s="159">
        <f t="shared" si="69"/>
        <v>-10249.76</v>
      </c>
      <c r="W899" s="159">
        <f>D_Emprunts!$U899-D_Emprunts!$V899</f>
        <v>11114.17</v>
      </c>
      <c r="X899" s="160">
        <f>X898-D_Emprunts!$W899</f>
        <v>-3485549.3899999987</v>
      </c>
      <c r="Y899">
        <v>892</v>
      </c>
      <c r="Z899" t="str">
        <f t="shared" si="67"/>
        <v>Investissement</v>
      </c>
      <c r="AA899" t="str">
        <f t="shared" si="68"/>
        <v>travaux magasin</v>
      </c>
    </row>
    <row r="900" spans="20:27" x14ac:dyDescent="0.25">
      <c r="T900" s="155">
        <f t="shared" si="65"/>
        <v>71107</v>
      </c>
      <c r="U900" s="164">
        <f t="shared" si="66"/>
        <v>864.41</v>
      </c>
      <c r="V900" s="159">
        <f t="shared" si="69"/>
        <v>-10282.549999999999</v>
      </c>
      <c r="W900" s="156">
        <f>D_Emprunts!$U900-D_Emprunts!$V900</f>
        <v>11146.96</v>
      </c>
      <c r="X900" s="157">
        <f>X899-D_Emprunts!$W900</f>
        <v>-3496696.3499999987</v>
      </c>
      <c r="Y900">
        <v>893</v>
      </c>
      <c r="Z900" t="str">
        <f t="shared" si="67"/>
        <v>Investissement</v>
      </c>
      <c r="AA900" t="str">
        <f t="shared" si="68"/>
        <v>travaux magasin</v>
      </c>
    </row>
    <row r="901" spans="20:27" x14ac:dyDescent="0.25">
      <c r="T901" s="158">
        <f t="shared" si="65"/>
        <v>71137</v>
      </c>
      <c r="U901" s="164">
        <f t="shared" si="66"/>
        <v>864.41</v>
      </c>
      <c r="V901" s="159">
        <f t="shared" si="69"/>
        <v>-10315.43</v>
      </c>
      <c r="W901" s="159">
        <f>D_Emprunts!$U901-D_Emprunts!$V901</f>
        <v>11179.84</v>
      </c>
      <c r="X901" s="160">
        <f>X900-D_Emprunts!$W901</f>
        <v>-3507876.1899999985</v>
      </c>
      <c r="Y901">
        <v>894</v>
      </c>
      <c r="Z901" t="str">
        <f t="shared" si="67"/>
        <v>Investissement</v>
      </c>
      <c r="AA901" t="str">
        <f t="shared" si="68"/>
        <v>travaux magasin</v>
      </c>
    </row>
    <row r="902" spans="20:27" x14ac:dyDescent="0.25">
      <c r="T902" s="155">
        <f t="shared" si="65"/>
        <v>71168</v>
      </c>
      <c r="U902" s="164">
        <f t="shared" si="66"/>
        <v>864.41</v>
      </c>
      <c r="V902" s="159">
        <f t="shared" si="69"/>
        <v>-10348.41</v>
      </c>
      <c r="W902" s="156">
        <f>D_Emprunts!$U902-D_Emprunts!$V902</f>
        <v>11212.82</v>
      </c>
      <c r="X902" s="157">
        <f>X901-D_Emprunts!$W902</f>
        <v>-3519089.0099999984</v>
      </c>
      <c r="Y902">
        <v>895</v>
      </c>
      <c r="Z902" t="str">
        <f t="shared" si="67"/>
        <v>Investissement</v>
      </c>
      <c r="AA902" t="str">
        <f t="shared" si="68"/>
        <v>travaux magasin</v>
      </c>
    </row>
    <row r="903" spans="20:27" x14ac:dyDescent="0.25">
      <c r="T903" s="158">
        <f t="shared" si="65"/>
        <v>71198</v>
      </c>
      <c r="U903" s="164">
        <f t="shared" si="66"/>
        <v>864.41</v>
      </c>
      <c r="V903" s="159">
        <f t="shared" si="69"/>
        <v>-10381.49</v>
      </c>
      <c r="W903" s="159">
        <f>D_Emprunts!$U903-D_Emprunts!$V903</f>
        <v>11245.9</v>
      </c>
      <c r="X903" s="160">
        <f>X902-D_Emprunts!$W903</f>
        <v>-3530334.9099999983</v>
      </c>
      <c r="Y903">
        <v>896</v>
      </c>
      <c r="Z903" t="str">
        <f t="shared" si="67"/>
        <v>Investissement</v>
      </c>
      <c r="AA903" t="str">
        <f t="shared" si="68"/>
        <v>travaux magasin</v>
      </c>
    </row>
    <row r="904" spans="20:27" x14ac:dyDescent="0.25">
      <c r="T904" s="155">
        <f t="shared" ref="T904:T967" si="70">EDATE(T903,1)</f>
        <v>71229</v>
      </c>
      <c r="U904" s="164">
        <f t="shared" si="66"/>
        <v>864.41</v>
      </c>
      <c r="V904" s="159">
        <f t="shared" si="69"/>
        <v>-10414.67</v>
      </c>
      <c r="W904" s="156">
        <f>D_Emprunts!$U904-D_Emprunts!$V904</f>
        <v>11279.08</v>
      </c>
      <c r="X904" s="157">
        <f>X903-D_Emprunts!$W904</f>
        <v>-3541613.9899999984</v>
      </c>
      <c r="Y904">
        <v>897</v>
      </c>
      <c r="Z904" t="str">
        <f t="shared" si="67"/>
        <v>Investissement</v>
      </c>
      <c r="AA904" t="str">
        <f t="shared" si="68"/>
        <v>travaux magasin</v>
      </c>
    </row>
    <row r="905" spans="20:27" x14ac:dyDescent="0.25">
      <c r="T905" s="158">
        <f t="shared" si="70"/>
        <v>71260</v>
      </c>
      <c r="U905" s="164">
        <f t="shared" ref="U905:U968" si="71">$X$4</f>
        <v>864.41</v>
      </c>
      <c r="V905" s="159">
        <f t="shared" si="69"/>
        <v>-10447.94</v>
      </c>
      <c r="W905" s="159">
        <f>D_Emprunts!$U905-D_Emprunts!$V905</f>
        <v>11312.35</v>
      </c>
      <c r="X905" s="160">
        <f>X904-D_Emprunts!$W905</f>
        <v>-3552926.3399999985</v>
      </c>
      <c r="Y905">
        <v>898</v>
      </c>
      <c r="Z905" t="str">
        <f t="shared" ref="Z905:Z968" si="72">$Y$4</f>
        <v>Investissement</v>
      </c>
      <c r="AA905" t="str">
        <f t="shared" ref="AA905:AA968" si="73">$Z$4</f>
        <v>travaux magasin</v>
      </c>
    </row>
    <row r="906" spans="20:27" x14ac:dyDescent="0.25">
      <c r="T906" s="155">
        <f t="shared" si="70"/>
        <v>71288</v>
      </c>
      <c r="U906" s="164">
        <f t="shared" si="71"/>
        <v>864.41</v>
      </c>
      <c r="V906" s="159">
        <f t="shared" ref="V906:V969" si="74">ROUND(X905*$V$4/12,2)</f>
        <v>-10481.31</v>
      </c>
      <c r="W906" s="156">
        <f>D_Emprunts!$U906-D_Emprunts!$V906</f>
        <v>11345.72</v>
      </c>
      <c r="X906" s="157">
        <f>X905-D_Emprunts!$W906</f>
        <v>-3564272.0599999987</v>
      </c>
      <c r="Y906">
        <v>899</v>
      </c>
      <c r="Z906" t="str">
        <f t="shared" si="72"/>
        <v>Investissement</v>
      </c>
      <c r="AA906" t="str">
        <f t="shared" si="73"/>
        <v>travaux magasin</v>
      </c>
    </row>
    <row r="907" spans="20:27" x14ac:dyDescent="0.25">
      <c r="T907" s="158">
        <f t="shared" si="70"/>
        <v>71319</v>
      </c>
      <c r="U907" s="164">
        <f t="shared" si="71"/>
        <v>864.41</v>
      </c>
      <c r="V907" s="159">
        <f t="shared" si="74"/>
        <v>-10514.78</v>
      </c>
      <c r="W907" s="159">
        <f>D_Emprunts!$U907-D_Emprunts!$V907</f>
        <v>11379.19</v>
      </c>
      <c r="X907" s="160">
        <f>X906-D_Emprunts!$W907</f>
        <v>-3575651.2499999986</v>
      </c>
      <c r="Y907">
        <v>900</v>
      </c>
      <c r="Z907" t="str">
        <f t="shared" si="72"/>
        <v>Investissement</v>
      </c>
      <c r="AA907" t="str">
        <f t="shared" si="73"/>
        <v>travaux magasin</v>
      </c>
    </row>
    <row r="908" spans="20:27" x14ac:dyDescent="0.25">
      <c r="T908" s="155">
        <f t="shared" si="70"/>
        <v>71349</v>
      </c>
      <c r="U908" s="164">
        <f t="shared" si="71"/>
        <v>864.41</v>
      </c>
      <c r="V908" s="159">
        <f t="shared" si="74"/>
        <v>-10548.35</v>
      </c>
      <c r="W908" s="156">
        <f>D_Emprunts!$U908-D_Emprunts!$V908</f>
        <v>11412.76</v>
      </c>
      <c r="X908" s="157">
        <f>X907-D_Emprunts!$W908</f>
        <v>-3587064.0099999984</v>
      </c>
      <c r="Y908">
        <v>901</v>
      </c>
      <c r="Z908" t="str">
        <f t="shared" si="72"/>
        <v>Investissement</v>
      </c>
      <c r="AA908" t="str">
        <f t="shared" si="73"/>
        <v>travaux magasin</v>
      </c>
    </row>
    <row r="909" spans="20:27" x14ac:dyDescent="0.25">
      <c r="T909" s="158">
        <f t="shared" si="70"/>
        <v>71380</v>
      </c>
      <c r="U909" s="164">
        <f t="shared" si="71"/>
        <v>864.41</v>
      </c>
      <c r="V909" s="159">
        <f t="shared" si="74"/>
        <v>-10582.02</v>
      </c>
      <c r="W909" s="159">
        <f>D_Emprunts!$U909-D_Emprunts!$V909</f>
        <v>11446.43</v>
      </c>
      <c r="X909" s="160">
        <f>X908-D_Emprunts!$W909</f>
        <v>-3598510.4399999985</v>
      </c>
      <c r="Y909">
        <v>902</v>
      </c>
      <c r="Z909" t="str">
        <f t="shared" si="72"/>
        <v>Investissement</v>
      </c>
      <c r="AA909" t="str">
        <f t="shared" si="73"/>
        <v>travaux magasin</v>
      </c>
    </row>
    <row r="910" spans="20:27" x14ac:dyDescent="0.25">
      <c r="T910" s="155">
        <f t="shared" si="70"/>
        <v>71410</v>
      </c>
      <c r="U910" s="164">
        <f t="shared" si="71"/>
        <v>864.41</v>
      </c>
      <c r="V910" s="159">
        <f t="shared" si="74"/>
        <v>-10615.79</v>
      </c>
      <c r="W910" s="156">
        <f>D_Emprunts!$U910-D_Emprunts!$V910</f>
        <v>11480.2</v>
      </c>
      <c r="X910" s="157">
        <f>X909-D_Emprunts!$W910</f>
        <v>-3609990.6399999987</v>
      </c>
      <c r="Y910">
        <v>903</v>
      </c>
      <c r="Z910" t="str">
        <f t="shared" si="72"/>
        <v>Investissement</v>
      </c>
      <c r="AA910" t="str">
        <f t="shared" si="73"/>
        <v>travaux magasin</v>
      </c>
    </row>
    <row r="911" spans="20:27" x14ac:dyDescent="0.25">
      <c r="T911" s="158">
        <f t="shared" si="70"/>
        <v>71441</v>
      </c>
      <c r="U911" s="164">
        <f t="shared" si="71"/>
        <v>864.41</v>
      </c>
      <c r="V911" s="159">
        <f t="shared" si="74"/>
        <v>-10649.66</v>
      </c>
      <c r="W911" s="159">
        <f>D_Emprunts!$U911-D_Emprunts!$V911</f>
        <v>11514.07</v>
      </c>
      <c r="X911" s="160">
        <f>X910-D_Emprunts!$W911</f>
        <v>-3621504.7099999986</v>
      </c>
      <c r="Y911">
        <v>904</v>
      </c>
      <c r="Z911" t="str">
        <f t="shared" si="72"/>
        <v>Investissement</v>
      </c>
      <c r="AA911" t="str">
        <f t="shared" si="73"/>
        <v>travaux magasin</v>
      </c>
    </row>
    <row r="912" spans="20:27" x14ac:dyDescent="0.25">
      <c r="T912" s="155">
        <f t="shared" si="70"/>
        <v>71472</v>
      </c>
      <c r="U912" s="164">
        <f t="shared" si="71"/>
        <v>864.41</v>
      </c>
      <c r="V912" s="159">
        <f t="shared" si="74"/>
        <v>-10683.62</v>
      </c>
      <c r="W912" s="156">
        <f>D_Emprunts!$U912-D_Emprunts!$V912</f>
        <v>11548.03</v>
      </c>
      <c r="X912" s="157">
        <f>X911-D_Emprunts!$W912</f>
        <v>-3633052.7399999984</v>
      </c>
      <c r="Y912">
        <v>905</v>
      </c>
      <c r="Z912" t="str">
        <f t="shared" si="72"/>
        <v>Investissement</v>
      </c>
      <c r="AA912" t="str">
        <f t="shared" si="73"/>
        <v>travaux magasin</v>
      </c>
    </row>
    <row r="913" spans="20:27" x14ac:dyDescent="0.25">
      <c r="T913" s="158">
        <f t="shared" si="70"/>
        <v>71502</v>
      </c>
      <c r="U913" s="164">
        <f t="shared" si="71"/>
        <v>864.41</v>
      </c>
      <c r="V913" s="159">
        <f t="shared" si="74"/>
        <v>-10717.69</v>
      </c>
      <c r="W913" s="159">
        <f>D_Emprunts!$U913-D_Emprunts!$V913</f>
        <v>11582.1</v>
      </c>
      <c r="X913" s="160">
        <f>X912-D_Emprunts!$W913</f>
        <v>-3644634.8399999985</v>
      </c>
      <c r="Y913">
        <v>906</v>
      </c>
      <c r="Z913" t="str">
        <f t="shared" si="72"/>
        <v>Investissement</v>
      </c>
      <c r="AA913" t="str">
        <f t="shared" si="73"/>
        <v>travaux magasin</v>
      </c>
    </row>
    <row r="914" spans="20:27" x14ac:dyDescent="0.25">
      <c r="T914" s="155">
        <f t="shared" si="70"/>
        <v>71533</v>
      </c>
      <c r="U914" s="164">
        <f t="shared" si="71"/>
        <v>864.41</v>
      </c>
      <c r="V914" s="159">
        <f t="shared" si="74"/>
        <v>-10751.86</v>
      </c>
      <c r="W914" s="156">
        <f>D_Emprunts!$U914-D_Emprunts!$V914</f>
        <v>11616.27</v>
      </c>
      <c r="X914" s="157">
        <f>X913-D_Emprunts!$W914</f>
        <v>-3656251.1099999985</v>
      </c>
      <c r="Y914">
        <v>907</v>
      </c>
      <c r="Z914" t="str">
        <f t="shared" si="72"/>
        <v>Investissement</v>
      </c>
      <c r="AA914" t="str">
        <f t="shared" si="73"/>
        <v>travaux magasin</v>
      </c>
    </row>
    <row r="915" spans="20:27" x14ac:dyDescent="0.25">
      <c r="T915" s="158">
        <f t="shared" si="70"/>
        <v>71563</v>
      </c>
      <c r="U915" s="164">
        <f t="shared" si="71"/>
        <v>864.41</v>
      </c>
      <c r="V915" s="159">
        <f t="shared" si="74"/>
        <v>-10786.13</v>
      </c>
      <c r="W915" s="159">
        <f>D_Emprunts!$U915-D_Emprunts!$V915</f>
        <v>11650.539999999999</v>
      </c>
      <c r="X915" s="160">
        <f>X914-D_Emprunts!$W915</f>
        <v>-3667901.6499999985</v>
      </c>
      <c r="Y915">
        <v>908</v>
      </c>
      <c r="Z915" t="str">
        <f t="shared" si="72"/>
        <v>Investissement</v>
      </c>
      <c r="AA915" t="str">
        <f t="shared" si="73"/>
        <v>travaux magasin</v>
      </c>
    </row>
    <row r="916" spans="20:27" x14ac:dyDescent="0.25">
      <c r="T916" s="155">
        <f t="shared" si="70"/>
        <v>71594</v>
      </c>
      <c r="U916" s="164">
        <f t="shared" si="71"/>
        <v>864.41</v>
      </c>
      <c r="V916" s="159">
        <f t="shared" si="74"/>
        <v>-10820.5</v>
      </c>
      <c r="W916" s="156">
        <f>D_Emprunts!$U916-D_Emprunts!$V916</f>
        <v>11684.91</v>
      </c>
      <c r="X916" s="157">
        <f>X915-D_Emprunts!$W916</f>
        <v>-3679586.5599999987</v>
      </c>
      <c r="Y916">
        <v>909</v>
      </c>
      <c r="Z916" t="str">
        <f t="shared" si="72"/>
        <v>Investissement</v>
      </c>
      <c r="AA916" t="str">
        <f t="shared" si="73"/>
        <v>travaux magasin</v>
      </c>
    </row>
    <row r="917" spans="20:27" x14ac:dyDescent="0.25">
      <c r="T917" s="158">
        <f t="shared" si="70"/>
        <v>71625</v>
      </c>
      <c r="U917" s="164">
        <f t="shared" si="71"/>
        <v>864.41</v>
      </c>
      <c r="V917" s="159">
        <f t="shared" si="74"/>
        <v>-10854.97</v>
      </c>
      <c r="W917" s="159">
        <f>D_Emprunts!$U917-D_Emprunts!$V917</f>
        <v>11719.38</v>
      </c>
      <c r="X917" s="160">
        <f>X916-D_Emprunts!$W917</f>
        <v>-3691305.9399999985</v>
      </c>
      <c r="Y917">
        <v>910</v>
      </c>
      <c r="Z917" t="str">
        <f t="shared" si="72"/>
        <v>Investissement</v>
      </c>
      <c r="AA917" t="str">
        <f t="shared" si="73"/>
        <v>travaux magasin</v>
      </c>
    </row>
    <row r="918" spans="20:27" x14ac:dyDescent="0.25">
      <c r="T918" s="155">
        <f t="shared" si="70"/>
        <v>71654</v>
      </c>
      <c r="U918" s="164">
        <f t="shared" si="71"/>
        <v>864.41</v>
      </c>
      <c r="V918" s="159">
        <f t="shared" si="74"/>
        <v>-10889.54</v>
      </c>
      <c r="W918" s="156">
        <f>D_Emprunts!$U918-D_Emprunts!$V918</f>
        <v>11753.95</v>
      </c>
      <c r="X918" s="157">
        <f>X917-D_Emprunts!$W918</f>
        <v>-3703059.8899999987</v>
      </c>
      <c r="Y918">
        <v>911</v>
      </c>
      <c r="Z918" t="str">
        <f t="shared" si="72"/>
        <v>Investissement</v>
      </c>
      <c r="AA918" t="str">
        <f t="shared" si="73"/>
        <v>travaux magasin</v>
      </c>
    </row>
    <row r="919" spans="20:27" x14ac:dyDescent="0.25">
      <c r="T919" s="158">
        <f t="shared" si="70"/>
        <v>71685</v>
      </c>
      <c r="U919" s="164">
        <f t="shared" si="71"/>
        <v>864.41</v>
      </c>
      <c r="V919" s="159">
        <f t="shared" si="74"/>
        <v>-10924.22</v>
      </c>
      <c r="W919" s="159">
        <f>D_Emprunts!$U919-D_Emprunts!$V919</f>
        <v>11788.63</v>
      </c>
      <c r="X919" s="160">
        <f>X918-D_Emprunts!$W919</f>
        <v>-3714848.5199999986</v>
      </c>
      <c r="Y919">
        <v>912</v>
      </c>
      <c r="Z919" t="str">
        <f t="shared" si="72"/>
        <v>Investissement</v>
      </c>
      <c r="AA919" t="str">
        <f t="shared" si="73"/>
        <v>travaux magasin</v>
      </c>
    </row>
    <row r="920" spans="20:27" x14ac:dyDescent="0.25">
      <c r="T920" s="155">
        <f t="shared" si="70"/>
        <v>71715</v>
      </c>
      <c r="U920" s="164">
        <f t="shared" si="71"/>
        <v>864.41</v>
      </c>
      <c r="V920" s="159">
        <f t="shared" si="74"/>
        <v>-10958.99</v>
      </c>
      <c r="W920" s="156">
        <f>D_Emprunts!$U920-D_Emprunts!$V920</f>
        <v>11823.4</v>
      </c>
      <c r="X920" s="157">
        <f>X919-D_Emprunts!$W920</f>
        <v>-3726671.9199999985</v>
      </c>
      <c r="Y920">
        <v>913</v>
      </c>
      <c r="Z920" t="str">
        <f t="shared" si="72"/>
        <v>Investissement</v>
      </c>
      <c r="AA920" t="str">
        <f t="shared" si="73"/>
        <v>travaux magasin</v>
      </c>
    </row>
    <row r="921" spans="20:27" x14ac:dyDescent="0.25">
      <c r="T921" s="158">
        <f t="shared" si="70"/>
        <v>71746</v>
      </c>
      <c r="U921" s="164">
        <f t="shared" si="71"/>
        <v>864.41</v>
      </c>
      <c r="V921" s="159">
        <f t="shared" si="74"/>
        <v>-10993.87</v>
      </c>
      <c r="W921" s="159">
        <f>D_Emprunts!$U921-D_Emprunts!$V921</f>
        <v>11858.28</v>
      </c>
      <c r="X921" s="160">
        <f>X920-D_Emprunts!$W921</f>
        <v>-3738530.1999999983</v>
      </c>
      <c r="Y921">
        <v>914</v>
      </c>
      <c r="Z921" t="str">
        <f t="shared" si="72"/>
        <v>Investissement</v>
      </c>
      <c r="AA921" t="str">
        <f t="shared" si="73"/>
        <v>travaux magasin</v>
      </c>
    </row>
    <row r="922" spans="20:27" x14ac:dyDescent="0.25">
      <c r="T922" s="155">
        <f t="shared" si="70"/>
        <v>71776</v>
      </c>
      <c r="U922" s="164">
        <f t="shared" si="71"/>
        <v>864.41</v>
      </c>
      <c r="V922" s="159">
        <f t="shared" si="74"/>
        <v>-11028.86</v>
      </c>
      <c r="W922" s="156">
        <f>D_Emprunts!$U922-D_Emprunts!$V922</f>
        <v>11893.27</v>
      </c>
      <c r="X922" s="157">
        <f>X921-D_Emprunts!$W922</f>
        <v>-3750423.4699999983</v>
      </c>
      <c r="Y922">
        <v>915</v>
      </c>
      <c r="Z922" t="str">
        <f t="shared" si="72"/>
        <v>Investissement</v>
      </c>
      <c r="AA922" t="str">
        <f t="shared" si="73"/>
        <v>travaux magasin</v>
      </c>
    </row>
    <row r="923" spans="20:27" x14ac:dyDescent="0.25">
      <c r="T923" s="158">
        <f t="shared" si="70"/>
        <v>71807</v>
      </c>
      <c r="U923" s="164">
        <f t="shared" si="71"/>
        <v>864.41</v>
      </c>
      <c r="V923" s="159">
        <f t="shared" si="74"/>
        <v>-11063.94</v>
      </c>
      <c r="W923" s="159">
        <f>D_Emprunts!$U923-D_Emprunts!$V923</f>
        <v>11928.35</v>
      </c>
      <c r="X923" s="160">
        <f>X922-D_Emprunts!$W923</f>
        <v>-3762351.8199999984</v>
      </c>
      <c r="Y923">
        <v>916</v>
      </c>
      <c r="Z923" t="str">
        <f t="shared" si="72"/>
        <v>Investissement</v>
      </c>
      <c r="AA923" t="str">
        <f t="shared" si="73"/>
        <v>travaux magasin</v>
      </c>
    </row>
    <row r="924" spans="20:27" x14ac:dyDescent="0.25">
      <c r="T924" s="155">
        <f t="shared" si="70"/>
        <v>71838</v>
      </c>
      <c r="U924" s="164">
        <f t="shared" si="71"/>
        <v>864.41</v>
      </c>
      <c r="V924" s="159">
        <f t="shared" si="74"/>
        <v>-11099.13</v>
      </c>
      <c r="W924" s="156">
        <f>D_Emprunts!$U924-D_Emprunts!$V924</f>
        <v>11963.539999999999</v>
      </c>
      <c r="X924" s="157">
        <f>X923-D_Emprunts!$W924</f>
        <v>-3774315.3599999985</v>
      </c>
      <c r="Y924">
        <v>917</v>
      </c>
      <c r="Z924" t="str">
        <f t="shared" si="72"/>
        <v>Investissement</v>
      </c>
      <c r="AA924" t="str">
        <f t="shared" si="73"/>
        <v>travaux magasin</v>
      </c>
    </row>
    <row r="925" spans="20:27" x14ac:dyDescent="0.25">
      <c r="T925" s="158">
        <f t="shared" si="70"/>
        <v>71868</v>
      </c>
      <c r="U925" s="164">
        <f t="shared" si="71"/>
        <v>864.41</v>
      </c>
      <c r="V925" s="159">
        <f t="shared" si="74"/>
        <v>-11134.42</v>
      </c>
      <c r="W925" s="159">
        <f>D_Emprunts!$U925-D_Emprunts!$V925</f>
        <v>11998.83</v>
      </c>
      <c r="X925" s="160">
        <f>X924-D_Emprunts!$W925</f>
        <v>-3786314.1899999985</v>
      </c>
      <c r="Y925">
        <v>918</v>
      </c>
      <c r="Z925" t="str">
        <f t="shared" si="72"/>
        <v>Investissement</v>
      </c>
      <c r="AA925" t="str">
        <f t="shared" si="73"/>
        <v>travaux magasin</v>
      </c>
    </row>
    <row r="926" spans="20:27" x14ac:dyDescent="0.25">
      <c r="T926" s="155">
        <f t="shared" si="70"/>
        <v>71899</v>
      </c>
      <c r="U926" s="164">
        <f t="shared" si="71"/>
        <v>864.41</v>
      </c>
      <c r="V926" s="159">
        <f t="shared" si="74"/>
        <v>-11169.82</v>
      </c>
      <c r="W926" s="156">
        <f>D_Emprunts!$U926-D_Emprunts!$V926</f>
        <v>12034.23</v>
      </c>
      <c r="X926" s="157">
        <f>X925-D_Emprunts!$W926</f>
        <v>-3798348.4199999985</v>
      </c>
      <c r="Y926">
        <v>919</v>
      </c>
      <c r="Z926" t="str">
        <f t="shared" si="72"/>
        <v>Investissement</v>
      </c>
      <c r="AA926" t="str">
        <f t="shared" si="73"/>
        <v>travaux magasin</v>
      </c>
    </row>
    <row r="927" spans="20:27" x14ac:dyDescent="0.25">
      <c r="T927" s="158">
        <f t="shared" si="70"/>
        <v>71929</v>
      </c>
      <c r="U927" s="164">
        <f t="shared" si="71"/>
        <v>864.41</v>
      </c>
      <c r="V927" s="159">
        <f t="shared" si="74"/>
        <v>-11205.32</v>
      </c>
      <c r="W927" s="159">
        <f>D_Emprunts!$U927-D_Emprunts!$V927</f>
        <v>12069.73</v>
      </c>
      <c r="X927" s="160">
        <f>X926-D_Emprunts!$W927</f>
        <v>-3810418.1499999985</v>
      </c>
      <c r="Y927">
        <v>920</v>
      </c>
      <c r="Z927" t="str">
        <f t="shared" si="72"/>
        <v>Investissement</v>
      </c>
      <c r="AA927" t="str">
        <f t="shared" si="73"/>
        <v>travaux magasin</v>
      </c>
    </row>
    <row r="928" spans="20:27" x14ac:dyDescent="0.25">
      <c r="T928" s="155">
        <f t="shared" si="70"/>
        <v>71960</v>
      </c>
      <c r="U928" s="164">
        <f t="shared" si="71"/>
        <v>864.41</v>
      </c>
      <c r="V928" s="159">
        <f t="shared" si="74"/>
        <v>-11240.93</v>
      </c>
      <c r="W928" s="156">
        <f>D_Emprunts!$U928-D_Emprunts!$V928</f>
        <v>12105.34</v>
      </c>
      <c r="X928" s="157">
        <f>X927-D_Emprunts!$W928</f>
        <v>-3822523.4899999984</v>
      </c>
      <c r="Y928">
        <v>921</v>
      </c>
      <c r="Z928" t="str">
        <f t="shared" si="72"/>
        <v>Investissement</v>
      </c>
      <c r="AA928" t="str">
        <f t="shared" si="73"/>
        <v>travaux magasin</v>
      </c>
    </row>
    <row r="929" spans="20:27" x14ac:dyDescent="0.25">
      <c r="T929" s="158">
        <f t="shared" si="70"/>
        <v>71991</v>
      </c>
      <c r="U929" s="164">
        <f t="shared" si="71"/>
        <v>864.41</v>
      </c>
      <c r="V929" s="159">
        <f t="shared" si="74"/>
        <v>-11276.64</v>
      </c>
      <c r="W929" s="159">
        <f>D_Emprunts!$U929-D_Emprunts!$V929</f>
        <v>12141.05</v>
      </c>
      <c r="X929" s="160">
        <f>X928-D_Emprunts!$W929</f>
        <v>-3834664.5399999982</v>
      </c>
      <c r="Y929">
        <v>922</v>
      </c>
      <c r="Z929" t="str">
        <f t="shared" si="72"/>
        <v>Investissement</v>
      </c>
      <c r="AA929" t="str">
        <f t="shared" si="73"/>
        <v>travaux magasin</v>
      </c>
    </row>
    <row r="930" spans="20:27" x14ac:dyDescent="0.25">
      <c r="T930" s="155">
        <f t="shared" si="70"/>
        <v>72019</v>
      </c>
      <c r="U930" s="164">
        <f t="shared" si="71"/>
        <v>864.41</v>
      </c>
      <c r="V930" s="159">
        <f t="shared" si="74"/>
        <v>-11312.46</v>
      </c>
      <c r="W930" s="156">
        <f>D_Emprunts!$U930-D_Emprunts!$V930</f>
        <v>12176.869999999999</v>
      </c>
      <c r="X930" s="157">
        <f>X929-D_Emprunts!$W930</f>
        <v>-3846841.4099999983</v>
      </c>
      <c r="Y930">
        <v>923</v>
      </c>
      <c r="Z930" t="str">
        <f t="shared" si="72"/>
        <v>Investissement</v>
      </c>
      <c r="AA930" t="str">
        <f t="shared" si="73"/>
        <v>travaux magasin</v>
      </c>
    </row>
    <row r="931" spans="20:27" x14ac:dyDescent="0.25">
      <c r="T931" s="158">
        <f t="shared" si="70"/>
        <v>72050</v>
      </c>
      <c r="U931" s="164">
        <f t="shared" si="71"/>
        <v>864.41</v>
      </c>
      <c r="V931" s="159">
        <f t="shared" si="74"/>
        <v>-11348.38</v>
      </c>
      <c r="W931" s="159">
        <f>D_Emprunts!$U931-D_Emprunts!$V931</f>
        <v>12212.789999999999</v>
      </c>
      <c r="X931" s="160">
        <f>X930-D_Emprunts!$W931</f>
        <v>-3859054.1999999983</v>
      </c>
      <c r="Y931">
        <v>924</v>
      </c>
      <c r="Z931" t="str">
        <f t="shared" si="72"/>
        <v>Investissement</v>
      </c>
      <c r="AA931" t="str">
        <f t="shared" si="73"/>
        <v>travaux magasin</v>
      </c>
    </row>
    <row r="932" spans="20:27" x14ac:dyDescent="0.25">
      <c r="T932" s="155">
        <f t="shared" si="70"/>
        <v>72080</v>
      </c>
      <c r="U932" s="164">
        <f t="shared" si="71"/>
        <v>864.41</v>
      </c>
      <c r="V932" s="159">
        <f t="shared" si="74"/>
        <v>-11384.41</v>
      </c>
      <c r="W932" s="156">
        <f>D_Emprunts!$U932-D_Emprunts!$V932</f>
        <v>12248.82</v>
      </c>
      <c r="X932" s="157">
        <f>X931-D_Emprunts!$W932</f>
        <v>-3871303.0199999982</v>
      </c>
      <c r="Y932">
        <v>925</v>
      </c>
      <c r="Z932" t="str">
        <f t="shared" si="72"/>
        <v>Investissement</v>
      </c>
      <c r="AA932" t="str">
        <f t="shared" si="73"/>
        <v>travaux magasin</v>
      </c>
    </row>
    <row r="933" spans="20:27" x14ac:dyDescent="0.25">
      <c r="T933" s="158">
        <f t="shared" si="70"/>
        <v>72111</v>
      </c>
      <c r="U933" s="164">
        <f t="shared" si="71"/>
        <v>864.41</v>
      </c>
      <c r="V933" s="159">
        <f t="shared" si="74"/>
        <v>-11420.54</v>
      </c>
      <c r="W933" s="159">
        <f>D_Emprunts!$U933-D_Emprunts!$V933</f>
        <v>12284.95</v>
      </c>
      <c r="X933" s="160">
        <f>X932-D_Emprunts!$W933</f>
        <v>-3883587.9699999983</v>
      </c>
      <c r="Y933">
        <v>926</v>
      </c>
      <c r="Z933" t="str">
        <f t="shared" si="72"/>
        <v>Investissement</v>
      </c>
      <c r="AA933" t="str">
        <f t="shared" si="73"/>
        <v>travaux magasin</v>
      </c>
    </row>
    <row r="934" spans="20:27" x14ac:dyDescent="0.25">
      <c r="T934" s="155">
        <f t="shared" si="70"/>
        <v>72141</v>
      </c>
      <c r="U934" s="164">
        <f t="shared" si="71"/>
        <v>864.41</v>
      </c>
      <c r="V934" s="159">
        <f t="shared" si="74"/>
        <v>-11456.78</v>
      </c>
      <c r="W934" s="156">
        <f>D_Emprunts!$U934-D_Emprunts!$V934</f>
        <v>12321.19</v>
      </c>
      <c r="X934" s="157">
        <f>X933-D_Emprunts!$W934</f>
        <v>-3895909.1599999983</v>
      </c>
      <c r="Y934">
        <v>927</v>
      </c>
      <c r="Z934" t="str">
        <f t="shared" si="72"/>
        <v>Investissement</v>
      </c>
      <c r="AA934" t="str">
        <f t="shared" si="73"/>
        <v>travaux magasin</v>
      </c>
    </row>
    <row r="935" spans="20:27" x14ac:dyDescent="0.25">
      <c r="T935" s="158">
        <f t="shared" si="70"/>
        <v>72172</v>
      </c>
      <c r="U935" s="164">
        <f t="shared" si="71"/>
        <v>864.41</v>
      </c>
      <c r="V935" s="159">
        <f t="shared" si="74"/>
        <v>-11493.13</v>
      </c>
      <c r="W935" s="159">
        <f>D_Emprunts!$U935-D_Emprunts!$V935</f>
        <v>12357.539999999999</v>
      </c>
      <c r="X935" s="160">
        <f>X934-D_Emprunts!$W935</f>
        <v>-3908266.6999999983</v>
      </c>
      <c r="Y935">
        <v>928</v>
      </c>
      <c r="Z935" t="str">
        <f t="shared" si="72"/>
        <v>Investissement</v>
      </c>
      <c r="AA935" t="str">
        <f t="shared" si="73"/>
        <v>travaux magasin</v>
      </c>
    </row>
    <row r="936" spans="20:27" x14ac:dyDescent="0.25">
      <c r="T936" s="155">
        <f t="shared" si="70"/>
        <v>72203</v>
      </c>
      <c r="U936" s="164">
        <f t="shared" si="71"/>
        <v>864.41</v>
      </c>
      <c r="V936" s="159">
        <f t="shared" si="74"/>
        <v>-11529.59</v>
      </c>
      <c r="W936" s="156">
        <f>D_Emprunts!$U936-D_Emprunts!$V936</f>
        <v>12394</v>
      </c>
      <c r="X936" s="157">
        <f>X935-D_Emprunts!$W936</f>
        <v>-3920660.6999999983</v>
      </c>
      <c r="Y936">
        <v>929</v>
      </c>
      <c r="Z936" t="str">
        <f t="shared" si="72"/>
        <v>Investissement</v>
      </c>
      <c r="AA936" t="str">
        <f t="shared" si="73"/>
        <v>travaux magasin</v>
      </c>
    </row>
    <row r="937" spans="20:27" x14ac:dyDescent="0.25">
      <c r="T937" s="158">
        <f t="shared" si="70"/>
        <v>72233</v>
      </c>
      <c r="U937" s="164">
        <f t="shared" si="71"/>
        <v>864.41</v>
      </c>
      <c r="V937" s="159">
        <f t="shared" si="74"/>
        <v>-11566.15</v>
      </c>
      <c r="W937" s="159">
        <f>D_Emprunts!$U937-D_Emprunts!$V937</f>
        <v>12430.56</v>
      </c>
      <c r="X937" s="160">
        <f>X936-D_Emprunts!$W937</f>
        <v>-3933091.2599999984</v>
      </c>
      <c r="Y937">
        <v>930</v>
      </c>
      <c r="Z937" t="str">
        <f t="shared" si="72"/>
        <v>Investissement</v>
      </c>
      <c r="AA937" t="str">
        <f t="shared" si="73"/>
        <v>travaux magasin</v>
      </c>
    </row>
    <row r="938" spans="20:27" x14ac:dyDescent="0.25">
      <c r="T938" s="155">
        <f t="shared" si="70"/>
        <v>72264</v>
      </c>
      <c r="U938" s="164">
        <f t="shared" si="71"/>
        <v>864.41</v>
      </c>
      <c r="V938" s="159">
        <f t="shared" si="74"/>
        <v>-11602.82</v>
      </c>
      <c r="W938" s="156">
        <f>D_Emprunts!$U938-D_Emprunts!$V938</f>
        <v>12467.23</v>
      </c>
      <c r="X938" s="157">
        <f>X937-D_Emprunts!$W938</f>
        <v>-3945558.4899999984</v>
      </c>
      <c r="Y938">
        <v>931</v>
      </c>
      <c r="Z938" t="str">
        <f t="shared" si="72"/>
        <v>Investissement</v>
      </c>
      <c r="AA938" t="str">
        <f t="shared" si="73"/>
        <v>travaux magasin</v>
      </c>
    </row>
    <row r="939" spans="20:27" x14ac:dyDescent="0.25">
      <c r="T939" s="158">
        <f t="shared" si="70"/>
        <v>72294</v>
      </c>
      <c r="U939" s="164">
        <f t="shared" si="71"/>
        <v>864.41</v>
      </c>
      <c r="V939" s="159">
        <f t="shared" si="74"/>
        <v>-11639.6</v>
      </c>
      <c r="W939" s="159">
        <f>D_Emprunts!$U939-D_Emprunts!$V939</f>
        <v>12504.01</v>
      </c>
      <c r="X939" s="160">
        <f>X938-D_Emprunts!$W939</f>
        <v>-3958062.4999999981</v>
      </c>
      <c r="Y939">
        <v>932</v>
      </c>
      <c r="Z939" t="str">
        <f t="shared" si="72"/>
        <v>Investissement</v>
      </c>
      <c r="AA939" t="str">
        <f t="shared" si="73"/>
        <v>travaux magasin</v>
      </c>
    </row>
    <row r="940" spans="20:27" x14ac:dyDescent="0.25">
      <c r="T940" s="155">
        <f t="shared" si="70"/>
        <v>72325</v>
      </c>
      <c r="U940" s="164">
        <f t="shared" si="71"/>
        <v>864.41</v>
      </c>
      <c r="V940" s="159">
        <f t="shared" si="74"/>
        <v>-11676.49</v>
      </c>
      <c r="W940" s="156">
        <f>D_Emprunts!$U940-D_Emprunts!$V940</f>
        <v>12540.9</v>
      </c>
      <c r="X940" s="157">
        <f>X939-D_Emprunts!$W940</f>
        <v>-3970603.399999998</v>
      </c>
      <c r="Y940">
        <v>933</v>
      </c>
      <c r="Z940" t="str">
        <f t="shared" si="72"/>
        <v>Investissement</v>
      </c>
      <c r="AA940" t="str">
        <f t="shared" si="73"/>
        <v>travaux magasin</v>
      </c>
    </row>
    <row r="941" spans="20:27" x14ac:dyDescent="0.25">
      <c r="T941" s="158">
        <f t="shared" si="70"/>
        <v>72356</v>
      </c>
      <c r="U941" s="164">
        <f t="shared" si="71"/>
        <v>864.41</v>
      </c>
      <c r="V941" s="159">
        <f t="shared" si="74"/>
        <v>-11713.48</v>
      </c>
      <c r="W941" s="159">
        <f>D_Emprunts!$U941-D_Emprunts!$V941</f>
        <v>12577.89</v>
      </c>
      <c r="X941" s="160">
        <f>X940-D_Emprunts!$W941</f>
        <v>-3983181.2899999982</v>
      </c>
      <c r="Y941">
        <v>934</v>
      </c>
      <c r="Z941" t="str">
        <f t="shared" si="72"/>
        <v>Investissement</v>
      </c>
      <c r="AA941" t="str">
        <f t="shared" si="73"/>
        <v>travaux magasin</v>
      </c>
    </row>
    <row r="942" spans="20:27" x14ac:dyDescent="0.25">
      <c r="T942" s="155">
        <f t="shared" si="70"/>
        <v>72384</v>
      </c>
      <c r="U942" s="164">
        <f t="shared" si="71"/>
        <v>864.41</v>
      </c>
      <c r="V942" s="159">
        <f t="shared" si="74"/>
        <v>-11750.59</v>
      </c>
      <c r="W942" s="156">
        <f>D_Emprunts!$U942-D_Emprunts!$V942</f>
        <v>12615</v>
      </c>
      <c r="X942" s="157">
        <f>X941-D_Emprunts!$W942</f>
        <v>-3995796.2899999982</v>
      </c>
      <c r="Y942">
        <v>935</v>
      </c>
      <c r="Z942" t="str">
        <f t="shared" si="72"/>
        <v>Investissement</v>
      </c>
      <c r="AA942" t="str">
        <f t="shared" si="73"/>
        <v>travaux magasin</v>
      </c>
    </row>
    <row r="943" spans="20:27" x14ac:dyDescent="0.25">
      <c r="T943" s="158">
        <f t="shared" si="70"/>
        <v>72415</v>
      </c>
      <c r="U943" s="164">
        <f t="shared" si="71"/>
        <v>864.41</v>
      </c>
      <c r="V943" s="159">
        <f t="shared" si="74"/>
        <v>-11787.8</v>
      </c>
      <c r="W943" s="159">
        <f>D_Emprunts!$U943-D_Emprunts!$V943</f>
        <v>12652.21</v>
      </c>
      <c r="X943" s="160">
        <f>X942-D_Emprunts!$W943</f>
        <v>-4008448.4999999981</v>
      </c>
      <c r="Y943">
        <v>936</v>
      </c>
      <c r="Z943" t="str">
        <f t="shared" si="72"/>
        <v>Investissement</v>
      </c>
      <c r="AA943" t="str">
        <f t="shared" si="73"/>
        <v>travaux magasin</v>
      </c>
    </row>
    <row r="944" spans="20:27" x14ac:dyDescent="0.25">
      <c r="T944" s="155">
        <f t="shared" si="70"/>
        <v>72445</v>
      </c>
      <c r="U944" s="164">
        <f t="shared" si="71"/>
        <v>864.41</v>
      </c>
      <c r="V944" s="159">
        <f t="shared" si="74"/>
        <v>-11825.13</v>
      </c>
      <c r="W944" s="156">
        <f>D_Emprunts!$U944-D_Emprunts!$V944</f>
        <v>12689.539999999999</v>
      </c>
      <c r="X944" s="157">
        <f>X943-D_Emprunts!$W944</f>
        <v>-4021138.0399999982</v>
      </c>
      <c r="Y944">
        <v>937</v>
      </c>
      <c r="Z944" t="str">
        <f t="shared" si="72"/>
        <v>Investissement</v>
      </c>
      <c r="AA944" t="str">
        <f t="shared" si="73"/>
        <v>travaux magasin</v>
      </c>
    </row>
    <row r="945" spans="20:27" x14ac:dyDescent="0.25">
      <c r="T945" s="158">
        <f t="shared" si="70"/>
        <v>72476</v>
      </c>
      <c r="U945" s="164">
        <f t="shared" si="71"/>
        <v>864.41</v>
      </c>
      <c r="V945" s="159">
        <f t="shared" si="74"/>
        <v>-11862.56</v>
      </c>
      <c r="W945" s="159">
        <f>D_Emprunts!$U945-D_Emprunts!$V945</f>
        <v>12726.97</v>
      </c>
      <c r="X945" s="160">
        <f>X944-D_Emprunts!$W945</f>
        <v>-4033865.0099999984</v>
      </c>
      <c r="Y945">
        <v>938</v>
      </c>
      <c r="Z945" t="str">
        <f t="shared" si="72"/>
        <v>Investissement</v>
      </c>
      <c r="AA945" t="str">
        <f t="shared" si="73"/>
        <v>travaux magasin</v>
      </c>
    </row>
    <row r="946" spans="20:27" x14ac:dyDescent="0.25">
      <c r="T946" s="155">
        <f t="shared" si="70"/>
        <v>72506</v>
      </c>
      <c r="U946" s="164">
        <f t="shared" si="71"/>
        <v>864.41</v>
      </c>
      <c r="V946" s="159">
        <f t="shared" si="74"/>
        <v>-11900.11</v>
      </c>
      <c r="W946" s="156">
        <f>D_Emprunts!$U946-D_Emprunts!$V946</f>
        <v>12764.52</v>
      </c>
      <c r="X946" s="157">
        <f>X945-D_Emprunts!$W946</f>
        <v>-4046629.5299999984</v>
      </c>
      <c r="Y946">
        <v>939</v>
      </c>
      <c r="Z946" t="str">
        <f t="shared" si="72"/>
        <v>Investissement</v>
      </c>
      <c r="AA946" t="str">
        <f t="shared" si="73"/>
        <v>travaux magasin</v>
      </c>
    </row>
    <row r="947" spans="20:27" x14ac:dyDescent="0.25">
      <c r="T947" s="158">
        <f t="shared" si="70"/>
        <v>72537</v>
      </c>
      <c r="U947" s="164">
        <f t="shared" si="71"/>
        <v>864.41</v>
      </c>
      <c r="V947" s="159">
        <f t="shared" si="74"/>
        <v>-11937.76</v>
      </c>
      <c r="W947" s="159">
        <f>D_Emprunts!$U947-D_Emprunts!$V947</f>
        <v>12802.17</v>
      </c>
      <c r="X947" s="160">
        <f>X946-D_Emprunts!$W947</f>
        <v>-4059431.6999999983</v>
      </c>
      <c r="Y947">
        <v>940</v>
      </c>
      <c r="Z947" t="str">
        <f t="shared" si="72"/>
        <v>Investissement</v>
      </c>
      <c r="AA947" t="str">
        <f t="shared" si="73"/>
        <v>travaux magasin</v>
      </c>
    </row>
    <row r="948" spans="20:27" x14ac:dyDescent="0.25">
      <c r="T948" s="155">
        <f t="shared" si="70"/>
        <v>72568</v>
      </c>
      <c r="U948" s="164">
        <f t="shared" si="71"/>
        <v>864.41</v>
      </c>
      <c r="V948" s="159">
        <f t="shared" si="74"/>
        <v>-11975.53</v>
      </c>
      <c r="W948" s="156">
        <f>D_Emprunts!$U948-D_Emprunts!$V948</f>
        <v>12839.94</v>
      </c>
      <c r="X948" s="157">
        <f>X947-D_Emprunts!$W948</f>
        <v>-4072271.6399999983</v>
      </c>
      <c r="Y948">
        <v>941</v>
      </c>
      <c r="Z948" t="str">
        <f t="shared" si="72"/>
        <v>Investissement</v>
      </c>
      <c r="AA948" t="str">
        <f t="shared" si="73"/>
        <v>travaux magasin</v>
      </c>
    </row>
    <row r="949" spans="20:27" x14ac:dyDescent="0.25">
      <c r="T949" s="158">
        <f t="shared" si="70"/>
        <v>72598</v>
      </c>
      <c r="U949" s="164">
        <f t="shared" si="71"/>
        <v>864.41</v>
      </c>
      <c r="V949" s="159">
        <f t="shared" si="74"/>
        <v>-12013.41</v>
      </c>
      <c r="W949" s="159">
        <f>D_Emprunts!$U949-D_Emprunts!$V949</f>
        <v>12877.82</v>
      </c>
      <c r="X949" s="160">
        <f>X948-D_Emprunts!$W949</f>
        <v>-4085149.4599999981</v>
      </c>
      <c r="Y949">
        <v>942</v>
      </c>
      <c r="Z949" t="str">
        <f t="shared" si="72"/>
        <v>Investissement</v>
      </c>
      <c r="AA949" t="str">
        <f t="shared" si="73"/>
        <v>travaux magasin</v>
      </c>
    </row>
    <row r="950" spans="20:27" x14ac:dyDescent="0.25">
      <c r="T950" s="155">
        <f t="shared" si="70"/>
        <v>72629</v>
      </c>
      <c r="U950" s="164">
        <f t="shared" si="71"/>
        <v>864.41</v>
      </c>
      <c r="V950" s="159">
        <f t="shared" si="74"/>
        <v>-12051.4</v>
      </c>
      <c r="W950" s="156">
        <f>D_Emprunts!$U950-D_Emprunts!$V950</f>
        <v>12915.81</v>
      </c>
      <c r="X950" s="157">
        <f>X949-D_Emprunts!$W950</f>
        <v>-4098065.2699999982</v>
      </c>
      <c r="Y950">
        <v>943</v>
      </c>
      <c r="Z950" t="str">
        <f t="shared" si="72"/>
        <v>Investissement</v>
      </c>
      <c r="AA950" t="str">
        <f t="shared" si="73"/>
        <v>travaux magasin</v>
      </c>
    </row>
    <row r="951" spans="20:27" x14ac:dyDescent="0.25">
      <c r="T951" s="158">
        <f t="shared" si="70"/>
        <v>72659</v>
      </c>
      <c r="U951" s="164">
        <f t="shared" si="71"/>
        <v>864.41</v>
      </c>
      <c r="V951" s="159">
        <f t="shared" si="74"/>
        <v>-12089.5</v>
      </c>
      <c r="W951" s="159">
        <f>D_Emprunts!$U951-D_Emprunts!$V951</f>
        <v>12953.91</v>
      </c>
      <c r="X951" s="160">
        <f>X950-D_Emprunts!$W951</f>
        <v>-4111019.1799999983</v>
      </c>
      <c r="Y951">
        <v>944</v>
      </c>
      <c r="Z951" t="str">
        <f t="shared" si="72"/>
        <v>Investissement</v>
      </c>
      <c r="AA951" t="str">
        <f t="shared" si="73"/>
        <v>travaux magasin</v>
      </c>
    </row>
    <row r="952" spans="20:27" x14ac:dyDescent="0.25">
      <c r="T952" s="155">
        <f t="shared" si="70"/>
        <v>72690</v>
      </c>
      <c r="U952" s="164">
        <f t="shared" si="71"/>
        <v>864.41</v>
      </c>
      <c r="V952" s="159">
        <f t="shared" si="74"/>
        <v>-12127.72</v>
      </c>
      <c r="W952" s="156">
        <f>D_Emprunts!$U952-D_Emprunts!$V952</f>
        <v>12992.13</v>
      </c>
      <c r="X952" s="157">
        <f>X951-D_Emprunts!$W952</f>
        <v>-4124011.3099999982</v>
      </c>
      <c r="Y952">
        <v>945</v>
      </c>
      <c r="Z952" t="str">
        <f t="shared" si="72"/>
        <v>Investissement</v>
      </c>
      <c r="AA952" t="str">
        <f t="shared" si="73"/>
        <v>travaux magasin</v>
      </c>
    </row>
    <row r="953" spans="20:27" x14ac:dyDescent="0.25">
      <c r="T953" s="158">
        <f t="shared" si="70"/>
        <v>72721</v>
      </c>
      <c r="U953" s="164">
        <f t="shared" si="71"/>
        <v>864.41</v>
      </c>
      <c r="V953" s="159">
        <f t="shared" si="74"/>
        <v>-12166.04</v>
      </c>
      <c r="W953" s="159">
        <f>D_Emprunts!$U953-D_Emprunts!$V953</f>
        <v>13030.45</v>
      </c>
      <c r="X953" s="160">
        <f>X952-D_Emprunts!$W953</f>
        <v>-4137041.7599999984</v>
      </c>
      <c r="Y953">
        <v>946</v>
      </c>
      <c r="Z953" t="str">
        <f t="shared" si="72"/>
        <v>Investissement</v>
      </c>
      <c r="AA953" t="str">
        <f t="shared" si="73"/>
        <v>travaux magasin</v>
      </c>
    </row>
    <row r="954" spans="20:27" x14ac:dyDescent="0.25">
      <c r="T954" s="155">
        <f t="shared" si="70"/>
        <v>72749</v>
      </c>
      <c r="U954" s="164">
        <f t="shared" si="71"/>
        <v>864.41</v>
      </c>
      <c r="V954" s="159">
        <f t="shared" si="74"/>
        <v>-12204.48</v>
      </c>
      <c r="W954" s="156">
        <f>D_Emprunts!$U954-D_Emprunts!$V954</f>
        <v>13068.89</v>
      </c>
      <c r="X954" s="157">
        <f>X953-D_Emprunts!$W954</f>
        <v>-4150110.6499999985</v>
      </c>
      <c r="Y954">
        <v>947</v>
      </c>
      <c r="Z954" t="str">
        <f t="shared" si="72"/>
        <v>Investissement</v>
      </c>
      <c r="AA954" t="str">
        <f t="shared" si="73"/>
        <v>travaux magasin</v>
      </c>
    </row>
    <row r="955" spans="20:27" x14ac:dyDescent="0.25">
      <c r="T955" s="158">
        <f t="shared" si="70"/>
        <v>72780</v>
      </c>
      <c r="U955" s="164">
        <f t="shared" si="71"/>
        <v>864.41</v>
      </c>
      <c r="V955" s="159">
        <f t="shared" si="74"/>
        <v>-12243.04</v>
      </c>
      <c r="W955" s="159">
        <f>D_Emprunts!$U955-D_Emprunts!$V955</f>
        <v>13107.45</v>
      </c>
      <c r="X955" s="160">
        <f>X954-D_Emprunts!$W955</f>
        <v>-4163218.0999999987</v>
      </c>
      <c r="Y955">
        <v>948</v>
      </c>
      <c r="Z955" t="str">
        <f t="shared" si="72"/>
        <v>Investissement</v>
      </c>
      <c r="AA955" t="str">
        <f t="shared" si="73"/>
        <v>travaux magasin</v>
      </c>
    </row>
    <row r="956" spans="20:27" x14ac:dyDescent="0.25">
      <c r="T956" s="155">
        <f t="shared" si="70"/>
        <v>72810</v>
      </c>
      <c r="U956" s="164">
        <f t="shared" si="71"/>
        <v>864.41</v>
      </c>
      <c r="V956" s="159">
        <f t="shared" si="74"/>
        <v>-12281.71</v>
      </c>
      <c r="W956" s="156">
        <f>D_Emprunts!$U956-D_Emprunts!$V956</f>
        <v>13146.119999999999</v>
      </c>
      <c r="X956" s="157">
        <f>X955-D_Emprunts!$W956</f>
        <v>-4176364.2199999988</v>
      </c>
      <c r="Y956">
        <v>949</v>
      </c>
      <c r="Z956" t="str">
        <f t="shared" si="72"/>
        <v>Investissement</v>
      </c>
      <c r="AA956" t="str">
        <f t="shared" si="73"/>
        <v>travaux magasin</v>
      </c>
    </row>
    <row r="957" spans="20:27" x14ac:dyDescent="0.25">
      <c r="T957" s="158">
        <f t="shared" si="70"/>
        <v>72841</v>
      </c>
      <c r="U957" s="164">
        <f t="shared" si="71"/>
        <v>864.41</v>
      </c>
      <c r="V957" s="159">
        <f t="shared" si="74"/>
        <v>-12320.49</v>
      </c>
      <c r="W957" s="159">
        <f>D_Emprunts!$U957-D_Emprunts!$V957</f>
        <v>13184.9</v>
      </c>
      <c r="X957" s="160">
        <f>X956-D_Emprunts!$W957</f>
        <v>-4189549.1199999987</v>
      </c>
      <c r="Y957">
        <v>950</v>
      </c>
      <c r="Z957" t="str">
        <f t="shared" si="72"/>
        <v>Investissement</v>
      </c>
      <c r="AA957" t="str">
        <f t="shared" si="73"/>
        <v>travaux magasin</v>
      </c>
    </row>
    <row r="958" spans="20:27" x14ac:dyDescent="0.25">
      <c r="T958" s="155">
        <f t="shared" si="70"/>
        <v>72871</v>
      </c>
      <c r="U958" s="164">
        <f t="shared" si="71"/>
        <v>864.41</v>
      </c>
      <c r="V958" s="159">
        <f t="shared" si="74"/>
        <v>-12359.38</v>
      </c>
      <c r="W958" s="156">
        <f>D_Emprunts!$U958-D_Emprunts!$V958</f>
        <v>13223.789999999999</v>
      </c>
      <c r="X958" s="157">
        <f>X957-D_Emprunts!$W958</f>
        <v>-4202772.9099999983</v>
      </c>
      <c r="Y958">
        <v>951</v>
      </c>
      <c r="Z958" t="str">
        <f t="shared" si="72"/>
        <v>Investissement</v>
      </c>
      <c r="AA958" t="str">
        <f t="shared" si="73"/>
        <v>travaux magasin</v>
      </c>
    </row>
    <row r="959" spans="20:27" x14ac:dyDescent="0.25">
      <c r="T959" s="158">
        <f t="shared" si="70"/>
        <v>72902</v>
      </c>
      <c r="U959" s="164">
        <f t="shared" si="71"/>
        <v>864.41</v>
      </c>
      <c r="V959" s="159">
        <f t="shared" si="74"/>
        <v>-12398.4</v>
      </c>
      <c r="W959" s="159">
        <f>D_Emprunts!$U959-D_Emprunts!$V959</f>
        <v>13262.81</v>
      </c>
      <c r="X959" s="160">
        <f>X958-D_Emprunts!$W959</f>
        <v>-4216035.7199999979</v>
      </c>
      <c r="Y959">
        <v>952</v>
      </c>
      <c r="Z959" t="str">
        <f t="shared" si="72"/>
        <v>Investissement</v>
      </c>
      <c r="AA959" t="str">
        <f t="shared" si="73"/>
        <v>travaux magasin</v>
      </c>
    </row>
    <row r="960" spans="20:27" x14ac:dyDescent="0.25">
      <c r="T960" s="155">
        <f t="shared" si="70"/>
        <v>72933</v>
      </c>
      <c r="U960" s="164">
        <f t="shared" si="71"/>
        <v>864.41</v>
      </c>
      <c r="V960" s="159">
        <f t="shared" si="74"/>
        <v>-12437.52</v>
      </c>
      <c r="W960" s="156">
        <f>D_Emprunts!$U960-D_Emprunts!$V960</f>
        <v>13301.93</v>
      </c>
      <c r="X960" s="157">
        <f>X959-D_Emprunts!$W960</f>
        <v>-4229337.6499999976</v>
      </c>
      <c r="Y960">
        <v>953</v>
      </c>
      <c r="Z960" t="str">
        <f t="shared" si="72"/>
        <v>Investissement</v>
      </c>
      <c r="AA960" t="str">
        <f t="shared" si="73"/>
        <v>travaux magasin</v>
      </c>
    </row>
    <row r="961" spans="20:27" x14ac:dyDescent="0.25">
      <c r="T961" s="158">
        <f t="shared" si="70"/>
        <v>72963</v>
      </c>
      <c r="U961" s="164">
        <f t="shared" si="71"/>
        <v>864.41</v>
      </c>
      <c r="V961" s="159">
        <f t="shared" si="74"/>
        <v>-12476.76</v>
      </c>
      <c r="W961" s="159">
        <f>D_Emprunts!$U961-D_Emprunts!$V961</f>
        <v>13341.17</v>
      </c>
      <c r="X961" s="160">
        <f>X960-D_Emprunts!$W961</f>
        <v>-4242678.8199999975</v>
      </c>
      <c r="Y961">
        <v>954</v>
      </c>
      <c r="Z961" t="str">
        <f t="shared" si="72"/>
        <v>Investissement</v>
      </c>
      <c r="AA961" t="str">
        <f t="shared" si="73"/>
        <v>travaux magasin</v>
      </c>
    </row>
    <row r="962" spans="20:27" x14ac:dyDescent="0.25">
      <c r="T962" s="155">
        <f t="shared" si="70"/>
        <v>72994</v>
      </c>
      <c r="U962" s="164">
        <f t="shared" si="71"/>
        <v>864.41</v>
      </c>
      <c r="V962" s="159">
        <f t="shared" si="74"/>
        <v>-12516.12</v>
      </c>
      <c r="W962" s="156">
        <f>D_Emprunts!$U962-D_Emprunts!$V962</f>
        <v>13380.53</v>
      </c>
      <c r="X962" s="157">
        <f>X961-D_Emprunts!$W962</f>
        <v>-4256059.3499999978</v>
      </c>
      <c r="Y962">
        <v>955</v>
      </c>
      <c r="Z962" t="str">
        <f t="shared" si="72"/>
        <v>Investissement</v>
      </c>
      <c r="AA962" t="str">
        <f t="shared" si="73"/>
        <v>travaux magasin</v>
      </c>
    </row>
    <row r="963" spans="20:27" x14ac:dyDescent="0.25">
      <c r="T963" s="158">
        <f t="shared" si="70"/>
        <v>73024</v>
      </c>
      <c r="U963" s="164">
        <f t="shared" si="71"/>
        <v>864.41</v>
      </c>
      <c r="V963" s="159">
        <f t="shared" si="74"/>
        <v>-12555.59</v>
      </c>
      <c r="W963" s="159">
        <f>D_Emprunts!$U963-D_Emprunts!$V963</f>
        <v>13420</v>
      </c>
      <c r="X963" s="160">
        <f>X962-D_Emprunts!$W963</f>
        <v>-4269479.3499999978</v>
      </c>
      <c r="Y963">
        <v>956</v>
      </c>
      <c r="Z963" t="str">
        <f t="shared" si="72"/>
        <v>Investissement</v>
      </c>
      <c r="AA963" t="str">
        <f t="shared" si="73"/>
        <v>travaux magasin</v>
      </c>
    </row>
    <row r="964" spans="20:27" x14ac:dyDescent="0.25">
      <c r="T964" s="155">
        <f t="shared" si="70"/>
        <v>73055</v>
      </c>
      <c r="U964" s="164">
        <f t="shared" si="71"/>
        <v>864.41</v>
      </c>
      <c r="V964" s="159">
        <f t="shared" si="74"/>
        <v>-12595.18</v>
      </c>
      <c r="W964" s="156">
        <f>D_Emprunts!$U964-D_Emprunts!$V964</f>
        <v>13459.59</v>
      </c>
      <c r="X964" s="157">
        <f>X963-D_Emprunts!$W964</f>
        <v>-4282938.9399999976</v>
      </c>
      <c r="Y964">
        <v>957</v>
      </c>
      <c r="Z964" t="str">
        <f t="shared" si="72"/>
        <v>Investissement</v>
      </c>
      <c r="AA964" t="str">
        <f t="shared" si="73"/>
        <v>travaux magasin</v>
      </c>
    </row>
    <row r="965" spans="20:27" x14ac:dyDescent="0.25">
      <c r="T965" s="158">
        <f t="shared" si="70"/>
        <v>73086</v>
      </c>
      <c r="U965" s="164">
        <f t="shared" si="71"/>
        <v>864.41</v>
      </c>
      <c r="V965" s="159">
        <f t="shared" si="74"/>
        <v>-12634.89</v>
      </c>
      <c r="W965" s="159">
        <f>D_Emprunts!$U965-D_Emprunts!$V965</f>
        <v>13499.3</v>
      </c>
      <c r="X965" s="160">
        <f>X964-D_Emprunts!$W965</f>
        <v>-4296438.2399999974</v>
      </c>
      <c r="Y965">
        <v>958</v>
      </c>
      <c r="Z965" t="str">
        <f t="shared" si="72"/>
        <v>Investissement</v>
      </c>
      <c r="AA965" t="str">
        <f t="shared" si="73"/>
        <v>travaux magasin</v>
      </c>
    </row>
    <row r="966" spans="20:27" x14ac:dyDescent="0.25">
      <c r="T966" s="155">
        <f t="shared" si="70"/>
        <v>73114</v>
      </c>
      <c r="U966" s="164">
        <f t="shared" si="71"/>
        <v>864.41</v>
      </c>
      <c r="V966" s="159">
        <f t="shared" si="74"/>
        <v>-12674.71</v>
      </c>
      <c r="W966" s="156">
        <f>D_Emprunts!$U966-D_Emprunts!$V966</f>
        <v>13539.119999999999</v>
      </c>
      <c r="X966" s="157">
        <f>X965-D_Emprunts!$W966</f>
        <v>-4309977.3599999975</v>
      </c>
      <c r="Y966">
        <v>959</v>
      </c>
      <c r="Z966" t="str">
        <f t="shared" si="72"/>
        <v>Investissement</v>
      </c>
      <c r="AA966" t="str">
        <f t="shared" si="73"/>
        <v>travaux magasin</v>
      </c>
    </row>
    <row r="967" spans="20:27" x14ac:dyDescent="0.25">
      <c r="T967" s="158">
        <f t="shared" si="70"/>
        <v>73145</v>
      </c>
      <c r="U967" s="164">
        <f t="shared" si="71"/>
        <v>864.41</v>
      </c>
      <c r="V967" s="159">
        <f t="shared" si="74"/>
        <v>-12714.65</v>
      </c>
      <c r="W967" s="159">
        <f>D_Emprunts!$U967-D_Emprunts!$V967</f>
        <v>13579.06</v>
      </c>
      <c r="X967" s="160">
        <f>X966-D_Emprunts!$W967</f>
        <v>-4323556.4199999971</v>
      </c>
      <c r="Y967">
        <v>960</v>
      </c>
      <c r="Z967" t="str">
        <f t="shared" si="72"/>
        <v>Investissement</v>
      </c>
      <c r="AA967" t="str">
        <f t="shared" si="73"/>
        <v>travaux magasin</v>
      </c>
    </row>
    <row r="968" spans="20:27" x14ac:dyDescent="0.25">
      <c r="T968" s="155">
        <f t="shared" ref="T968:T1031" si="75">EDATE(T967,1)</f>
        <v>73175</v>
      </c>
      <c r="U968" s="164">
        <f t="shared" si="71"/>
        <v>864.41</v>
      </c>
      <c r="V968" s="159">
        <f t="shared" si="74"/>
        <v>-12754.71</v>
      </c>
      <c r="W968" s="156">
        <f>D_Emprunts!$U968-D_Emprunts!$V968</f>
        <v>13619.119999999999</v>
      </c>
      <c r="X968" s="157">
        <f>X967-D_Emprunts!$W968</f>
        <v>-4337175.5399999972</v>
      </c>
      <c r="Y968">
        <v>961</v>
      </c>
      <c r="Z968" t="str">
        <f t="shared" si="72"/>
        <v>Investissement</v>
      </c>
      <c r="AA968" t="str">
        <f t="shared" si="73"/>
        <v>travaux magasin</v>
      </c>
    </row>
    <row r="969" spans="20:27" x14ac:dyDescent="0.25">
      <c r="T969" s="158">
        <f t="shared" si="75"/>
        <v>73206</v>
      </c>
      <c r="U969" s="164">
        <f t="shared" ref="U969:U1032" si="76">$X$4</f>
        <v>864.41</v>
      </c>
      <c r="V969" s="159">
        <f t="shared" si="74"/>
        <v>-12794.89</v>
      </c>
      <c r="W969" s="159">
        <f>D_Emprunts!$U969-D_Emprunts!$V969</f>
        <v>13659.3</v>
      </c>
      <c r="X969" s="160">
        <f>X968-D_Emprunts!$W969</f>
        <v>-4350834.8399999971</v>
      </c>
      <c r="Y969">
        <v>962</v>
      </c>
      <c r="Z969" t="str">
        <f t="shared" ref="Z969:Z1032" si="77">$Y$4</f>
        <v>Investissement</v>
      </c>
      <c r="AA969" t="str">
        <f t="shared" ref="AA969:AA1032" si="78">$Z$4</f>
        <v>travaux magasin</v>
      </c>
    </row>
    <row r="970" spans="20:27" x14ac:dyDescent="0.25">
      <c r="T970" s="155">
        <f t="shared" si="75"/>
        <v>73236</v>
      </c>
      <c r="U970" s="164">
        <f t="shared" si="76"/>
        <v>864.41</v>
      </c>
      <c r="V970" s="159">
        <f t="shared" ref="V970:V1033" si="79">ROUND(X969*$V$4/12,2)</f>
        <v>-12835.19</v>
      </c>
      <c r="W970" s="156">
        <f>D_Emprunts!$U970-D_Emprunts!$V970</f>
        <v>13699.6</v>
      </c>
      <c r="X970" s="157">
        <f>X969-D_Emprunts!$W970</f>
        <v>-4364534.4399999967</v>
      </c>
      <c r="Y970">
        <v>963</v>
      </c>
      <c r="Z970" t="str">
        <f t="shared" si="77"/>
        <v>Investissement</v>
      </c>
      <c r="AA970" t="str">
        <f t="shared" si="78"/>
        <v>travaux magasin</v>
      </c>
    </row>
    <row r="971" spans="20:27" x14ac:dyDescent="0.25">
      <c r="T971" s="158">
        <f t="shared" si="75"/>
        <v>73267</v>
      </c>
      <c r="U971" s="164">
        <f t="shared" si="76"/>
        <v>864.41</v>
      </c>
      <c r="V971" s="159">
        <f t="shared" si="79"/>
        <v>-12875.6</v>
      </c>
      <c r="W971" s="159">
        <f>D_Emprunts!$U971-D_Emprunts!$V971</f>
        <v>13740.01</v>
      </c>
      <c r="X971" s="160">
        <f>X970-D_Emprunts!$W971</f>
        <v>-4378274.4499999965</v>
      </c>
      <c r="Y971">
        <v>964</v>
      </c>
      <c r="Z971" t="str">
        <f t="shared" si="77"/>
        <v>Investissement</v>
      </c>
      <c r="AA971" t="str">
        <f t="shared" si="78"/>
        <v>travaux magasin</v>
      </c>
    </row>
    <row r="972" spans="20:27" x14ac:dyDescent="0.25">
      <c r="T972" s="155">
        <f t="shared" si="75"/>
        <v>73298</v>
      </c>
      <c r="U972" s="164">
        <f t="shared" si="76"/>
        <v>864.41</v>
      </c>
      <c r="V972" s="159">
        <f t="shared" si="79"/>
        <v>-12916.13</v>
      </c>
      <c r="W972" s="156">
        <f>D_Emprunts!$U972-D_Emprunts!$V972</f>
        <v>13780.539999999999</v>
      </c>
      <c r="X972" s="157">
        <f>X971-D_Emprunts!$W972</f>
        <v>-4392054.9899999965</v>
      </c>
      <c r="Y972">
        <v>965</v>
      </c>
      <c r="Z972" t="str">
        <f t="shared" si="77"/>
        <v>Investissement</v>
      </c>
      <c r="AA972" t="str">
        <f t="shared" si="78"/>
        <v>travaux magasin</v>
      </c>
    </row>
    <row r="973" spans="20:27" x14ac:dyDescent="0.25">
      <c r="T973" s="158">
        <f t="shared" si="75"/>
        <v>73328</v>
      </c>
      <c r="U973" s="164">
        <f t="shared" si="76"/>
        <v>864.41</v>
      </c>
      <c r="V973" s="159">
        <f t="shared" si="79"/>
        <v>-12956.79</v>
      </c>
      <c r="W973" s="159">
        <f>D_Emprunts!$U973-D_Emprunts!$V973</f>
        <v>13821.2</v>
      </c>
      <c r="X973" s="160">
        <f>X972-D_Emprunts!$W973</f>
        <v>-4405876.1899999967</v>
      </c>
      <c r="Y973">
        <v>966</v>
      </c>
      <c r="Z973" t="str">
        <f t="shared" si="77"/>
        <v>Investissement</v>
      </c>
      <c r="AA973" t="str">
        <f t="shared" si="78"/>
        <v>travaux magasin</v>
      </c>
    </row>
    <row r="974" spans="20:27" x14ac:dyDescent="0.25">
      <c r="T974" s="155">
        <f t="shared" si="75"/>
        <v>73359</v>
      </c>
      <c r="U974" s="164">
        <f t="shared" si="76"/>
        <v>864.41</v>
      </c>
      <c r="V974" s="159">
        <f t="shared" si="79"/>
        <v>-12997.56</v>
      </c>
      <c r="W974" s="156">
        <f>D_Emprunts!$U974-D_Emprunts!$V974</f>
        <v>13861.97</v>
      </c>
      <c r="X974" s="157">
        <f>X973-D_Emprunts!$W974</f>
        <v>-4419738.1599999964</v>
      </c>
      <c r="Y974">
        <v>967</v>
      </c>
      <c r="Z974" t="str">
        <f t="shared" si="77"/>
        <v>Investissement</v>
      </c>
      <c r="AA974" t="str">
        <f t="shared" si="78"/>
        <v>travaux magasin</v>
      </c>
    </row>
    <row r="975" spans="20:27" x14ac:dyDescent="0.25">
      <c r="T975" s="158">
        <f t="shared" si="75"/>
        <v>73389</v>
      </c>
      <c r="U975" s="164">
        <f t="shared" si="76"/>
        <v>864.41</v>
      </c>
      <c r="V975" s="159">
        <f t="shared" si="79"/>
        <v>-13038.45</v>
      </c>
      <c r="W975" s="159">
        <f>D_Emprunts!$U975-D_Emprunts!$V975</f>
        <v>13902.86</v>
      </c>
      <c r="X975" s="160">
        <f>X974-D_Emprunts!$W975</f>
        <v>-4433641.0199999968</v>
      </c>
      <c r="Y975">
        <v>968</v>
      </c>
      <c r="Z975" t="str">
        <f t="shared" si="77"/>
        <v>Investissement</v>
      </c>
      <c r="AA975" t="str">
        <f t="shared" si="78"/>
        <v>travaux magasin</v>
      </c>
    </row>
    <row r="976" spans="20:27" x14ac:dyDescent="0.25">
      <c r="T976" s="155">
        <f t="shared" si="75"/>
        <v>73420</v>
      </c>
      <c r="U976" s="164">
        <f t="shared" si="76"/>
        <v>864.41</v>
      </c>
      <c r="V976" s="159">
        <f t="shared" si="79"/>
        <v>-13079.47</v>
      </c>
      <c r="W976" s="156">
        <f>D_Emprunts!$U976-D_Emprunts!$V976</f>
        <v>13943.88</v>
      </c>
      <c r="X976" s="157">
        <f>X975-D_Emprunts!$W976</f>
        <v>-4447584.8999999966</v>
      </c>
      <c r="Y976">
        <v>969</v>
      </c>
      <c r="Z976" t="str">
        <f t="shared" si="77"/>
        <v>Investissement</v>
      </c>
      <c r="AA976" t="str">
        <f t="shared" si="78"/>
        <v>travaux magasin</v>
      </c>
    </row>
    <row r="977" spans="20:27" x14ac:dyDescent="0.25">
      <c r="T977" s="158">
        <f t="shared" si="75"/>
        <v>73451</v>
      </c>
      <c r="U977" s="164">
        <f t="shared" si="76"/>
        <v>864.41</v>
      </c>
      <c r="V977" s="159">
        <f t="shared" si="79"/>
        <v>-13120.6</v>
      </c>
      <c r="W977" s="159">
        <f>D_Emprunts!$U977-D_Emprunts!$V977</f>
        <v>13985.01</v>
      </c>
      <c r="X977" s="160">
        <f>X976-D_Emprunts!$W977</f>
        <v>-4461569.9099999964</v>
      </c>
      <c r="Y977">
        <v>970</v>
      </c>
      <c r="Z977" t="str">
        <f t="shared" si="77"/>
        <v>Investissement</v>
      </c>
      <c r="AA977" t="str">
        <f t="shared" si="78"/>
        <v>travaux magasin</v>
      </c>
    </row>
    <row r="978" spans="20:27" x14ac:dyDescent="0.25">
      <c r="T978" s="155">
        <f t="shared" si="75"/>
        <v>73479</v>
      </c>
      <c r="U978" s="164">
        <f t="shared" si="76"/>
        <v>864.41</v>
      </c>
      <c r="V978" s="159">
        <f t="shared" si="79"/>
        <v>-13161.86</v>
      </c>
      <c r="W978" s="156">
        <f>D_Emprunts!$U978-D_Emprunts!$V978</f>
        <v>14026.27</v>
      </c>
      <c r="X978" s="157">
        <f>X977-D_Emprunts!$W978</f>
        <v>-4475596.179999996</v>
      </c>
      <c r="Y978">
        <v>971</v>
      </c>
      <c r="Z978" t="str">
        <f t="shared" si="77"/>
        <v>Investissement</v>
      </c>
      <c r="AA978" t="str">
        <f t="shared" si="78"/>
        <v>travaux magasin</v>
      </c>
    </row>
    <row r="979" spans="20:27" x14ac:dyDescent="0.25">
      <c r="T979" s="158">
        <f t="shared" si="75"/>
        <v>73510</v>
      </c>
      <c r="U979" s="164">
        <f t="shared" si="76"/>
        <v>864.41</v>
      </c>
      <c r="V979" s="159">
        <f t="shared" si="79"/>
        <v>-13203.24</v>
      </c>
      <c r="W979" s="159">
        <f>D_Emprunts!$U979-D_Emprunts!$V979</f>
        <v>14067.65</v>
      </c>
      <c r="X979" s="160">
        <f>X978-D_Emprunts!$W979</f>
        <v>-4489663.8299999963</v>
      </c>
      <c r="Y979">
        <v>972</v>
      </c>
      <c r="Z979" t="str">
        <f t="shared" si="77"/>
        <v>Investissement</v>
      </c>
      <c r="AA979" t="str">
        <f t="shared" si="78"/>
        <v>travaux magasin</v>
      </c>
    </row>
    <row r="980" spans="20:27" x14ac:dyDescent="0.25">
      <c r="T980" s="155">
        <f t="shared" si="75"/>
        <v>73540</v>
      </c>
      <c r="U980" s="164">
        <f t="shared" si="76"/>
        <v>864.41</v>
      </c>
      <c r="V980" s="159">
        <f t="shared" si="79"/>
        <v>-13244.74</v>
      </c>
      <c r="W980" s="156">
        <f>D_Emprunts!$U980-D_Emprunts!$V980</f>
        <v>14109.15</v>
      </c>
      <c r="X980" s="157">
        <f>X979-D_Emprunts!$W980</f>
        <v>-4503772.9799999967</v>
      </c>
      <c r="Y980">
        <v>973</v>
      </c>
      <c r="Z980" t="str">
        <f t="shared" si="77"/>
        <v>Investissement</v>
      </c>
      <c r="AA980" t="str">
        <f t="shared" si="78"/>
        <v>travaux magasin</v>
      </c>
    </row>
    <row r="981" spans="20:27" x14ac:dyDescent="0.25">
      <c r="T981" s="158">
        <f t="shared" si="75"/>
        <v>73571</v>
      </c>
      <c r="U981" s="164">
        <f t="shared" si="76"/>
        <v>864.41</v>
      </c>
      <c r="V981" s="159">
        <f t="shared" si="79"/>
        <v>-13286.36</v>
      </c>
      <c r="W981" s="159">
        <f>D_Emprunts!$U981-D_Emprunts!$V981</f>
        <v>14150.77</v>
      </c>
      <c r="X981" s="160">
        <f>X980-D_Emprunts!$W981</f>
        <v>-4517923.7499999963</v>
      </c>
      <c r="Y981">
        <v>974</v>
      </c>
      <c r="Z981" t="str">
        <f t="shared" si="77"/>
        <v>Investissement</v>
      </c>
      <c r="AA981" t="str">
        <f t="shared" si="78"/>
        <v>travaux magasin</v>
      </c>
    </row>
    <row r="982" spans="20:27" x14ac:dyDescent="0.25">
      <c r="T982" s="155">
        <f t="shared" si="75"/>
        <v>73601</v>
      </c>
      <c r="U982" s="164">
        <f t="shared" si="76"/>
        <v>864.41</v>
      </c>
      <c r="V982" s="159">
        <f t="shared" si="79"/>
        <v>-13328.11</v>
      </c>
      <c r="W982" s="156">
        <f>D_Emprunts!$U982-D_Emprunts!$V982</f>
        <v>14192.52</v>
      </c>
      <c r="X982" s="157">
        <f>X981-D_Emprunts!$W982</f>
        <v>-4532116.2699999958</v>
      </c>
      <c r="Y982">
        <v>975</v>
      </c>
      <c r="Z982" t="str">
        <f t="shared" si="77"/>
        <v>Investissement</v>
      </c>
      <c r="AA982" t="str">
        <f t="shared" si="78"/>
        <v>travaux magasin</v>
      </c>
    </row>
    <row r="983" spans="20:27" x14ac:dyDescent="0.25">
      <c r="T983" s="158">
        <f t="shared" si="75"/>
        <v>73632</v>
      </c>
      <c r="U983" s="164">
        <f t="shared" si="76"/>
        <v>864.41</v>
      </c>
      <c r="V983" s="159">
        <f t="shared" si="79"/>
        <v>-13369.97</v>
      </c>
      <c r="W983" s="159">
        <f>D_Emprunts!$U983-D_Emprunts!$V983</f>
        <v>14234.38</v>
      </c>
      <c r="X983" s="160">
        <f>X982-D_Emprunts!$W983</f>
        <v>-4546350.6499999957</v>
      </c>
      <c r="Y983">
        <v>976</v>
      </c>
      <c r="Z983" t="str">
        <f t="shared" si="77"/>
        <v>Investissement</v>
      </c>
      <c r="AA983" t="str">
        <f t="shared" si="78"/>
        <v>travaux magasin</v>
      </c>
    </row>
    <row r="984" spans="20:27" x14ac:dyDescent="0.25">
      <c r="T984" s="155">
        <f t="shared" si="75"/>
        <v>73663</v>
      </c>
      <c r="U984" s="164">
        <f t="shared" si="76"/>
        <v>864.41</v>
      </c>
      <c r="V984" s="159">
        <f t="shared" si="79"/>
        <v>-13411.97</v>
      </c>
      <c r="W984" s="156">
        <f>D_Emprunts!$U984-D_Emprunts!$V984</f>
        <v>14276.38</v>
      </c>
      <c r="X984" s="157">
        <f>X983-D_Emprunts!$W984</f>
        <v>-4560627.0299999956</v>
      </c>
      <c r="Y984">
        <v>977</v>
      </c>
      <c r="Z984" t="str">
        <f t="shared" si="77"/>
        <v>Investissement</v>
      </c>
      <c r="AA984" t="str">
        <f t="shared" si="78"/>
        <v>travaux magasin</v>
      </c>
    </row>
    <row r="985" spans="20:27" x14ac:dyDescent="0.25">
      <c r="T985" s="158">
        <f t="shared" si="75"/>
        <v>73693</v>
      </c>
      <c r="U985" s="164">
        <f t="shared" si="76"/>
        <v>864.41</v>
      </c>
      <c r="V985" s="159">
        <f t="shared" si="79"/>
        <v>-13454.08</v>
      </c>
      <c r="W985" s="159">
        <f>D_Emprunts!$U985-D_Emprunts!$V985</f>
        <v>14318.49</v>
      </c>
      <c r="X985" s="160">
        <f>X984-D_Emprunts!$W985</f>
        <v>-4574945.5199999958</v>
      </c>
      <c r="Y985">
        <v>978</v>
      </c>
      <c r="Z985" t="str">
        <f t="shared" si="77"/>
        <v>Investissement</v>
      </c>
      <c r="AA985" t="str">
        <f t="shared" si="78"/>
        <v>travaux magasin</v>
      </c>
    </row>
    <row r="986" spans="20:27" x14ac:dyDescent="0.25">
      <c r="T986" s="155">
        <f t="shared" si="75"/>
        <v>73724</v>
      </c>
      <c r="U986" s="164">
        <f t="shared" si="76"/>
        <v>864.41</v>
      </c>
      <c r="V986" s="159">
        <f t="shared" si="79"/>
        <v>-13496.32</v>
      </c>
      <c r="W986" s="156">
        <f>D_Emprunts!$U986-D_Emprunts!$V986</f>
        <v>14360.73</v>
      </c>
      <c r="X986" s="157">
        <f>X985-D_Emprunts!$W986</f>
        <v>-4589306.2499999963</v>
      </c>
      <c r="Y986">
        <v>979</v>
      </c>
      <c r="Z986" t="str">
        <f t="shared" si="77"/>
        <v>Investissement</v>
      </c>
      <c r="AA986" t="str">
        <f t="shared" si="78"/>
        <v>travaux magasin</v>
      </c>
    </row>
    <row r="987" spans="20:27" x14ac:dyDescent="0.25">
      <c r="T987" s="158">
        <f t="shared" si="75"/>
        <v>73754</v>
      </c>
      <c r="U987" s="164">
        <f t="shared" si="76"/>
        <v>864.41</v>
      </c>
      <c r="V987" s="159">
        <f t="shared" si="79"/>
        <v>-13538.69</v>
      </c>
      <c r="W987" s="159">
        <f>D_Emprunts!$U987-D_Emprunts!$V987</f>
        <v>14403.1</v>
      </c>
      <c r="X987" s="160">
        <f>X986-D_Emprunts!$W987</f>
        <v>-4603709.3499999959</v>
      </c>
      <c r="Y987">
        <v>980</v>
      </c>
      <c r="Z987" t="str">
        <f t="shared" si="77"/>
        <v>Investissement</v>
      </c>
      <c r="AA987" t="str">
        <f t="shared" si="78"/>
        <v>travaux magasin</v>
      </c>
    </row>
    <row r="988" spans="20:27" x14ac:dyDescent="0.25">
      <c r="T988" s="155">
        <f t="shared" si="75"/>
        <v>73785</v>
      </c>
      <c r="U988" s="164">
        <f t="shared" si="76"/>
        <v>864.41</v>
      </c>
      <c r="V988" s="159">
        <f t="shared" si="79"/>
        <v>-13581.18</v>
      </c>
      <c r="W988" s="156">
        <f>D_Emprunts!$U988-D_Emprunts!$V988</f>
        <v>14445.59</v>
      </c>
      <c r="X988" s="157">
        <f>X987-D_Emprunts!$W988</f>
        <v>-4618154.9399999958</v>
      </c>
      <c r="Y988">
        <v>981</v>
      </c>
      <c r="Z988" t="str">
        <f t="shared" si="77"/>
        <v>Investissement</v>
      </c>
      <c r="AA988" t="str">
        <f t="shared" si="78"/>
        <v>travaux magasin</v>
      </c>
    </row>
    <row r="989" spans="20:27" x14ac:dyDescent="0.25">
      <c r="T989" s="158">
        <f t="shared" si="75"/>
        <v>73816</v>
      </c>
      <c r="U989" s="164">
        <f t="shared" si="76"/>
        <v>864.41</v>
      </c>
      <c r="V989" s="159">
        <f t="shared" si="79"/>
        <v>-13623.79</v>
      </c>
      <c r="W989" s="159">
        <f>D_Emprunts!$U989-D_Emprunts!$V989</f>
        <v>14488.2</v>
      </c>
      <c r="X989" s="160">
        <f>X988-D_Emprunts!$W989</f>
        <v>-4632643.1399999959</v>
      </c>
      <c r="Y989">
        <v>982</v>
      </c>
      <c r="Z989" t="str">
        <f t="shared" si="77"/>
        <v>Investissement</v>
      </c>
      <c r="AA989" t="str">
        <f t="shared" si="78"/>
        <v>travaux magasin</v>
      </c>
    </row>
    <row r="990" spans="20:27" x14ac:dyDescent="0.25">
      <c r="T990" s="155">
        <f t="shared" si="75"/>
        <v>73844</v>
      </c>
      <c r="U990" s="164">
        <f t="shared" si="76"/>
        <v>864.41</v>
      </c>
      <c r="V990" s="159">
        <f t="shared" si="79"/>
        <v>-13666.53</v>
      </c>
      <c r="W990" s="156">
        <f>D_Emprunts!$U990-D_Emprunts!$V990</f>
        <v>14530.94</v>
      </c>
      <c r="X990" s="157">
        <f>X989-D_Emprunts!$W990</f>
        <v>-4647174.0799999963</v>
      </c>
      <c r="Y990">
        <v>983</v>
      </c>
      <c r="Z990" t="str">
        <f t="shared" si="77"/>
        <v>Investissement</v>
      </c>
      <c r="AA990" t="str">
        <f t="shared" si="78"/>
        <v>travaux magasin</v>
      </c>
    </row>
    <row r="991" spans="20:27" x14ac:dyDescent="0.25">
      <c r="T991" s="158">
        <f t="shared" si="75"/>
        <v>73875</v>
      </c>
      <c r="U991" s="164">
        <f t="shared" si="76"/>
        <v>864.41</v>
      </c>
      <c r="V991" s="159">
        <f t="shared" si="79"/>
        <v>-13709.4</v>
      </c>
      <c r="W991" s="159">
        <f>D_Emprunts!$U991-D_Emprunts!$V991</f>
        <v>14573.81</v>
      </c>
      <c r="X991" s="160">
        <f>X990-D_Emprunts!$W991</f>
        <v>-4661747.8899999959</v>
      </c>
      <c r="Y991">
        <v>984</v>
      </c>
      <c r="Z991" t="str">
        <f t="shared" si="77"/>
        <v>Investissement</v>
      </c>
      <c r="AA991" t="str">
        <f t="shared" si="78"/>
        <v>travaux magasin</v>
      </c>
    </row>
    <row r="992" spans="20:27" x14ac:dyDescent="0.25">
      <c r="T992" s="155">
        <f t="shared" si="75"/>
        <v>73905</v>
      </c>
      <c r="U992" s="164">
        <f t="shared" si="76"/>
        <v>864.41</v>
      </c>
      <c r="V992" s="159">
        <f t="shared" si="79"/>
        <v>-13752.39</v>
      </c>
      <c r="W992" s="156">
        <f>D_Emprunts!$U992-D_Emprunts!$V992</f>
        <v>14616.8</v>
      </c>
      <c r="X992" s="157">
        <f>X991-D_Emprunts!$W992</f>
        <v>-4676364.6899999958</v>
      </c>
      <c r="Y992">
        <v>985</v>
      </c>
      <c r="Z992" t="str">
        <f t="shared" si="77"/>
        <v>Investissement</v>
      </c>
      <c r="AA992" t="str">
        <f t="shared" si="78"/>
        <v>travaux magasin</v>
      </c>
    </row>
    <row r="993" spans="20:27" x14ac:dyDescent="0.25">
      <c r="T993" s="158">
        <f t="shared" si="75"/>
        <v>73936</v>
      </c>
      <c r="U993" s="164">
        <f t="shared" si="76"/>
        <v>864.41</v>
      </c>
      <c r="V993" s="159">
        <f t="shared" si="79"/>
        <v>-13795.52</v>
      </c>
      <c r="W993" s="159">
        <f>D_Emprunts!$U993-D_Emprunts!$V993</f>
        <v>14659.93</v>
      </c>
      <c r="X993" s="160">
        <f>X992-D_Emprunts!$W993</f>
        <v>-4691024.6199999955</v>
      </c>
      <c r="Y993">
        <v>986</v>
      </c>
      <c r="Z993" t="str">
        <f t="shared" si="77"/>
        <v>Investissement</v>
      </c>
      <c r="AA993" t="str">
        <f t="shared" si="78"/>
        <v>travaux magasin</v>
      </c>
    </row>
    <row r="994" spans="20:27" x14ac:dyDescent="0.25">
      <c r="T994" s="155">
        <f t="shared" si="75"/>
        <v>73966</v>
      </c>
      <c r="U994" s="164">
        <f t="shared" si="76"/>
        <v>864.41</v>
      </c>
      <c r="V994" s="159">
        <f t="shared" si="79"/>
        <v>-13838.76</v>
      </c>
      <c r="W994" s="156">
        <f>D_Emprunts!$U994-D_Emprunts!$V994</f>
        <v>14703.17</v>
      </c>
      <c r="X994" s="157">
        <f>X993-D_Emprunts!$W994</f>
        <v>-4705727.7899999954</v>
      </c>
      <c r="Y994">
        <v>987</v>
      </c>
      <c r="Z994" t="str">
        <f t="shared" si="77"/>
        <v>Investissement</v>
      </c>
      <c r="AA994" t="str">
        <f t="shared" si="78"/>
        <v>travaux magasin</v>
      </c>
    </row>
    <row r="995" spans="20:27" x14ac:dyDescent="0.25">
      <c r="T995" s="158">
        <f t="shared" si="75"/>
        <v>73997</v>
      </c>
      <c r="U995" s="164">
        <f t="shared" si="76"/>
        <v>864.41</v>
      </c>
      <c r="V995" s="159">
        <f t="shared" si="79"/>
        <v>-13882.14</v>
      </c>
      <c r="W995" s="159">
        <f>D_Emprunts!$U995-D_Emprunts!$V995</f>
        <v>14746.55</v>
      </c>
      <c r="X995" s="160">
        <f>X994-D_Emprunts!$W995</f>
        <v>-4720474.3399999952</v>
      </c>
      <c r="Y995">
        <v>988</v>
      </c>
      <c r="Z995" t="str">
        <f t="shared" si="77"/>
        <v>Investissement</v>
      </c>
      <c r="AA995" t="str">
        <f t="shared" si="78"/>
        <v>travaux magasin</v>
      </c>
    </row>
    <row r="996" spans="20:27" x14ac:dyDescent="0.25">
      <c r="T996" s="155">
        <f t="shared" si="75"/>
        <v>74028</v>
      </c>
      <c r="U996" s="164">
        <f t="shared" si="76"/>
        <v>864.41</v>
      </c>
      <c r="V996" s="159">
        <f t="shared" si="79"/>
        <v>-13925.64</v>
      </c>
      <c r="W996" s="156">
        <f>D_Emprunts!$U996-D_Emprunts!$V996</f>
        <v>14790.05</v>
      </c>
      <c r="X996" s="157">
        <f>X995-D_Emprunts!$W996</f>
        <v>-4735264.389999995</v>
      </c>
      <c r="Y996">
        <v>989</v>
      </c>
      <c r="Z996" t="str">
        <f t="shared" si="77"/>
        <v>Investissement</v>
      </c>
      <c r="AA996" t="str">
        <f t="shared" si="78"/>
        <v>travaux magasin</v>
      </c>
    </row>
    <row r="997" spans="20:27" x14ac:dyDescent="0.25">
      <c r="T997" s="158">
        <f t="shared" si="75"/>
        <v>74058</v>
      </c>
      <c r="U997" s="164">
        <f t="shared" si="76"/>
        <v>864.41</v>
      </c>
      <c r="V997" s="159">
        <f t="shared" si="79"/>
        <v>-13969.27</v>
      </c>
      <c r="W997" s="159">
        <f>D_Emprunts!$U997-D_Emprunts!$V997</f>
        <v>14833.68</v>
      </c>
      <c r="X997" s="160">
        <f>X996-D_Emprunts!$W997</f>
        <v>-4750098.0699999947</v>
      </c>
      <c r="Y997">
        <v>990</v>
      </c>
      <c r="Z997" t="str">
        <f t="shared" si="77"/>
        <v>Investissement</v>
      </c>
      <c r="AA997" t="str">
        <f t="shared" si="78"/>
        <v>travaux magasin</v>
      </c>
    </row>
    <row r="998" spans="20:27" x14ac:dyDescent="0.25">
      <c r="T998" s="155">
        <f t="shared" si="75"/>
        <v>74089</v>
      </c>
      <c r="U998" s="164">
        <f t="shared" si="76"/>
        <v>864.41</v>
      </c>
      <c r="V998" s="159">
        <f t="shared" si="79"/>
        <v>-14013.03</v>
      </c>
      <c r="W998" s="156">
        <f>D_Emprunts!$U998-D_Emprunts!$V998</f>
        <v>14877.44</v>
      </c>
      <c r="X998" s="157">
        <f>X997-D_Emprunts!$W998</f>
        <v>-4764975.5099999951</v>
      </c>
      <c r="Y998">
        <v>991</v>
      </c>
      <c r="Z998" t="str">
        <f t="shared" si="77"/>
        <v>Investissement</v>
      </c>
      <c r="AA998" t="str">
        <f t="shared" si="78"/>
        <v>travaux magasin</v>
      </c>
    </row>
    <row r="999" spans="20:27" x14ac:dyDescent="0.25">
      <c r="T999" s="158">
        <f t="shared" si="75"/>
        <v>74119</v>
      </c>
      <c r="U999" s="164">
        <f t="shared" si="76"/>
        <v>864.41</v>
      </c>
      <c r="V999" s="159">
        <f t="shared" si="79"/>
        <v>-14056.92</v>
      </c>
      <c r="W999" s="159">
        <f>D_Emprunts!$U999-D_Emprunts!$V999</f>
        <v>14921.33</v>
      </c>
      <c r="X999" s="160">
        <f>X998-D_Emprunts!$W999</f>
        <v>-4779896.8399999952</v>
      </c>
      <c r="Y999">
        <v>992</v>
      </c>
      <c r="Z999" t="str">
        <f t="shared" si="77"/>
        <v>Investissement</v>
      </c>
      <c r="AA999" t="str">
        <f t="shared" si="78"/>
        <v>travaux magasin</v>
      </c>
    </row>
    <row r="1000" spans="20:27" x14ac:dyDescent="0.25">
      <c r="T1000" s="155">
        <f t="shared" si="75"/>
        <v>74150</v>
      </c>
      <c r="U1000" s="164">
        <f t="shared" si="76"/>
        <v>864.41</v>
      </c>
      <c r="V1000" s="159">
        <f t="shared" si="79"/>
        <v>-14100.94</v>
      </c>
      <c r="W1000" s="156">
        <f>D_Emprunts!$U1000-D_Emprunts!$V1000</f>
        <v>14965.35</v>
      </c>
      <c r="X1000" s="157">
        <f>X999-D_Emprunts!$W1000</f>
        <v>-4794862.1899999948</v>
      </c>
      <c r="Y1000">
        <v>993</v>
      </c>
      <c r="Z1000" t="str">
        <f t="shared" si="77"/>
        <v>Investissement</v>
      </c>
      <c r="AA1000" t="str">
        <f t="shared" si="78"/>
        <v>travaux magasin</v>
      </c>
    </row>
    <row r="1001" spans="20:27" x14ac:dyDescent="0.25">
      <c r="T1001" s="158">
        <f t="shared" si="75"/>
        <v>74181</v>
      </c>
      <c r="U1001" s="164">
        <f t="shared" si="76"/>
        <v>864.41</v>
      </c>
      <c r="V1001" s="159">
        <f t="shared" si="79"/>
        <v>-14145.09</v>
      </c>
      <c r="W1001" s="159">
        <f>D_Emprunts!$U1001-D_Emprunts!$V1001</f>
        <v>15009.5</v>
      </c>
      <c r="X1001" s="160">
        <f>X1000-D_Emprunts!$W1001</f>
        <v>-4809871.6899999948</v>
      </c>
      <c r="Y1001">
        <v>994</v>
      </c>
      <c r="Z1001" t="str">
        <f t="shared" si="77"/>
        <v>Investissement</v>
      </c>
      <c r="AA1001" t="str">
        <f t="shared" si="78"/>
        <v>travaux magasin</v>
      </c>
    </row>
    <row r="1002" spans="20:27" x14ac:dyDescent="0.25">
      <c r="T1002" s="155">
        <f t="shared" si="75"/>
        <v>74209</v>
      </c>
      <c r="U1002" s="164">
        <f t="shared" si="76"/>
        <v>864.41</v>
      </c>
      <c r="V1002" s="159">
        <f t="shared" si="79"/>
        <v>-14189.37</v>
      </c>
      <c r="W1002" s="156">
        <f>D_Emprunts!$U1002-D_Emprunts!$V1002</f>
        <v>15053.78</v>
      </c>
      <c r="X1002" s="157">
        <f>X1001-D_Emprunts!$W1002</f>
        <v>-4824925.4699999951</v>
      </c>
      <c r="Y1002">
        <v>995</v>
      </c>
      <c r="Z1002" t="str">
        <f t="shared" si="77"/>
        <v>Investissement</v>
      </c>
      <c r="AA1002" t="str">
        <f t="shared" si="78"/>
        <v>travaux magasin</v>
      </c>
    </row>
    <row r="1003" spans="20:27" x14ac:dyDescent="0.25">
      <c r="T1003" s="158">
        <f t="shared" si="75"/>
        <v>74240</v>
      </c>
      <c r="U1003" s="164">
        <f t="shared" si="76"/>
        <v>864.41</v>
      </c>
      <c r="V1003" s="159">
        <f t="shared" si="79"/>
        <v>-14233.78</v>
      </c>
      <c r="W1003" s="159">
        <f>D_Emprunts!$U1003-D_Emprunts!$V1003</f>
        <v>15098.19</v>
      </c>
      <c r="X1003" s="160">
        <f>X1002-D_Emprunts!$W1003</f>
        <v>-4840023.6599999955</v>
      </c>
      <c r="Y1003">
        <v>996</v>
      </c>
      <c r="Z1003" t="str">
        <f t="shared" si="77"/>
        <v>Investissement</v>
      </c>
      <c r="AA1003" t="str">
        <f t="shared" si="78"/>
        <v>travaux magasin</v>
      </c>
    </row>
    <row r="1004" spans="20:27" x14ac:dyDescent="0.25">
      <c r="T1004" s="155">
        <f t="shared" si="75"/>
        <v>74270</v>
      </c>
      <c r="U1004" s="164">
        <f t="shared" si="76"/>
        <v>864.41</v>
      </c>
      <c r="V1004" s="159">
        <f t="shared" si="79"/>
        <v>-14278.32</v>
      </c>
      <c r="W1004" s="156">
        <f>D_Emprunts!$U1004-D_Emprunts!$V1004</f>
        <v>15142.73</v>
      </c>
      <c r="X1004" s="157">
        <f>X1003-D_Emprunts!$W1004</f>
        <v>-4855166.3899999959</v>
      </c>
      <c r="Y1004">
        <v>997</v>
      </c>
      <c r="Z1004" t="str">
        <f t="shared" si="77"/>
        <v>Investissement</v>
      </c>
      <c r="AA1004" t="str">
        <f t="shared" si="78"/>
        <v>travaux magasin</v>
      </c>
    </row>
    <row r="1005" spans="20:27" x14ac:dyDescent="0.25">
      <c r="T1005" s="158">
        <f t="shared" si="75"/>
        <v>74301</v>
      </c>
      <c r="U1005" s="164">
        <f t="shared" si="76"/>
        <v>864.41</v>
      </c>
      <c r="V1005" s="159">
        <f t="shared" si="79"/>
        <v>-14322.99</v>
      </c>
      <c r="W1005" s="159">
        <f>D_Emprunts!$U1005-D_Emprunts!$V1005</f>
        <v>15187.4</v>
      </c>
      <c r="X1005" s="160">
        <f>X1004-D_Emprunts!$W1005</f>
        <v>-4870353.7899999963</v>
      </c>
      <c r="Y1005">
        <v>998</v>
      </c>
      <c r="Z1005" t="str">
        <f t="shared" si="77"/>
        <v>Investissement</v>
      </c>
      <c r="AA1005" t="str">
        <f t="shared" si="78"/>
        <v>travaux magasin</v>
      </c>
    </row>
    <row r="1006" spans="20:27" x14ac:dyDescent="0.25">
      <c r="T1006" s="155">
        <f t="shared" si="75"/>
        <v>74331</v>
      </c>
      <c r="U1006" s="164">
        <f t="shared" si="76"/>
        <v>864.41</v>
      </c>
      <c r="V1006" s="159">
        <f t="shared" si="79"/>
        <v>-14367.79</v>
      </c>
      <c r="W1006" s="156">
        <f>D_Emprunts!$U1006-D_Emprunts!$V1006</f>
        <v>15232.2</v>
      </c>
      <c r="X1006" s="157">
        <f>X1005-D_Emprunts!$W1006</f>
        <v>-4885585.9899999965</v>
      </c>
      <c r="Y1006">
        <v>999</v>
      </c>
      <c r="Z1006" t="str">
        <f t="shared" si="77"/>
        <v>Investissement</v>
      </c>
      <c r="AA1006" t="str">
        <f t="shared" si="78"/>
        <v>travaux magasin</v>
      </c>
    </row>
    <row r="1007" spans="20:27" x14ac:dyDescent="0.25">
      <c r="T1007" s="158">
        <f t="shared" si="75"/>
        <v>74362</v>
      </c>
      <c r="U1007" s="164">
        <f t="shared" si="76"/>
        <v>864.41</v>
      </c>
      <c r="V1007" s="159">
        <f t="shared" si="79"/>
        <v>-14412.73</v>
      </c>
      <c r="W1007" s="159">
        <f>D_Emprunts!$U1007-D_Emprunts!$V1007</f>
        <v>15277.14</v>
      </c>
      <c r="X1007" s="160">
        <f>X1006-D_Emprunts!$W1007</f>
        <v>-4900863.1299999962</v>
      </c>
      <c r="Y1007">
        <v>1000</v>
      </c>
      <c r="Z1007" t="str">
        <f t="shared" si="77"/>
        <v>Investissement</v>
      </c>
      <c r="AA1007" t="str">
        <f t="shared" si="78"/>
        <v>travaux magasin</v>
      </c>
    </row>
    <row r="1008" spans="20:27" x14ac:dyDescent="0.25">
      <c r="T1008" s="155">
        <f t="shared" si="75"/>
        <v>74393</v>
      </c>
      <c r="U1008" s="164">
        <f t="shared" si="76"/>
        <v>864.41</v>
      </c>
      <c r="V1008" s="159">
        <f t="shared" si="79"/>
        <v>-14457.8</v>
      </c>
      <c r="W1008" s="156">
        <f>D_Emprunts!$U1008-D_Emprunts!$V1008</f>
        <v>15322.21</v>
      </c>
      <c r="X1008" s="157">
        <f>X1007-D_Emprunts!$W1008</f>
        <v>-4916185.3399999961</v>
      </c>
      <c r="Y1008">
        <v>1001</v>
      </c>
      <c r="Z1008" t="str">
        <f t="shared" si="77"/>
        <v>Investissement</v>
      </c>
      <c r="AA1008" t="str">
        <f t="shared" si="78"/>
        <v>travaux magasin</v>
      </c>
    </row>
    <row r="1009" spans="20:27" x14ac:dyDescent="0.25">
      <c r="T1009" s="158">
        <f t="shared" si="75"/>
        <v>74423</v>
      </c>
      <c r="U1009" s="164">
        <f t="shared" si="76"/>
        <v>864.41</v>
      </c>
      <c r="V1009" s="159">
        <f t="shared" si="79"/>
        <v>-14503</v>
      </c>
      <c r="W1009" s="159">
        <f>D_Emprunts!$U1009-D_Emprunts!$V1009</f>
        <v>15367.41</v>
      </c>
      <c r="X1009" s="160">
        <f>X1008-D_Emprunts!$W1009</f>
        <v>-4931552.7499999963</v>
      </c>
      <c r="Y1009">
        <v>1002</v>
      </c>
      <c r="Z1009" t="str">
        <f t="shared" si="77"/>
        <v>Investissement</v>
      </c>
      <c r="AA1009" t="str">
        <f t="shared" si="78"/>
        <v>travaux magasin</v>
      </c>
    </row>
    <row r="1010" spans="20:27" x14ac:dyDescent="0.25">
      <c r="T1010" s="155">
        <f t="shared" si="75"/>
        <v>74454</v>
      </c>
      <c r="U1010" s="164">
        <f t="shared" si="76"/>
        <v>864.41</v>
      </c>
      <c r="V1010" s="159">
        <f t="shared" si="79"/>
        <v>-14548.33</v>
      </c>
      <c r="W1010" s="156">
        <f>D_Emprunts!$U1010-D_Emprunts!$V1010</f>
        <v>15412.74</v>
      </c>
      <c r="X1010" s="157">
        <f>X1009-D_Emprunts!$W1010</f>
        <v>-4946965.4899999965</v>
      </c>
      <c r="Y1010">
        <v>1003</v>
      </c>
      <c r="Z1010" t="str">
        <f t="shared" si="77"/>
        <v>Investissement</v>
      </c>
      <c r="AA1010" t="str">
        <f t="shared" si="78"/>
        <v>travaux magasin</v>
      </c>
    </row>
    <row r="1011" spans="20:27" x14ac:dyDescent="0.25">
      <c r="T1011" s="158">
        <f t="shared" si="75"/>
        <v>74484</v>
      </c>
      <c r="U1011" s="164">
        <f t="shared" si="76"/>
        <v>864.41</v>
      </c>
      <c r="V1011" s="159">
        <f t="shared" si="79"/>
        <v>-14593.8</v>
      </c>
      <c r="W1011" s="159">
        <f>D_Emprunts!$U1011-D_Emprunts!$V1011</f>
        <v>15458.21</v>
      </c>
      <c r="X1011" s="160">
        <f>X1010-D_Emprunts!$W1011</f>
        <v>-4962423.6999999965</v>
      </c>
      <c r="Y1011">
        <v>1004</v>
      </c>
      <c r="Z1011" t="str">
        <f t="shared" si="77"/>
        <v>Investissement</v>
      </c>
      <c r="AA1011" t="str">
        <f t="shared" si="78"/>
        <v>travaux magasin</v>
      </c>
    </row>
    <row r="1012" spans="20:27" x14ac:dyDescent="0.25">
      <c r="T1012" s="155">
        <f t="shared" si="75"/>
        <v>74515</v>
      </c>
      <c r="U1012" s="164">
        <f t="shared" si="76"/>
        <v>864.41</v>
      </c>
      <c r="V1012" s="159">
        <f t="shared" si="79"/>
        <v>-14639.4</v>
      </c>
      <c r="W1012" s="156">
        <f>D_Emprunts!$U1012-D_Emprunts!$V1012</f>
        <v>15503.81</v>
      </c>
      <c r="X1012" s="157">
        <f>X1011-D_Emprunts!$W1012</f>
        <v>-4977927.5099999961</v>
      </c>
      <c r="Y1012">
        <v>1005</v>
      </c>
      <c r="Z1012" t="str">
        <f t="shared" si="77"/>
        <v>Investissement</v>
      </c>
      <c r="AA1012" t="str">
        <f t="shared" si="78"/>
        <v>travaux magasin</v>
      </c>
    </row>
    <row r="1013" spans="20:27" x14ac:dyDescent="0.25">
      <c r="T1013" s="158">
        <f t="shared" si="75"/>
        <v>74546</v>
      </c>
      <c r="U1013" s="164">
        <f t="shared" si="76"/>
        <v>864.41</v>
      </c>
      <c r="V1013" s="159">
        <f t="shared" si="79"/>
        <v>-14685.14</v>
      </c>
      <c r="W1013" s="159">
        <f>D_Emprunts!$U1013-D_Emprunts!$V1013</f>
        <v>15549.55</v>
      </c>
      <c r="X1013" s="160">
        <f>X1012-D_Emprunts!$W1013</f>
        <v>-4993477.0599999959</v>
      </c>
      <c r="Y1013">
        <v>1006</v>
      </c>
      <c r="Z1013" t="str">
        <f t="shared" si="77"/>
        <v>Investissement</v>
      </c>
      <c r="AA1013" t="str">
        <f t="shared" si="78"/>
        <v>travaux magasin</v>
      </c>
    </row>
    <row r="1014" spans="20:27" x14ac:dyDescent="0.25">
      <c r="T1014" s="155">
        <f t="shared" si="75"/>
        <v>74575</v>
      </c>
      <c r="U1014" s="164">
        <f t="shared" si="76"/>
        <v>864.41</v>
      </c>
      <c r="V1014" s="159">
        <f t="shared" si="79"/>
        <v>-14731.01</v>
      </c>
      <c r="W1014" s="156">
        <f>D_Emprunts!$U1014-D_Emprunts!$V1014</f>
        <v>15595.42</v>
      </c>
      <c r="X1014" s="157">
        <f>X1013-D_Emprunts!$W1014</f>
        <v>-5009072.4799999958</v>
      </c>
      <c r="Y1014">
        <v>1007</v>
      </c>
      <c r="Z1014" t="str">
        <f t="shared" si="77"/>
        <v>Investissement</v>
      </c>
      <c r="AA1014" t="str">
        <f t="shared" si="78"/>
        <v>travaux magasin</v>
      </c>
    </row>
    <row r="1015" spans="20:27" x14ac:dyDescent="0.25">
      <c r="T1015" s="158">
        <f t="shared" si="75"/>
        <v>74606</v>
      </c>
      <c r="U1015" s="164">
        <f t="shared" si="76"/>
        <v>864.41</v>
      </c>
      <c r="V1015" s="159">
        <f t="shared" si="79"/>
        <v>-14777.02</v>
      </c>
      <c r="W1015" s="159">
        <f>D_Emprunts!$U1015-D_Emprunts!$V1015</f>
        <v>15641.43</v>
      </c>
      <c r="X1015" s="160">
        <f>X1014-D_Emprunts!$W1015</f>
        <v>-5024713.9099999955</v>
      </c>
      <c r="Y1015">
        <v>1008</v>
      </c>
      <c r="Z1015" t="str">
        <f t="shared" si="77"/>
        <v>Investissement</v>
      </c>
      <c r="AA1015" t="str">
        <f t="shared" si="78"/>
        <v>travaux magasin</v>
      </c>
    </row>
    <row r="1016" spans="20:27" x14ac:dyDescent="0.25">
      <c r="T1016" s="155">
        <f t="shared" si="75"/>
        <v>74636</v>
      </c>
      <c r="U1016" s="164">
        <f t="shared" si="76"/>
        <v>864.41</v>
      </c>
      <c r="V1016" s="159">
        <f t="shared" si="79"/>
        <v>-14823.16</v>
      </c>
      <c r="W1016" s="156">
        <f>D_Emprunts!$U1016-D_Emprunts!$V1016</f>
        <v>15687.57</v>
      </c>
      <c r="X1016" s="157">
        <f>X1015-D_Emprunts!$W1016</f>
        <v>-5040401.4799999958</v>
      </c>
      <c r="Y1016">
        <v>1009</v>
      </c>
      <c r="Z1016" t="str">
        <f t="shared" si="77"/>
        <v>Investissement</v>
      </c>
      <c r="AA1016" t="str">
        <f t="shared" si="78"/>
        <v>travaux magasin</v>
      </c>
    </row>
    <row r="1017" spans="20:27" x14ac:dyDescent="0.25">
      <c r="T1017" s="158">
        <f t="shared" si="75"/>
        <v>74667</v>
      </c>
      <c r="U1017" s="164">
        <f t="shared" si="76"/>
        <v>864.41</v>
      </c>
      <c r="V1017" s="159">
        <f t="shared" si="79"/>
        <v>-14869.44</v>
      </c>
      <c r="W1017" s="159">
        <f>D_Emprunts!$U1017-D_Emprunts!$V1017</f>
        <v>15733.85</v>
      </c>
      <c r="X1017" s="160">
        <f>X1016-D_Emprunts!$W1017</f>
        <v>-5056135.3299999954</v>
      </c>
      <c r="Y1017">
        <v>1010</v>
      </c>
      <c r="Z1017" t="str">
        <f t="shared" si="77"/>
        <v>Investissement</v>
      </c>
      <c r="AA1017" t="str">
        <f t="shared" si="78"/>
        <v>travaux magasin</v>
      </c>
    </row>
    <row r="1018" spans="20:27" x14ac:dyDescent="0.25">
      <c r="T1018" s="155">
        <f t="shared" si="75"/>
        <v>74697</v>
      </c>
      <c r="U1018" s="164">
        <f t="shared" si="76"/>
        <v>864.41</v>
      </c>
      <c r="V1018" s="159">
        <f t="shared" si="79"/>
        <v>-14915.86</v>
      </c>
      <c r="W1018" s="156">
        <f>D_Emprunts!$U1018-D_Emprunts!$V1018</f>
        <v>15780.27</v>
      </c>
      <c r="X1018" s="157">
        <f>X1017-D_Emprunts!$W1018</f>
        <v>-5071915.599999995</v>
      </c>
      <c r="Y1018">
        <v>1011</v>
      </c>
      <c r="Z1018" t="str">
        <f t="shared" si="77"/>
        <v>Investissement</v>
      </c>
      <c r="AA1018" t="str">
        <f t="shared" si="78"/>
        <v>travaux magasin</v>
      </c>
    </row>
    <row r="1019" spans="20:27" x14ac:dyDescent="0.25">
      <c r="T1019" s="158">
        <f t="shared" si="75"/>
        <v>74728</v>
      </c>
      <c r="U1019" s="164">
        <f t="shared" si="76"/>
        <v>864.41</v>
      </c>
      <c r="V1019" s="159">
        <f t="shared" si="79"/>
        <v>-14962.41</v>
      </c>
      <c r="W1019" s="159">
        <f>D_Emprunts!$U1019-D_Emprunts!$V1019</f>
        <v>15826.82</v>
      </c>
      <c r="X1019" s="160">
        <f>X1018-D_Emprunts!$W1019</f>
        <v>-5087742.4199999953</v>
      </c>
      <c r="Y1019">
        <v>1012</v>
      </c>
      <c r="Z1019" t="str">
        <f t="shared" si="77"/>
        <v>Investissement</v>
      </c>
      <c r="AA1019" t="str">
        <f t="shared" si="78"/>
        <v>travaux magasin</v>
      </c>
    </row>
    <row r="1020" spans="20:27" x14ac:dyDescent="0.25">
      <c r="T1020" s="155">
        <f t="shared" si="75"/>
        <v>74759</v>
      </c>
      <c r="U1020" s="164">
        <f t="shared" si="76"/>
        <v>864.41</v>
      </c>
      <c r="V1020" s="159">
        <f t="shared" si="79"/>
        <v>-15009.1</v>
      </c>
      <c r="W1020" s="156">
        <f>D_Emprunts!$U1020-D_Emprunts!$V1020</f>
        <v>15873.51</v>
      </c>
      <c r="X1020" s="157">
        <f>X1019-D_Emprunts!$W1020</f>
        <v>-5103615.929999995</v>
      </c>
      <c r="Y1020">
        <v>1013</v>
      </c>
      <c r="Z1020" t="str">
        <f t="shared" si="77"/>
        <v>Investissement</v>
      </c>
      <c r="AA1020" t="str">
        <f t="shared" si="78"/>
        <v>travaux magasin</v>
      </c>
    </row>
    <row r="1021" spans="20:27" x14ac:dyDescent="0.25">
      <c r="T1021" s="158">
        <f t="shared" si="75"/>
        <v>74789</v>
      </c>
      <c r="U1021" s="164">
        <f t="shared" si="76"/>
        <v>864.41</v>
      </c>
      <c r="V1021" s="159">
        <f t="shared" si="79"/>
        <v>-15055.93</v>
      </c>
      <c r="W1021" s="159">
        <f>D_Emprunts!$U1021-D_Emprunts!$V1021</f>
        <v>15920.34</v>
      </c>
      <c r="X1021" s="160">
        <f>X1020-D_Emprunts!$W1021</f>
        <v>-5119536.2699999949</v>
      </c>
      <c r="Y1021">
        <v>1014</v>
      </c>
      <c r="Z1021" t="str">
        <f t="shared" si="77"/>
        <v>Investissement</v>
      </c>
      <c r="AA1021" t="str">
        <f t="shared" si="78"/>
        <v>travaux magasin</v>
      </c>
    </row>
    <row r="1022" spans="20:27" x14ac:dyDescent="0.25">
      <c r="T1022" s="155">
        <f t="shared" si="75"/>
        <v>74820</v>
      </c>
      <c r="U1022" s="164">
        <f t="shared" si="76"/>
        <v>864.41</v>
      </c>
      <c r="V1022" s="159">
        <f t="shared" si="79"/>
        <v>-15102.89</v>
      </c>
      <c r="W1022" s="156">
        <f>D_Emprunts!$U1022-D_Emprunts!$V1022</f>
        <v>15967.3</v>
      </c>
      <c r="X1022" s="157">
        <f>X1021-D_Emprunts!$W1022</f>
        <v>-5135503.5699999947</v>
      </c>
      <c r="Y1022">
        <v>1015</v>
      </c>
      <c r="Z1022" t="str">
        <f t="shared" si="77"/>
        <v>Investissement</v>
      </c>
      <c r="AA1022" t="str">
        <f t="shared" si="78"/>
        <v>travaux magasin</v>
      </c>
    </row>
    <row r="1023" spans="20:27" x14ac:dyDescent="0.25">
      <c r="T1023" s="158">
        <f t="shared" si="75"/>
        <v>74850</v>
      </c>
      <c r="U1023" s="164">
        <f t="shared" si="76"/>
        <v>864.41</v>
      </c>
      <c r="V1023" s="159">
        <f t="shared" si="79"/>
        <v>-15150</v>
      </c>
      <c r="W1023" s="159">
        <f>D_Emprunts!$U1023-D_Emprunts!$V1023</f>
        <v>16014.41</v>
      </c>
      <c r="X1023" s="160">
        <f>X1022-D_Emprunts!$W1023</f>
        <v>-5151517.9799999949</v>
      </c>
      <c r="Y1023">
        <v>1016</v>
      </c>
      <c r="Z1023" t="str">
        <f t="shared" si="77"/>
        <v>Investissement</v>
      </c>
      <c r="AA1023" t="str">
        <f t="shared" si="78"/>
        <v>travaux magasin</v>
      </c>
    </row>
    <row r="1024" spans="20:27" x14ac:dyDescent="0.25">
      <c r="T1024" s="155">
        <f t="shared" si="75"/>
        <v>74881</v>
      </c>
      <c r="U1024" s="164">
        <f t="shared" si="76"/>
        <v>864.41</v>
      </c>
      <c r="V1024" s="159">
        <f t="shared" si="79"/>
        <v>-15197.24</v>
      </c>
      <c r="W1024" s="156">
        <f>D_Emprunts!$U1024-D_Emprunts!$V1024</f>
        <v>16061.65</v>
      </c>
      <c r="X1024" s="157">
        <f>X1023-D_Emprunts!$W1024</f>
        <v>-5167579.6299999952</v>
      </c>
      <c r="Y1024">
        <v>1017</v>
      </c>
      <c r="Z1024" t="str">
        <f t="shared" si="77"/>
        <v>Investissement</v>
      </c>
      <c r="AA1024" t="str">
        <f t="shared" si="78"/>
        <v>travaux magasin</v>
      </c>
    </row>
    <row r="1025" spans="20:27" x14ac:dyDescent="0.25">
      <c r="T1025" s="158">
        <f t="shared" si="75"/>
        <v>74912</v>
      </c>
      <c r="U1025" s="164">
        <f t="shared" si="76"/>
        <v>864.41</v>
      </c>
      <c r="V1025" s="159">
        <f t="shared" si="79"/>
        <v>-15244.62</v>
      </c>
      <c r="W1025" s="159">
        <f>D_Emprunts!$U1025-D_Emprunts!$V1025</f>
        <v>16109.03</v>
      </c>
      <c r="X1025" s="160">
        <f>X1024-D_Emprunts!$W1025</f>
        <v>-5183688.6599999955</v>
      </c>
      <c r="Y1025">
        <v>1018</v>
      </c>
      <c r="Z1025" t="str">
        <f t="shared" si="77"/>
        <v>Investissement</v>
      </c>
      <c r="AA1025" t="str">
        <f t="shared" si="78"/>
        <v>travaux magasin</v>
      </c>
    </row>
    <row r="1026" spans="20:27" x14ac:dyDescent="0.25">
      <c r="T1026" s="155">
        <f t="shared" si="75"/>
        <v>74940</v>
      </c>
      <c r="U1026" s="164">
        <f t="shared" si="76"/>
        <v>864.41</v>
      </c>
      <c r="V1026" s="159">
        <f t="shared" si="79"/>
        <v>-15292.15</v>
      </c>
      <c r="W1026" s="156">
        <f>D_Emprunts!$U1026-D_Emprunts!$V1026</f>
        <v>16156.56</v>
      </c>
      <c r="X1026" s="157">
        <f>X1025-D_Emprunts!$W1026</f>
        <v>-5199845.2199999951</v>
      </c>
      <c r="Y1026">
        <v>1019</v>
      </c>
      <c r="Z1026" t="str">
        <f t="shared" si="77"/>
        <v>Investissement</v>
      </c>
      <c r="AA1026" t="str">
        <f t="shared" si="78"/>
        <v>travaux magasin</v>
      </c>
    </row>
    <row r="1027" spans="20:27" x14ac:dyDescent="0.25">
      <c r="T1027" s="158">
        <f t="shared" si="75"/>
        <v>74971</v>
      </c>
      <c r="U1027" s="164">
        <f t="shared" si="76"/>
        <v>864.41</v>
      </c>
      <c r="V1027" s="159">
        <f t="shared" si="79"/>
        <v>-15339.81</v>
      </c>
      <c r="W1027" s="159">
        <f>D_Emprunts!$U1027-D_Emprunts!$V1027</f>
        <v>16204.22</v>
      </c>
      <c r="X1027" s="160">
        <f>X1026-D_Emprunts!$W1027</f>
        <v>-5216049.4399999948</v>
      </c>
      <c r="Y1027">
        <v>1020</v>
      </c>
      <c r="Z1027" t="str">
        <f t="shared" si="77"/>
        <v>Investissement</v>
      </c>
      <c r="AA1027" t="str">
        <f t="shared" si="78"/>
        <v>travaux magasin</v>
      </c>
    </row>
    <row r="1028" spans="20:27" x14ac:dyDescent="0.25">
      <c r="T1028" s="155">
        <f t="shared" si="75"/>
        <v>75001</v>
      </c>
      <c r="U1028" s="164">
        <f t="shared" si="76"/>
        <v>864.41</v>
      </c>
      <c r="V1028" s="159">
        <f t="shared" si="79"/>
        <v>-15387.61</v>
      </c>
      <c r="W1028" s="156">
        <f>D_Emprunts!$U1028-D_Emprunts!$V1028</f>
        <v>16252.02</v>
      </c>
      <c r="X1028" s="157">
        <f>X1027-D_Emprunts!$W1028</f>
        <v>-5232301.4599999944</v>
      </c>
      <c r="Y1028">
        <v>1021</v>
      </c>
      <c r="Z1028" t="str">
        <f t="shared" si="77"/>
        <v>Investissement</v>
      </c>
      <c r="AA1028" t="str">
        <f t="shared" si="78"/>
        <v>travaux magasin</v>
      </c>
    </row>
    <row r="1029" spans="20:27" x14ac:dyDescent="0.25">
      <c r="T1029" s="158">
        <f t="shared" si="75"/>
        <v>75032</v>
      </c>
      <c r="U1029" s="164">
        <f t="shared" si="76"/>
        <v>864.41</v>
      </c>
      <c r="V1029" s="159">
        <f t="shared" si="79"/>
        <v>-15435.56</v>
      </c>
      <c r="W1029" s="159">
        <f>D_Emprunts!$U1029-D_Emprunts!$V1029</f>
        <v>16299.97</v>
      </c>
      <c r="X1029" s="160">
        <f>X1028-D_Emprunts!$W1029</f>
        <v>-5248601.4299999941</v>
      </c>
      <c r="Y1029">
        <v>1022</v>
      </c>
      <c r="Z1029" t="str">
        <f t="shared" si="77"/>
        <v>Investissement</v>
      </c>
      <c r="AA1029" t="str">
        <f t="shared" si="78"/>
        <v>travaux magasin</v>
      </c>
    </row>
    <row r="1030" spans="20:27" x14ac:dyDescent="0.25">
      <c r="T1030" s="155">
        <f t="shared" si="75"/>
        <v>75062</v>
      </c>
      <c r="U1030" s="164">
        <f t="shared" si="76"/>
        <v>864.41</v>
      </c>
      <c r="V1030" s="159">
        <f t="shared" si="79"/>
        <v>-15483.64</v>
      </c>
      <c r="W1030" s="156">
        <f>D_Emprunts!$U1030-D_Emprunts!$V1030</f>
        <v>16348.05</v>
      </c>
      <c r="X1030" s="157">
        <f>X1029-D_Emprunts!$W1030</f>
        <v>-5264949.4799999939</v>
      </c>
      <c r="Y1030">
        <v>1023</v>
      </c>
      <c r="Z1030" t="str">
        <f t="shared" si="77"/>
        <v>Investissement</v>
      </c>
      <c r="AA1030" t="str">
        <f t="shared" si="78"/>
        <v>travaux magasin</v>
      </c>
    </row>
    <row r="1031" spans="20:27" x14ac:dyDescent="0.25">
      <c r="T1031" s="158">
        <f t="shared" si="75"/>
        <v>75093</v>
      </c>
      <c r="U1031" s="164">
        <f t="shared" si="76"/>
        <v>864.41</v>
      </c>
      <c r="V1031" s="159">
        <f t="shared" si="79"/>
        <v>-15531.87</v>
      </c>
      <c r="W1031" s="159">
        <f>D_Emprunts!$U1031-D_Emprunts!$V1031</f>
        <v>16396.280000000002</v>
      </c>
      <c r="X1031" s="160">
        <f>X1030-D_Emprunts!$W1031</f>
        <v>-5281345.7599999942</v>
      </c>
      <c r="Y1031">
        <v>1024</v>
      </c>
      <c r="Z1031" t="str">
        <f t="shared" si="77"/>
        <v>Investissement</v>
      </c>
      <c r="AA1031" t="str">
        <f t="shared" si="78"/>
        <v>travaux magasin</v>
      </c>
    </row>
    <row r="1032" spans="20:27" x14ac:dyDescent="0.25">
      <c r="T1032" s="155">
        <f t="shared" ref="T1032:T1096" si="80">EDATE(T1031,1)</f>
        <v>75124</v>
      </c>
      <c r="U1032" s="164">
        <f t="shared" si="76"/>
        <v>864.41</v>
      </c>
      <c r="V1032" s="159">
        <f t="shared" si="79"/>
        <v>-15580.24</v>
      </c>
      <c r="W1032" s="156">
        <f>D_Emprunts!$U1032-D_Emprunts!$V1032</f>
        <v>16444.650000000001</v>
      </c>
      <c r="X1032" s="157">
        <f>X1031-D_Emprunts!$W1032</f>
        <v>-5297790.4099999946</v>
      </c>
      <c r="Y1032">
        <v>1025</v>
      </c>
      <c r="Z1032" t="str">
        <f t="shared" si="77"/>
        <v>Investissement</v>
      </c>
      <c r="AA1032" t="str">
        <f t="shared" si="78"/>
        <v>travaux magasin</v>
      </c>
    </row>
    <row r="1033" spans="20:27" x14ac:dyDescent="0.25">
      <c r="T1033" s="158">
        <f t="shared" si="80"/>
        <v>75154</v>
      </c>
      <c r="U1033" s="164">
        <f t="shared" ref="U1033:U1096" si="81">$X$4</f>
        <v>864.41</v>
      </c>
      <c r="V1033" s="159">
        <f t="shared" si="79"/>
        <v>-15628.75</v>
      </c>
      <c r="W1033" s="159">
        <f>D_Emprunts!$U1033-D_Emprunts!$V1033</f>
        <v>16493.16</v>
      </c>
      <c r="X1033" s="160">
        <f>X1032-D_Emprunts!$W1033</f>
        <v>-5314283.5699999947</v>
      </c>
      <c r="Y1033">
        <v>1026</v>
      </c>
      <c r="Z1033" t="str">
        <f t="shared" ref="Z1033:Z1096" si="82">$Y$4</f>
        <v>Investissement</v>
      </c>
      <c r="AA1033" t="str">
        <f t="shared" ref="AA1033:AA1096" si="83">$Z$4</f>
        <v>travaux magasin</v>
      </c>
    </row>
    <row r="1034" spans="20:27" x14ac:dyDescent="0.25">
      <c r="T1034" s="155">
        <f t="shared" si="80"/>
        <v>75185</v>
      </c>
      <c r="U1034" s="164">
        <f t="shared" si="81"/>
        <v>864.41</v>
      </c>
      <c r="V1034" s="159">
        <f t="shared" ref="V1034:V1096" si="84">ROUND(X1033*$V$4/12,2)</f>
        <v>-15677.41</v>
      </c>
      <c r="W1034" s="156">
        <f>D_Emprunts!$U1034-D_Emprunts!$V1034</f>
        <v>16541.82</v>
      </c>
      <c r="X1034" s="157">
        <f>X1033-D_Emprunts!$W1034</f>
        <v>-5330825.389999995</v>
      </c>
      <c r="Y1034">
        <v>1027</v>
      </c>
      <c r="Z1034" t="str">
        <f t="shared" si="82"/>
        <v>Investissement</v>
      </c>
      <c r="AA1034" t="str">
        <f t="shared" si="83"/>
        <v>travaux magasin</v>
      </c>
    </row>
    <row r="1035" spans="20:27" x14ac:dyDescent="0.25">
      <c r="T1035" s="158">
        <f t="shared" si="80"/>
        <v>75215</v>
      </c>
      <c r="U1035" s="164">
        <f t="shared" si="81"/>
        <v>864.41</v>
      </c>
      <c r="V1035" s="159">
        <f t="shared" si="84"/>
        <v>-15726.21</v>
      </c>
      <c r="W1035" s="159">
        <f>D_Emprunts!$U1035-D_Emprunts!$V1035</f>
        <v>16590.62</v>
      </c>
      <c r="X1035" s="160">
        <f>X1034-D_Emprunts!$W1035</f>
        <v>-5347416.0099999951</v>
      </c>
      <c r="Y1035">
        <v>1028</v>
      </c>
      <c r="Z1035" t="str">
        <f t="shared" si="82"/>
        <v>Investissement</v>
      </c>
      <c r="AA1035" t="str">
        <f t="shared" si="83"/>
        <v>travaux magasin</v>
      </c>
    </row>
    <row r="1036" spans="20:27" x14ac:dyDescent="0.25">
      <c r="T1036" s="155">
        <f t="shared" si="80"/>
        <v>75246</v>
      </c>
      <c r="U1036" s="164">
        <f t="shared" si="81"/>
        <v>864.41</v>
      </c>
      <c r="V1036" s="159">
        <f t="shared" si="84"/>
        <v>-15775.15</v>
      </c>
      <c r="W1036" s="156">
        <f>D_Emprunts!$U1036-D_Emprunts!$V1036</f>
        <v>16639.560000000001</v>
      </c>
      <c r="X1036" s="157">
        <f>X1035-D_Emprunts!$W1036</f>
        <v>-5364055.5699999947</v>
      </c>
      <c r="Y1036">
        <v>1029</v>
      </c>
      <c r="Z1036" t="str">
        <f t="shared" si="82"/>
        <v>Investissement</v>
      </c>
      <c r="AA1036" t="str">
        <f t="shared" si="83"/>
        <v>travaux magasin</v>
      </c>
    </row>
    <row r="1037" spans="20:27" x14ac:dyDescent="0.25">
      <c r="T1037" s="158">
        <f t="shared" si="80"/>
        <v>75277</v>
      </c>
      <c r="U1037" s="164">
        <f t="shared" si="81"/>
        <v>864.41</v>
      </c>
      <c r="V1037" s="159">
        <f t="shared" si="84"/>
        <v>-15824.24</v>
      </c>
      <c r="W1037" s="159">
        <f>D_Emprunts!$U1037-D_Emprunts!$V1037</f>
        <v>16688.650000000001</v>
      </c>
      <c r="X1037" s="160">
        <f>X1036-D_Emprunts!$W1037</f>
        <v>-5380744.2199999951</v>
      </c>
      <c r="Y1037">
        <v>1030</v>
      </c>
      <c r="Z1037" t="str">
        <f t="shared" si="82"/>
        <v>Investissement</v>
      </c>
      <c r="AA1037" t="str">
        <f t="shared" si="83"/>
        <v>travaux magasin</v>
      </c>
    </row>
    <row r="1038" spans="20:27" x14ac:dyDescent="0.25">
      <c r="T1038" s="155">
        <f t="shared" si="80"/>
        <v>75305</v>
      </c>
      <c r="U1038" s="164">
        <f t="shared" si="81"/>
        <v>864.41</v>
      </c>
      <c r="V1038" s="159">
        <f t="shared" si="84"/>
        <v>-15873.47</v>
      </c>
      <c r="W1038" s="156">
        <f>D_Emprunts!$U1038-D_Emprunts!$V1038</f>
        <v>16737.88</v>
      </c>
      <c r="X1038" s="157">
        <f>X1037-D_Emprunts!$W1038</f>
        <v>-5397482.099999995</v>
      </c>
      <c r="Y1038">
        <v>1031</v>
      </c>
      <c r="Z1038" t="str">
        <f t="shared" si="82"/>
        <v>Investissement</v>
      </c>
      <c r="AA1038" t="str">
        <f t="shared" si="83"/>
        <v>travaux magasin</v>
      </c>
    </row>
    <row r="1039" spans="20:27" x14ac:dyDescent="0.25">
      <c r="T1039" s="158">
        <f t="shared" si="80"/>
        <v>75336</v>
      </c>
      <c r="U1039" s="164">
        <f t="shared" si="81"/>
        <v>864.41</v>
      </c>
      <c r="V1039" s="159">
        <f t="shared" si="84"/>
        <v>-15922.85</v>
      </c>
      <c r="W1039" s="159">
        <f>D_Emprunts!$U1039-D_Emprunts!$V1039</f>
        <v>16787.260000000002</v>
      </c>
      <c r="X1039" s="160">
        <f>X1038-D_Emprunts!$W1039</f>
        <v>-5414269.3599999947</v>
      </c>
      <c r="Y1039">
        <v>1032</v>
      </c>
      <c r="Z1039" t="str">
        <f t="shared" si="82"/>
        <v>Investissement</v>
      </c>
      <c r="AA1039" t="str">
        <f t="shared" si="83"/>
        <v>travaux magasin</v>
      </c>
    </row>
    <row r="1040" spans="20:27" x14ac:dyDescent="0.25">
      <c r="T1040" s="155">
        <f t="shared" si="80"/>
        <v>75366</v>
      </c>
      <c r="U1040" s="164">
        <f t="shared" si="81"/>
        <v>864.41</v>
      </c>
      <c r="V1040" s="159">
        <f t="shared" si="84"/>
        <v>-15972.37</v>
      </c>
      <c r="W1040" s="156">
        <f>D_Emprunts!$U1040-D_Emprunts!$V1040</f>
        <v>16836.780000000002</v>
      </c>
      <c r="X1040" s="157">
        <f>X1039-D_Emprunts!$W1040</f>
        <v>-5431106.139999995</v>
      </c>
      <c r="Y1040">
        <v>1033</v>
      </c>
      <c r="Z1040" t="str">
        <f t="shared" si="82"/>
        <v>Investissement</v>
      </c>
      <c r="AA1040" t="str">
        <f t="shared" si="83"/>
        <v>travaux magasin</v>
      </c>
    </row>
    <row r="1041" spans="20:27" x14ac:dyDescent="0.25">
      <c r="T1041" s="158">
        <f t="shared" si="80"/>
        <v>75397</v>
      </c>
      <c r="U1041" s="164">
        <f t="shared" si="81"/>
        <v>864.41</v>
      </c>
      <c r="V1041" s="159">
        <f t="shared" si="84"/>
        <v>-16022.04</v>
      </c>
      <c r="W1041" s="159">
        <f>D_Emprunts!$U1041-D_Emprunts!$V1041</f>
        <v>16886.45</v>
      </c>
      <c r="X1041" s="160">
        <f>X1040-D_Emprunts!$W1041</f>
        <v>-5447992.5899999952</v>
      </c>
      <c r="Y1041">
        <v>1034</v>
      </c>
      <c r="Z1041" t="str">
        <f t="shared" si="82"/>
        <v>Investissement</v>
      </c>
      <c r="AA1041" t="str">
        <f t="shared" si="83"/>
        <v>travaux magasin</v>
      </c>
    </row>
    <row r="1042" spans="20:27" x14ac:dyDescent="0.25">
      <c r="T1042" s="155">
        <f t="shared" si="80"/>
        <v>75427</v>
      </c>
      <c r="U1042" s="164">
        <f t="shared" si="81"/>
        <v>864.41</v>
      </c>
      <c r="V1042" s="159">
        <f t="shared" si="84"/>
        <v>-16071.86</v>
      </c>
      <c r="W1042" s="156">
        <f>D_Emprunts!$U1042-D_Emprunts!$V1042</f>
        <v>16936.27</v>
      </c>
      <c r="X1042" s="157">
        <f>X1041-D_Emprunts!$W1042</f>
        <v>-5464928.8599999947</v>
      </c>
      <c r="Y1042">
        <v>1035</v>
      </c>
      <c r="Z1042" t="str">
        <f t="shared" si="82"/>
        <v>Investissement</v>
      </c>
      <c r="AA1042" t="str">
        <f t="shared" si="83"/>
        <v>travaux magasin</v>
      </c>
    </row>
    <row r="1043" spans="20:27" x14ac:dyDescent="0.25">
      <c r="T1043" s="158">
        <f t="shared" si="80"/>
        <v>75458</v>
      </c>
      <c r="U1043" s="164">
        <f t="shared" si="81"/>
        <v>864.41</v>
      </c>
      <c r="V1043" s="159">
        <f t="shared" si="84"/>
        <v>-16121.82</v>
      </c>
      <c r="W1043" s="159">
        <f>D_Emprunts!$U1043-D_Emprunts!$V1043</f>
        <v>16986.23</v>
      </c>
      <c r="X1043" s="160">
        <f>X1042-D_Emprunts!$W1043</f>
        <v>-5481915.0899999952</v>
      </c>
      <c r="Y1043">
        <v>1036</v>
      </c>
      <c r="Z1043" t="str">
        <f t="shared" si="82"/>
        <v>Investissement</v>
      </c>
      <c r="AA1043" t="str">
        <f t="shared" si="83"/>
        <v>travaux magasin</v>
      </c>
    </row>
    <row r="1044" spans="20:27" x14ac:dyDescent="0.25">
      <c r="T1044" s="155">
        <f t="shared" si="80"/>
        <v>75489</v>
      </c>
      <c r="U1044" s="164">
        <f t="shared" si="81"/>
        <v>864.41</v>
      </c>
      <c r="V1044" s="159">
        <f t="shared" si="84"/>
        <v>-16171.93</v>
      </c>
      <c r="W1044" s="156">
        <f>D_Emprunts!$U1044-D_Emprunts!$V1044</f>
        <v>17036.34</v>
      </c>
      <c r="X1044" s="157">
        <f>X1043-D_Emprunts!$W1044</f>
        <v>-5498951.429999995</v>
      </c>
      <c r="Y1044">
        <v>1037</v>
      </c>
      <c r="Z1044" t="str">
        <f t="shared" si="82"/>
        <v>Investissement</v>
      </c>
      <c r="AA1044" t="str">
        <f t="shared" si="83"/>
        <v>travaux magasin</v>
      </c>
    </row>
    <row r="1045" spans="20:27" x14ac:dyDescent="0.25">
      <c r="T1045" s="158">
        <f t="shared" si="80"/>
        <v>75519</v>
      </c>
      <c r="U1045" s="164">
        <f t="shared" si="81"/>
        <v>864.41</v>
      </c>
      <c r="V1045" s="159">
        <f t="shared" si="84"/>
        <v>-16222.19</v>
      </c>
      <c r="W1045" s="159">
        <f>D_Emprunts!$U1045-D_Emprunts!$V1045</f>
        <v>17086.600000000002</v>
      </c>
      <c r="X1045" s="160">
        <f>X1044-D_Emprunts!$W1045</f>
        <v>-5516038.0299999947</v>
      </c>
      <c r="Y1045">
        <v>1038</v>
      </c>
      <c r="Z1045" t="str">
        <f t="shared" si="82"/>
        <v>Investissement</v>
      </c>
      <c r="AA1045" t="str">
        <f t="shared" si="83"/>
        <v>travaux magasin</v>
      </c>
    </row>
    <row r="1046" spans="20:27" x14ac:dyDescent="0.25">
      <c r="T1046" s="155">
        <f t="shared" si="80"/>
        <v>75550</v>
      </c>
      <c r="U1046" s="164">
        <f t="shared" si="81"/>
        <v>864.41</v>
      </c>
      <c r="V1046" s="159">
        <f t="shared" si="84"/>
        <v>-16272.59</v>
      </c>
      <c r="W1046" s="156">
        <f>D_Emprunts!$U1046-D_Emprunts!$V1046</f>
        <v>17137</v>
      </c>
      <c r="X1046" s="157">
        <f>X1045-D_Emprunts!$W1046</f>
        <v>-5533175.0299999947</v>
      </c>
      <c r="Y1046">
        <v>1039</v>
      </c>
      <c r="Z1046" t="str">
        <f t="shared" si="82"/>
        <v>Investissement</v>
      </c>
      <c r="AA1046" t="str">
        <f t="shared" si="83"/>
        <v>travaux magasin</v>
      </c>
    </row>
    <row r="1047" spans="20:27" x14ac:dyDescent="0.25">
      <c r="T1047" s="158">
        <f t="shared" si="80"/>
        <v>75580</v>
      </c>
      <c r="U1047" s="164">
        <f t="shared" si="81"/>
        <v>864.41</v>
      </c>
      <c r="V1047" s="159">
        <f t="shared" si="84"/>
        <v>-16323.15</v>
      </c>
      <c r="W1047" s="159">
        <f>D_Emprunts!$U1047-D_Emprunts!$V1047</f>
        <v>17187.560000000001</v>
      </c>
      <c r="X1047" s="160">
        <f>X1046-D_Emprunts!$W1047</f>
        <v>-5550362.5899999943</v>
      </c>
      <c r="Y1047">
        <v>1040</v>
      </c>
      <c r="Z1047" t="str">
        <f t="shared" si="82"/>
        <v>Investissement</v>
      </c>
      <c r="AA1047" t="str">
        <f t="shared" si="83"/>
        <v>travaux magasin</v>
      </c>
    </row>
    <row r="1048" spans="20:27" x14ac:dyDescent="0.25">
      <c r="T1048" s="155">
        <f t="shared" si="80"/>
        <v>75611</v>
      </c>
      <c r="U1048" s="164">
        <f t="shared" si="81"/>
        <v>864.41</v>
      </c>
      <c r="V1048" s="159">
        <f t="shared" si="84"/>
        <v>-16373.85</v>
      </c>
      <c r="W1048" s="156">
        <f>D_Emprunts!$U1048-D_Emprunts!$V1048</f>
        <v>17238.260000000002</v>
      </c>
      <c r="X1048" s="157">
        <f>X1047-D_Emprunts!$W1048</f>
        <v>-5567600.849999994</v>
      </c>
      <c r="Y1048">
        <v>1041</v>
      </c>
      <c r="Z1048" t="str">
        <f t="shared" si="82"/>
        <v>Investissement</v>
      </c>
      <c r="AA1048" t="str">
        <f t="shared" si="83"/>
        <v>travaux magasin</v>
      </c>
    </row>
    <row r="1049" spans="20:27" x14ac:dyDescent="0.25">
      <c r="T1049" s="158">
        <f t="shared" si="80"/>
        <v>75642</v>
      </c>
      <c r="U1049" s="164">
        <f t="shared" si="81"/>
        <v>864.41</v>
      </c>
      <c r="V1049" s="159">
        <f t="shared" si="84"/>
        <v>-16424.71</v>
      </c>
      <c r="W1049" s="159">
        <f>D_Emprunts!$U1049-D_Emprunts!$V1049</f>
        <v>17289.12</v>
      </c>
      <c r="X1049" s="160">
        <f>X1048-D_Emprunts!$W1049</f>
        <v>-5584889.9699999942</v>
      </c>
      <c r="Y1049">
        <v>1042</v>
      </c>
      <c r="Z1049" t="str">
        <f t="shared" si="82"/>
        <v>Investissement</v>
      </c>
      <c r="AA1049" t="str">
        <f t="shared" si="83"/>
        <v>travaux magasin</v>
      </c>
    </row>
    <row r="1050" spans="20:27" x14ac:dyDescent="0.25">
      <c r="T1050" s="155">
        <f t="shared" si="80"/>
        <v>75670</v>
      </c>
      <c r="U1050" s="164">
        <f t="shared" si="81"/>
        <v>864.41</v>
      </c>
      <c r="V1050" s="159">
        <f t="shared" si="84"/>
        <v>-16475.71</v>
      </c>
      <c r="W1050" s="156">
        <f>D_Emprunts!$U1050-D_Emprunts!$V1050</f>
        <v>17340.12</v>
      </c>
      <c r="X1050" s="157">
        <f>X1049-D_Emprunts!$W1050</f>
        <v>-5602230.0899999943</v>
      </c>
      <c r="Y1050">
        <v>1043</v>
      </c>
      <c r="Z1050" t="str">
        <f t="shared" si="82"/>
        <v>Investissement</v>
      </c>
      <c r="AA1050" t="str">
        <f t="shared" si="83"/>
        <v>travaux magasin</v>
      </c>
    </row>
    <row r="1051" spans="20:27" x14ac:dyDescent="0.25">
      <c r="T1051" s="158">
        <f t="shared" si="80"/>
        <v>75701</v>
      </c>
      <c r="U1051" s="164">
        <f t="shared" si="81"/>
        <v>864.41</v>
      </c>
      <c r="V1051" s="159">
        <f t="shared" si="84"/>
        <v>-16526.87</v>
      </c>
      <c r="W1051" s="159">
        <f>D_Emprunts!$U1051-D_Emprunts!$V1051</f>
        <v>17391.28</v>
      </c>
      <c r="X1051" s="160">
        <f>X1050-D_Emprunts!$W1051</f>
        <v>-5619621.3699999945</v>
      </c>
      <c r="Y1051">
        <v>1044</v>
      </c>
      <c r="Z1051" t="str">
        <f t="shared" si="82"/>
        <v>Investissement</v>
      </c>
      <c r="AA1051" t="str">
        <f t="shared" si="83"/>
        <v>travaux magasin</v>
      </c>
    </row>
    <row r="1052" spans="20:27" x14ac:dyDescent="0.25">
      <c r="T1052" s="155">
        <f t="shared" si="80"/>
        <v>75731</v>
      </c>
      <c r="U1052" s="164">
        <f t="shared" si="81"/>
        <v>864.41</v>
      </c>
      <c r="V1052" s="159">
        <f t="shared" si="84"/>
        <v>-16578.169999999998</v>
      </c>
      <c r="W1052" s="156">
        <f>D_Emprunts!$U1052-D_Emprunts!$V1052</f>
        <v>17442.579999999998</v>
      </c>
      <c r="X1052" s="157">
        <f>X1051-D_Emprunts!$W1052</f>
        <v>-5637063.9499999946</v>
      </c>
      <c r="Y1052">
        <v>1045</v>
      </c>
      <c r="Z1052" t="str">
        <f t="shared" si="82"/>
        <v>Investissement</v>
      </c>
      <c r="AA1052" t="str">
        <f t="shared" si="83"/>
        <v>travaux magasin</v>
      </c>
    </row>
    <row r="1053" spans="20:27" x14ac:dyDescent="0.25">
      <c r="T1053" s="158">
        <f t="shared" si="80"/>
        <v>75762</v>
      </c>
      <c r="U1053" s="164">
        <f t="shared" si="81"/>
        <v>864.41</v>
      </c>
      <c r="V1053" s="159">
        <f t="shared" si="84"/>
        <v>-16629.63</v>
      </c>
      <c r="W1053" s="159">
        <f>D_Emprunts!$U1053-D_Emprunts!$V1053</f>
        <v>17494.04</v>
      </c>
      <c r="X1053" s="160">
        <f>X1052-D_Emprunts!$W1053</f>
        <v>-5654557.9899999946</v>
      </c>
      <c r="Y1053">
        <v>1046</v>
      </c>
      <c r="Z1053" t="str">
        <f t="shared" si="82"/>
        <v>Investissement</v>
      </c>
      <c r="AA1053" t="str">
        <f t="shared" si="83"/>
        <v>travaux magasin</v>
      </c>
    </row>
    <row r="1054" spans="20:27" x14ac:dyDescent="0.25">
      <c r="T1054" s="155">
        <f t="shared" si="80"/>
        <v>75792</v>
      </c>
      <c r="U1054" s="164">
        <f t="shared" si="81"/>
        <v>864.41</v>
      </c>
      <c r="V1054" s="159">
        <f t="shared" si="84"/>
        <v>-16681.240000000002</v>
      </c>
      <c r="W1054" s="156">
        <f>D_Emprunts!$U1054-D_Emprunts!$V1054</f>
        <v>17545.650000000001</v>
      </c>
      <c r="X1054" s="157">
        <f>X1053-D_Emprunts!$W1054</f>
        <v>-5672103.639999995</v>
      </c>
      <c r="Y1054">
        <v>1047</v>
      </c>
      <c r="Z1054" t="str">
        <f t="shared" si="82"/>
        <v>Investissement</v>
      </c>
      <c r="AA1054" t="str">
        <f t="shared" si="83"/>
        <v>travaux magasin</v>
      </c>
    </row>
    <row r="1055" spans="20:27" x14ac:dyDescent="0.25">
      <c r="T1055" s="158">
        <f t="shared" si="80"/>
        <v>75823</v>
      </c>
      <c r="U1055" s="164">
        <f t="shared" si="81"/>
        <v>864.41</v>
      </c>
      <c r="V1055" s="159">
        <f t="shared" si="84"/>
        <v>-16733</v>
      </c>
      <c r="W1055" s="159">
        <f>D_Emprunts!$U1055-D_Emprunts!$V1055</f>
        <v>17597.41</v>
      </c>
      <c r="X1055" s="160">
        <f>X1054-D_Emprunts!$W1055</f>
        <v>-5689701.0499999952</v>
      </c>
      <c r="Y1055">
        <v>1048</v>
      </c>
      <c r="Z1055" t="str">
        <f t="shared" si="82"/>
        <v>Investissement</v>
      </c>
      <c r="AA1055" t="str">
        <f t="shared" si="83"/>
        <v>travaux magasin</v>
      </c>
    </row>
    <row r="1056" spans="20:27" x14ac:dyDescent="0.25">
      <c r="T1056" s="155">
        <f t="shared" si="80"/>
        <v>75854</v>
      </c>
      <c r="U1056" s="164">
        <f t="shared" si="81"/>
        <v>864.41</v>
      </c>
      <c r="V1056" s="159">
        <f t="shared" si="84"/>
        <v>-16784.91</v>
      </c>
      <c r="W1056" s="156">
        <f>D_Emprunts!$U1056-D_Emprunts!$V1056</f>
        <v>17649.32</v>
      </c>
      <c r="X1056" s="157">
        <f>X1055-D_Emprunts!$W1056</f>
        <v>-5707350.3699999955</v>
      </c>
      <c r="Y1056">
        <v>1049</v>
      </c>
      <c r="Z1056" t="str">
        <f t="shared" si="82"/>
        <v>Investissement</v>
      </c>
      <c r="AA1056" t="str">
        <f t="shared" si="83"/>
        <v>travaux magasin</v>
      </c>
    </row>
    <row r="1057" spans="20:27" x14ac:dyDescent="0.25">
      <c r="T1057" s="158">
        <f t="shared" si="80"/>
        <v>75884</v>
      </c>
      <c r="U1057" s="164">
        <f t="shared" si="81"/>
        <v>864.41</v>
      </c>
      <c r="V1057" s="159">
        <f t="shared" si="84"/>
        <v>-16836.98</v>
      </c>
      <c r="W1057" s="159">
        <f>D_Emprunts!$U1057-D_Emprunts!$V1057</f>
        <v>17701.39</v>
      </c>
      <c r="X1057" s="160">
        <f>X1056-D_Emprunts!$W1057</f>
        <v>-5725051.7599999951</v>
      </c>
      <c r="Y1057">
        <v>1050</v>
      </c>
      <c r="Z1057" t="str">
        <f t="shared" si="82"/>
        <v>Investissement</v>
      </c>
      <c r="AA1057" t="str">
        <f t="shared" si="83"/>
        <v>travaux magasin</v>
      </c>
    </row>
    <row r="1058" spans="20:27" x14ac:dyDescent="0.25">
      <c r="T1058" s="155">
        <f t="shared" si="80"/>
        <v>75915</v>
      </c>
      <c r="U1058" s="164">
        <f t="shared" si="81"/>
        <v>864.41</v>
      </c>
      <c r="V1058" s="159">
        <f t="shared" si="84"/>
        <v>-16889.2</v>
      </c>
      <c r="W1058" s="156">
        <f>D_Emprunts!$U1058-D_Emprunts!$V1058</f>
        <v>17753.61</v>
      </c>
      <c r="X1058" s="157">
        <f>X1057-D_Emprunts!$W1058</f>
        <v>-5742805.3699999955</v>
      </c>
      <c r="Y1058">
        <v>1051</v>
      </c>
      <c r="Z1058" t="str">
        <f t="shared" si="82"/>
        <v>Investissement</v>
      </c>
      <c r="AA1058" t="str">
        <f t="shared" si="83"/>
        <v>travaux magasin</v>
      </c>
    </row>
    <row r="1059" spans="20:27" x14ac:dyDescent="0.25">
      <c r="T1059" s="158">
        <f t="shared" si="80"/>
        <v>75945</v>
      </c>
      <c r="U1059" s="164">
        <f t="shared" si="81"/>
        <v>864.41</v>
      </c>
      <c r="V1059" s="159">
        <f t="shared" si="84"/>
        <v>-16941.57</v>
      </c>
      <c r="W1059" s="159">
        <f>D_Emprunts!$U1059-D_Emprunts!$V1059</f>
        <v>17805.98</v>
      </c>
      <c r="X1059" s="160">
        <f>X1058-D_Emprunts!$W1059</f>
        <v>-5760611.3499999959</v>
      </c>
      <c r="Y1059">
        <v>1052</v>
      </c>
      <c r="Z1059" t="str">
        <f t="shared" si="82"/>
        <v>Investissement</v>
      </c>
      <c r="AA1059" t="str">
        <f t="shared" si="83"/>
        <v>travaux magasin</v>
      </c>
    </row>
    <row r="1060" spans="20:27" x14ac:dyDescent="0.25">
      <c r="T1060" s="155">
        <f t="shared" si="80"/>
        <v>75976</v>
      </c>
      <c r="U1060" s="164">
        <f t="shared" si="81"/>
        <v>864.41</v>
      </c>
      <c r="V1060" s="159">
        <f t="shared" si="84"/>
        <v>-16994.099999999999</v>
      </c>
      <c r="W1060" s="156">
        <f>D_Emprunts!$U1060-D_Emprunts!$V1060</f>
        <v>17858.509999999998</v>
      </c>
      <c r="X1060" s="157">
        <f>X1059-D_Emprunts!$W1060</f>
        <v>-5778469.8599999957</v>
      </c>
      <c r="Y1060">
        <v>1053</v>
      </c>
      <c r="Z1060" t="str">
        <f t="shared" si="82"/>
        <v>Investissement</v>
      </c>
      <c r="AA1060" t="str">
        <f t="shared" si="83"/>
        <v>travaux magasin</v>
      </c>
    </row>
    <row r="1061" spans="20:27" x14ac:dyDescent="0.25">
      <c r="T1061" s="158">
        <f t="shared" si="80"/>
        <v>76007</v>
      </c>
      <c r="U1061" s="164">
        <f t="shared" si="81"/>
        <v>864.41</v>
      </c>
      <c r="V1061" s="159">
        <f t="shared" si="84"/>
        <v>-17046.78</v>
      </c>
      <c r="W1061" s="159">
        <f>D_Emprunts!$U1061-D_Emprunts!$V1061</f>
        <v>17911.189999999999</v>
      </c>
      <c r="X1061" s="160">
        <f>X1060-D_Emprunts!$W1061</f>
        <v>-5796381.0499999961</v>
      </c>
      <c r="Y1061">
        <v>1054</v>
      </c>
      <c r="Z1061" t="str">
        <f t="shared" si="82"/>
        <v>Investissement</v>
      </c>
      <c r="AA1061" t="str">
        <f t="shared" si="83"/>
        <v>travaux magasin</v>
      </c>
    </row>
    <row r="1062" spans="20:27" x14ac:dyDescent="0.25">
      <c r="T1062" s="155">
        <f t="shared" si="80"/>
        <v>76036</v>
      </c>
      <c r="U1062" s="164">
        <f t="shared" si="81"/>
        <v>864.41</v>
      </c>
      <c r="V1062" s="159">
        <f t="shared" si="84"/>
        <v>-17099.62</v>
      </c>
      <c r="W1062" s="156">
        <f>D_Emprunts!$U1062-D_Emprunts!$V1062</f>
        <v>17964.03</v>
      </c>
      <c r="X1062" s="157">
        <f>X1061-D_Emprunts!$W1062</f>
        <v>-5814345.0799999963</v>
      </c>
      <c r="Y1062">
        <v>1055</v>
      </c>
      <c r="Z1062" t="str">
        <f t="shared" si="82"/>
        <v>Investissement</v>
      </c>
      <c r="AA1062" t="str">
        <f t="shared" si="83"/>
        <v>travaux magasin</v>
      </c>
    </row>
    <row r="1063" spans="20:27" x14ac:dyDescent="0.25">
      <c r="T1063" s="158">
        <f t="shared" si="80"/>
        <v>76067</v>
      </c>
      <c r="U1063" s="164">
        <f t="shared" si="81"/>
        <v>864.41</v>
      </c>
      <c r="V1063" s="159">
        <f t="shared" si="84"/>
        <v>-17152.62</v>
      </c>
      <c r="W1063" s="159">
        <f>D_Emprunts!$U1063-D_Emprunts!$V1063</f>
        <v>18017.03</v>
      </c>
      <c r="X1063" s="160">
        <f>X1062-D_Emprunts!$W1063</f>
        <v>-5832362.1099999966</v>
      </c>
      <c r="Y1063">
        <v>1056</v>
      </c>
      <c r="Z1063" t="str">
        <f t="shared" si="82"/>
        <v>Investissement</v>
      </c>
      <c r="AA1063" t="str">
        <f t="shared" si="83"/>
        <v>travaux magasin</v>
      </c>
    </row>
    <row r="1064" spans="20:27" x14ac:dyDescent="0.25">
      <c r="T1064" s="155">
        <f t="shared" si="80"/>
        <v>76097</v>
      </c>
      <c r="U1064" s="164">
        <f t="shared" si="81"/>
        <v>864.41</v>
      </c>
      <c r="V1064" s="159">
        <f t="shared" si="84"/>
        <v>-17205.77</v>
      </c>
      <c r="W1064" s="156">
        <f>D_Emprunts!$U1064-D_Emprunts!$V1064</f>
        <v>18070.18</v>
      </c>
      <c r="X1064" s="157">
        <f>X1063-D_Emprunts!$W1064</f>
        <v>-5850432.2899999963</v>
      </c>
      <c r="Y1064">
        <v>1057</v>
      </c>
      <c r="Z1064" t="str">
        <f t="shared" si="82"/>
        <v>Investissement</v>
      </c>
      <c r="AA1064" t="str">
        <f t="shared" si="83"/>
        <v>travaux magasin</v>
      </c>
    </row>
    <row r="1065" spans="20:27" x14ac:dyDescent="0.25">
      <c r="T1065" s="158">
        <f t="shared" si="80"/>
        <v>76128</v>
      </c>
      <c r="U1065" s="164">
        <f t="shared" si="81"/>
        <v>864.41</v>
      </c>
      <c r="V1065" s="159">
        <f t="shared" si="84"/>
        <v>-17259.07</v>
      </c>
      <c r="W1065" s="159">
        <f>D_Emprunts!$U1065-D_Emprunts!$V1065</f>
        <v>18123.48</v>
      </c>
      <c r="X1065" s="160">
        <f>X1064-D_Emprunts!$W1065</f>
        <v>-5868555.7699999968</v>
      </c>
      <c r="Y1065">
        <v>1058</v>
      </c>
      <c r="Z1065" t="str">
        <f t="shared" si="82"/>
        <v>Investissement</v>
      </c>
      <c r="AA1065" t="str">
        <f t="shared" si="83"/>
        <v>travaux magasin</v>
      </c>
    </row>
    <row r="1066" spans="20:27" x14ac:dyDescent="0.25">
      <c r="T1066" s="155">
        <f t="shared" si="80"/>
        <v>76158</v>
      </c>
      <c r="U1066" s="164">
        <f t="shared" si="81"/>
        <v>864.41</v>
      </c>
      <c r="V1066" s="159">
        <f t="shared" si="84"/>
        <v>-17312.54</v>
      </c>
      <c r="W1066" s="156">
        <f>D_Emprunts!$U1066-D_Emprunts!$V1066</f>
        <v>18176.95</v>
      </c>
      <c r="X1066" s="157">
        <f>X1065-D_Emprunts!$W1066</f>
        <v>-5886732.7199999969</v>
      </c>
      <c r="Y1066">
        <v>1059</v>
      </c>
      <c r="Z1066" t="str">
        <f t="shared" si="82"/>
        <v>Investissement</v>
      </c>
      <c r="AA1066" t="str">
        <f t="shared" si="83"/>
        <v>travaux magasin</v>
      </c>
    </row>
    <row r="1067" spans="20:27" x14ac:dyDescent="0.25">
      <c r="T1067" s="158">
        <f t="shared" si="80"/>
        <v>76189</v>
      </c>
      <c r="U1067" s="164">
        <f t="shared" si="81"/>
        <v>864.41</v>
      </c>
      <c r="V1067" s="159">
        <f t="shared" si="84"/>
        <v>-17366.16</v>
      </c>
      <c r="W1067" s="159">
        <f>D_Emprunts!$U1067-D_Emprunts!$V1067</f>
        <v>18230.57</v>
      </c>
      <c r="X1067" s="160">
        <f>X1066-D_Emprunts!$W1067</f>
        <v>-5904963.2899999972</v>
      </c>
      <c r="Y1067">
        <v>1060</v>
      </c>
      <c r="Z1067" t="str">
        <f t="shared" si="82"/>
        <v>Investissement</v>
      </c>
      <c r="AA1067" t="str">
        <f t="shared" si="83"/>
        <v>travaux magasin</v>
      </c>
    </row>
    <row r="1068" spans="20:27" x14ac:dyDescent="0.25">
      <c r="T1068" s="155">
        <f t="shared" si="80"/>
        <v>76220</v>
      </c>
      <c r="U1068" s="164">
        <f t="shared" si="81"/>
        <v>864.41</v>
      </c>
      <c r="V1068" s="159">
        <f t="shared" si="84"/>
        <v>-17419.939999999999</v>
      </c>
      <c r="W1068" s="156">
        <f>D_Emprunts!$U1068-D_Emprunts!$V1068</f>
        <v>18284.349999999999</v>
      </c>
      <c r="X1068" s="157">
        <f>X1067-D_Emprunts!$W1068</f>
        <v>-5923247.6399999969</v>
      </c>
      <c r="Y1068">
        <v>1061</v>
      </c>
      <c r="Z1068" t="str">
        <f t="shared" si="82"/>
        <v>Investissement</v>
      </c>
      <c r="AA1068" t="str">
        <f t="shared" si="83"/>
        <v>travaux magasin</v>
      </c>
    </row>
    <row r="1069" spans="20:27" x14ac:dyDescent="0.25">
      <c r="T1069" s="158">
        <f t="shared" si="80"/>
        <v>76250</v>
      </c>
      <c r="U1069" s="164">
        <f t="shared" si="81"/>
        <v>864.41</v>
      </c>
      <c r="V1069" s="159">
        <f t="shared" si="84"/>
        <v>-17473.88</v>
      </c>
      <c r="W1069" s="159">
        <f>D_Emprunts!$U1069-D_Emprunts!$V1069</f>
        <v>18338.29</v>
      </c>
      <c r="X1069" s="160">
        <f>X1068-D_Emprunts!$W1069</f>
        <v>-5941585.9299999969</v>
      </c>
      <c r="Y1069">
        <v>1062</v>
      </c>
      <c r="Z1069" t="str">
        <f t="shared" si="82"/>
        <v>Investissement</v>
      </c>
      <c r="AA1069" t="str">
        <f t="shared" si="83"/>
        <v>travaux magasin</v>
      </c>
    </row>
    <row r="1070" spans="20:27" x14ac:dyDescent="0.25">
      <c r="T1070" s="155">
        <f t="shared" si="80"/>
        <v>76281</v>
      </c>
      <c r="U1070" s="164">
        <f t="shared" si="81"/>
        <v>864.41</v>
      </c>
      <c r="V1070" s="159">
        <f t="shared" si="84"/>
        <v>-17527.98</v>
      </c>
      <c r="W1070" s="156">
        <f>D_Emprunts!$U1070-D_Emprunts!$V1070</f>
        <v>18392.39</v>
      </c>
      <c r="X1070" s="157">
        <f>X1069-D_Emprunts!$W1070</f>
        <v>-5959978.3199999966</v>
      </c>
      <c r="Y1070">
        <v>1063</v>
      </c>
      <c r="Z1070" t="str">
        <f t="shared" si="82"/>
        <v>Investissement</v>
      </c>
      <c r="AA1070" t="str">
        <f t="shared" si="83"/>
        <v>travaux magasin</v>
      </c>
    </row>
    <row r="1071" spans="20:27" x14ac:dyDescent="0.25">
      <c r="T1071" s="158">
        <f t="shared" si="80"/>
        <v>76311</v>
      </c>
      <c r="U1071" s="164">
        <f t="shared" si="81"/>
        <v>864.41</v>
      </c>
      <c r="V1071" s="159">
        <f t="shared" si="84"/>
        <v>-17582.240000000002</v>
      </c>
      <c r="W1071" s="159">
        <f>D_Emprunts!$U1071-D_Emprunts!$V1071</f>
        <v>18446.650000000001</v>
      </c>
      <c r="X1071" s="160">
        <f>X1070-D_Emprunts!$W1071</f>
        <v>-5978424.9699999969</v>
      </c>
      <c r="Y1071">
        <v>1064</v>
      </c>
      <c r="Z1071" t="str">
        <f t="shared" si="82"/>
        <v>Investissement</v>
      </c>
      <c r="AA1071" t="str">
        <f t="shared" si="83"/>
        <v>travaux magasin</v>
      </c>
    </row>
    <row r="1072" spans="20:27" x14ac:dyDescent="0.25">
      <c r="T1072" s="155">
        <f t="shared" si="80"/>
        <v>76342</v>
      </c>
      <c r="U1072" s="164">
        <f t="shared" si="81"/>
        <v>864.41</v>
      </c>
      <c r="V1072" s="159">
        <f t="shared" si="84"/>
        <v>-17636.66</v>
      </c>
      <c r="W1072" s="156">
        <f>D_Emprunts!$U1072-D_Emprunts!$V1072</f>
        <v>18501.07</v>
      </c>
      <c r="X1072" s="157">
        <f>X1071-D_Emprunts!$W1072</f>
        <v>-5996926.0399999972</v>
      </c>
      <c r="Y1072">
        <v>1065</v>
      </c>
      <c r="Z1072" t="str">
        <f t="shared" si="82"/>
        <v>Investissement</v>
      </c>
      <c r="AA1072" t="str">
        <f t="shared" si="83"/>
        <v>travaux magasin</v>
      </c>
    </row>
    <row r="1073" spans="20:27" x14ac:dyDescent="0.25">
      <c r="T1073" s="158">
        <f t="shared" si="80"/>
        <v>76373</v>
      </c>
      <c r="U1073" s="164">
        <f t="shared" si="81"/>
        <v>864.41</v>
      </c>
      <c r="V1073" s="159">
        <f t="shared" si="84"/>
        <v>-17691.240000000002</v>
      </c>
      <c r="W1073" s="159">
        <f>D_Emprunts!$U1073-D_Emprunts!$V1073</f>
        <v>18555.650000000001</v>
      </c>
      <c r="X1073" s="160">
        <f>X1072-D_Emprunts!$W1073</f>
        <v>-6015481.6899999976</v>
      </c>
      <c r="Y1073">
        <v>1066</v>
      </c>
      <c r="Z1073" t="str">
        <f t="shared" si="82"/>
        <v>Investissement</v>
      </c>
      <c r="AA1073" t="str">
        <f t="shared" si="83"/>
        <v>travaux magasin</v>
      </c>
    </row>
    <row r="1074" spans="20:27" x14ac:dyDescent="0.25">
      <c r="T1074" s="155">
        <f t="shared" si="80"/>
        <v>76401</v>
      </c>
      <c r="U1074" s="164">
        <f t="shared" si="81"/>
        <v>864.41</v>
      </c>
      <c r="V1074" s="159">
        <f t="shared" si="84"/>
        <v>-17745.98</v>
      </c>
      <c r="W1074" s="156">
        <f>D_Emprunts!$U1074-D_Emprunts!$V1074</f>
        <v>18610.39</v>
      </c>
      <c r="X1074" s="157">
        <f>X1073-D_Emprunts!$W1074</f>
        <v>-6034092.0799999973</v>
      </c>
      <c r="Y1074">
        <v>1067</v>
      </c>
      <c r="Z1074" t="str">
        <f t="shared" si="82"/>
        <v>Investissement</v>
      </c>
      <c r="AA1074" t="str">
        <f t="shared" si="83"/>
        <v>travaux magasin</v>
      </c>
    </row>
    <row r="1075" spans="20:27" x14ac:dyDescent="0.25">
      <c r="T1075" s="158">
        <f t="shared" si="80"/>
        <v>76432</v>
      </c>
      <c r="U1075" s="164">
        <f t="shared" si="81"/>
        <v>864.41</v>
      </c>
      <c r="V1075" s="159">
        <f t="shared" si="84"/>
        <v>-17800.88</v>
      </c>
      <c r="W1075" s="159">
        <f>D_Emprunts!$U1075-D_Emprunts!$V1075</f>
        <v>18665.29</v>
      </c>
      <c r="X1075" s="160">
        <f>X1074-D_Emprunts!$W1075</f>
        <v>-6052757.3699999973</v>
      </c>
      <c r="Y1075">
        <v>1068</v>
      </c>
      <c r="Z1075" t="str">
        <f t="shared" si="82"/>
        <v>Investissement</v>
      </c>
      <c r="AA1075" t="str">
        <f t="shared" si="83"/>
        <v>travaux magasin</v>
      </c>
    </row>
    <row r="1076" spans="20:27" x14ac:dyDescent="0.25">
      <c r="T1076" s="155">
        <f t="shared" si="80"/>
        <v>76462</v>
      </c>
      <c r="U1076" s="164">
        <f t="shared" si="81"/>
        <v>864.41</v>
      </c>
      <c r="V1076" s="159">
        <f t="shared" si="84"/>
        <v>-17855.939999999999</v>
      </c>
      <c r="W1076" s="156">
        <f>D_Emprunts!$U1076-D_Emprunts!$V1076</f>
        <v>18720.349999999999</v>
      </c>
      <c r="X1076" s="157">
        <f>X1075-D_Emprunts!$W1076</f>
        <v>-6071477.7199999969</v>
      </c>
      <c r="Y1076">
        <v>1069</v>
      </c>
      <c r="Z1076" t="str">
        <f t="shared" si="82"/>
        <v>Investissement</v>
      </c>
      <c r="AA1076" t="str">
        <f t="shared" si="83"/>
        <v>travaux magasin</v>
      </c>
    </row>
    <row r="1077" spans="20:27" x14ac:dyDescent="0.25">
      <c r="T1077" s="158">
        <f t="shared" si="80"/>
        <v>76493</v>
      </c>
      <c r="U1077" s="164">
        <f t="shared" si="81"/>
        <v>864.41</v>
      </c>
      <c r="V1077" s="159">
        <f t="shared" si="84"/>
        <v>-17911.169999999998</v>
      </c>
      <c r="W1077" s="159">
        <f>D_Emprunts!$U1077-D_Emprunts!$V1077</f>
        <v>18775.579999999998</v>
      </c>
      <c r="X1077" s="160">
        <f>X1076-D_Emprunts!$W1077</f>
        <v>-6090253.299999997</v>
      </c>
      <c r="Y1077">
        <v>1070</v>
      </c>
      <c r="Z1077" t="str">
        <f t="shared" si="82"/>
        <v>Investissement</v>
      </c>
      <c r="AA1077" t="str">
        <f t="shared" si="83"/>
        <v>travaux magasin</v>
      </c>
    </row>
    <row r="1078" spans="20:27" x14ac:dyDescent="0.25">
      <c r="T1078" s="155">
        <f t="shared" si="80"/>
        <v>76523</v>
      </c>
      <c r="U1078" s="164">
        <f t="shared" si="81"/>
        <v>864.41</v>
      </c>
      <c r="V1078" s="159">
        <f t="shared" si="84"/>
        <v>-17966.560000000001</v>
      </c>
      <c r="W1078" s="156">
        <f>D_Emprunts!$U1078-D_Emprunts!$V1078</f>
        <v>18830.97</v>
      </c>
      <c r="X1078" s="157">
        <f>X1077-D_Emprunts!$W1078</f>
        <v>-6109084.2699999968</v>
      </c>
      <c r="Y1078">
        <v>1071</v>
      </c>
      <c r="Z1078" t="str">
        <f t="shared" si="82"/>
        <v>Investissement</v>
      </c>
      <c r="AA1078" t="str">
        <f t="shared" si="83"/>
        <v>travaux magasin</v>
      </c>
    </row>
    <row r="1079" spans="20:27" x14ac:dyDescent="0.25">
      <c r="T1079" s="158">
        <f t="shared" si="80"/>
        <v>76554</v>
      </c>
      <c r="U1079" s="164">
        <f t="shared" si="81"/>
        <v>864.41</v>
      </c>
      <c r="V1079" s="159">
        <f t="shared" si="84"/>
        <v>-18022.11</v>
      </c>
      <c r="W1079" s="159">
        <f>D_Emprunts!$U1079-D_Emprunts!$V1079</f>
        <v>18886.52</v>
      </c>
      <c r="X1079" s="160">
        <f>X1078-D_Emprunts!$W1079</f>
        <v>-6127970.7899999963</v>
      </c>
      <c r="Y1079">
        <v>1072</v>
      </c>
      <c r="Z1079" t="str">
        <f t="shared" si="82"/>
        <v>Investissement</v>
      </c>
      <c r="AA1079" t="str">
        <f t="shared" si="83"/>
        <v>travaux magasin</v>
      </c>
    </row>
    <row r="1080" spans="20:27" x14ac:dyDescent="0.25">
      <c r="T1080" s="155">
        <f t="shared" si="80"/>
        <v>76585</v>
      </c>
      <c r="U1080" s="164">
        <f t="shared" si="81"/>
        <v>864.41</v>
      </c>
      <c r="V1080" s="159">
        <f t="shared" si="84"/>
        <v>-18077.830000000002</v>
      </c>
      <c r="W1080" s="156">
        <f>D_Emprunts!$U1080-D_Emprunts!$V1080</f>
        <v>18942.240000000002</v>
      </c>
      <c r="X1080" s="157">
        <f>X1079-D_Emprunts!$W1080</f>
        <v>-6146913.0299999965</v>
      </c>
      <c r="Y1080">
        <v>1073</v>
      </c>
      <c r="Z1080" t="str">
        <f t="shared" si="82"/>
        <v>Investissement</v>
      </c>
      <c r="AA1080" t="str">
        <f t="shared" si="83"/>
        <v>travaux magasin</v>
      </c>
    </row>
    <row r="1081" spans="20:27" x14ac:dyDescent="0.25">
      <c r="T1081" s="158">
        <f t="shared" si="80"/>
        <v>76615</v>
      </c>
      <c r="U1081" s="164">
        <f t="shared" si="81"/>
        <v>864.41</v>
      </c>
      <c r="V1081" s="159">
        <f t="shared" si="84"/>
        <v>-18133.71</v>
      </c>
      <c r="W1081" s="159">
        <f>D_Emprunts!$U1081-D_Emprunts!$V1081</f>
        <v>18998.12</v>
      </c>
      <c r="X1081" s="160">
        <f>X1080-D_Emprunts!$W1081</f>
        <v>-6165911.1499999966</v>
      </c>
      <c r="Y1081">
        <v>1074</v>
      </c>
      <c r="Z1081" t="str">
        <f t="shared" si="82"/>
        <v>Investissement</v>
      </c>
      <c r="AA1081" t="str">
        <f t="shared" si="83"/>
        <v>travaux magasin</v>
      </c>
    </row>
    <row r="1082" spans="20:27" x14ac:dyDescent="0.25">
      <c r="T1082" s="155">
        <f t="shared" si="80"/>
        <v>76646</v>
      </c>
      <c r="U1082" s="164">
        <f t="shared" si="81"/>
        <v>864.41</v>
      </c>
      <c r="V1082" s="159">
        <f t="shared" si="84"/>
        <v>-18189.75</v>
      </c>
      <c r="W1082" s="156">
        <f>D_Emprunts!$U1082-D_Emprunts!$V1082</f>
        <v>19054.16</v>
      </c>
      <c r="X1082" s="157">
        <f>X1081-D_Emprunts!$W1082</f>
        <v>-6184965.3099999968</v>
      </c>
      <c r="Y1082">
        <v>1075</v>
      </c>
      <c r="Z1082" t="str">
        <f t="shared" si="82"/>
        <v>Investissement</v>
      </c>
      <c r="AA1082" t="str">
        <f t="shared" si="83"/>
        <v>travaux magasin</v>
      </c>
    </row>
    <row r="1083" spans="20:27" x14ac:dyDescent="0.25">
      <c r="T1083" s="158">
        <f t="shared" si="80"/>
        <v>76676</v>
      </c>
      <c r="U1083" s="164">
        <f t="shared" si="81"/>
        <v>864.41</v>
      </c>
      <c r="V1083" s="159">
        <f t="shared" si="84"/>
        <v>-18245.96</v>
      </c>
      <c r="W1083" s="159">
        <f>D_Emprunts!$U1083-D_Emprunts!$V1083</f>
        <v>19110.37</v>
      </c>
      <c r="X1083" s="160">
        <f>X1082-D_Emprunts!$W1083</f>
        <v>-6204075.6799999969</v>
      </c>
      <c r="Y1083">
        <v>1076</v>
      </c>
      <c r="Z1083" t="str">
        <f t="shared" si="82"/>
        <v>Investissement</v>
      </c>
      <c r="AA1083" t="str">
        <f t="shared" si="83"/>
        <v>travaux magasin</v>
      </c>
    </row>
    <row r="1084" spans="20:27" x14ac:dyDescent="0.25">
      <c r="T1084" s="155">
        <f t="shared" si="80"/>
        <v>76707</v>
      </c>
      <c r="U1084" s="164">
        <f t="shared" si="81"/>
        <v>864.41</v>
      </c>
      <c r="V1084" s="159">
        <f t="shared" si="84"/>
        <v>-18302.34</v>
      </c>
      <c r="W1084" s="156">
        <f>D_Emprunts!$U1084-D_Emprunts!$V1084</f>
        <v>19166.75</v>
      </c>
      <c r="X1084" s="157">
        <f>X1083-D_Emprunts!$W1084</f>
        <v>-6223242.4299999969</v>
      </c>
      <c r="Y1084">
        <v>1077</v>
      </c>
      <c r="Z1084" t="str">
        <f t="shared" si="82"/>
        <v>Investissement</v>
      </c>
      <c r="AA1084" t="str">
        <f t="shared" si="83"/>
        <v>travaux magasin</v>
      </c>
    </row>
    <row r="1085" spans="20:27" x14ac:dyDescent="0.25">
      <c r="T1085" s="158">
        <f t="shared" si="80"/>
        <v>76738</v>
      </c>
      <c r="U1085" s="164">
        <f t="shared" si="81"/>
        <v>864.41</v>
      </c>
      <c r="V1085" s="159">
        <f t="shared" si="84"/>
        <v>-18358.88</v>
      </c>
      <c r="W1085" s="159">
        <f>D_Emprunts!$U1085-D_Emprunts!$V1085</f>
        <v>19223.29</v>
      </c>
      <c r="X1085" s="160">
        <f>X1084-D_Emprunts!$W1085</f>
        <v>-6242465.7199999969</v>
      </c>
      <c r="Y1085">
        <v>1078</v>
      </c>
      <c r="Z1085" t="str">
        <f t="shared" si="82"/>
        <v>Investissement</v>
      </c>
      <c r="AA1085" t="str">
        <f t="shared" si="83"/>
        <v>travaux magasin</v>
      </c>
    </row>
    <row r="1086" spans="20:27" x14ac:dyDescent="0.25">
      <c r="T1086" s="155">
        <f t="shared" si="80"/>
        <v>76766</v>
      </c>
      <c r="U1086" s="164">
        <f t="shared" si="81"/>
        <v>864.41</v>
      </c>
      <c r="V1086" s="159">
        <f t="shared" si="84"/>
        <v>-18415.59</v>
      </c>
      <c r="W1086" s="156">
        <f>D_Emprunts!$U1086-D_Emprunts!$V1086</f>
        <v>19280</v>
      </c>
      <c r="X1086" s="157">
        <f>X1085-D_Emprunts!$W1086</f>
        <v>-6261745.7199999969</v>
      </c>
      <c r="Y1086">
        <v>1079</v>
      </c>
      <c r="Z1086" t="str">
        <f t="shared" si="82"/>
        <v>Investissement</v>
      </c>
      <c r="AA1086" t="str">
        <f t="shared" si="83"/>
        <v>travaux magasin</v>
      </c>
    </row>
    <row r="1087" spans="20:27" x14ac:dyDescent="0.25">
      <c r="T1087" s="158">
        <f t="shared" si="80"/>
        <v>76797</v>
      </c>
      <c r="U1087" s="164">
        <f t="shared" si="81"/>
        <v>864.41</v>
      </c>
      <c r="V1087" s="159">
        <f t="shared" si="84"/>
        <v>-18472.47</v>
      </c>
      <c r="W1087" s="159">
        <f>D_Emprunts!$U1087-D_Emprunts!$V1087</f>
        <v>19336.88</v>
      </c>
      <c r="X1087" s="160">
        <f>X1086-D_Emprunts!$W1087</f>
        <v>-6281082.5999999968</v>
      </c>
      <c r="Y1087">
        <v>1080</v>
      </c>
      <c r="Z1087" t="str">
        <f t="shared" si="82"/>
        <v>Investissement</v>
      </c>
      <c r="AA1087" t="str">
        <f t="shared" si="83"/>
        <v>travaux magasin</v>
      </c>
    </row>
    <row r="1088" spans="20:27" x14ac:dyDescent="0.25">
      <c r="T1088" s="155">
        <f t="shared" si="80"/>
        <v>76827</v>
      </c>
      <c r="U1088" s="164">
        <f t="shared" si="81"/>
        <v>864.41</v>
      </c>
      <c r="V1088" s="159">
        <f t="shared" si="84"/>
        <v>-18529.509999999998</v>
      </c>
      <c r="W1088" s="156">
        <f>D_Emprunts!$U1088-D_Emprunts!$V1088</f>
        <v>19393.919999999998</v>
      </c>
      <c r="X1088" s="157">
        <f>X1087-D_Emprunts!$W1088</f>
        <v>-6300476.5199999968</v>
      </c>
      <c r="Y1088">
        <v>1081</v>
      </c>
      <c r="Z1088" t="str">
        <f t="shared" si="82"/>
        <v>Investissement</v>
      </c>
      <c r="AA1088" t="str">
        <f t="shared" si="83"/>
        <v>travaux magasin</v>
      </c>
    </row>
    <row r="1089" spans="20:27" x14ac:dyDescent="0.25">
      <c r="T1089" s="158">
        <f t="shared" si="80"/>
        <v>76858</v>
      </c>
      <c r="U1089" s="164">
        <f t="shared" si="81"/>
        <v>864.41</v>
      </c>
      <c r="V1089" s="159">
        <f t="shared" si="84"/>
        <v>-18586.73</v>
      </c>
      <c r="W1089" s="159">
        <f>D_Emprunts!$U1089-D_Emprunts!$V1089</f>
        <v>19451.14</v>
      </c>
      <c r="X1089" s="160">
        <f>X1088-D_Emprunts!$W1089</f>
        <v>-6319927.6599999964</v>
      </c>
      <c r="Y1089">
        <v>1082</v>
      </c>
      <c r="Z1089" t="str">
        <f t="shared" si="82"/>
        <v>Investissement</v>
      </c>
      <c r="AA1089" t="str">
        <f t="shared" si="83"/>
        <v>travaux magasin</v>
      </c>
    </row>
    <row r="1090" spans="20:27" x14ac:dyDescent="0.25">
      <c r="T1090" s="155">
        <f t="shared" si="80"/>
        <v>76888</v>
      </c>
      <c r="U1090" s="164">
        <f t="shared" si="81"/>
        <v>864.41</v>
      </c>
      <c r="V1090" s="159">
        <f t="shared" si="84"/>
        <v>-18644.11</v>
      </c>
      <c r="W1090" s="156">
        <f>D_Emprunts!$U1090-D_Emprunts!$V1090</f>
        <v>19508.52</v>
      </c>
      <c r="X1090" s="157">
        <f>X1089-D_Emprunts!$W1090</f>
        <v>-6339436.179999996</v>
      </c>
      <c r="Y1090">
        <v>1083</v>
      </c>
      <c r="Z1090" t="str">
        <f t="shared" si="82"/>
        <v>Investissement</v>
      </c>
      <c r="AA1090" t="str">
        <f t="shared" si="83"/>
        <v>travaux magasin</v>
      </c>
    </row>
    <row r="1091" spans="20:27" x14ac:dyDescent="0.25">
      <c r="T1091" s="158">
        <f t="shared" si="80"/>
        <v>76919</v>
      </c>
      <c r="U1091" s="164">
        <f t="shared" si="81"/>
        <v>864.41</v>
      </c>
      <c r="V1091" s="159">
        <f t="shared" si="84"/>
        <v>-18701.66</v>
      </c>
      <c r="W1091" s="159">
        <f>D_Emprunts!$U1091-D_Emprunts!$V1091</f>
        <v>19566.07</v>
      </c>
      <c r="X1091" s="160">
        <f>X1090-D_Emprunts!$W1091</f>
        <v>-6359002.2499999963</v>
      </c>
      <c r="Y1091">
        <v>1084</v>
      </c>
      <c r="Z1091" t="str">
        <f t="shared" si="82"/>
        <v>Investissement</v>
      </c>
      <c r="AA1091" t="str">
        <f t="shared" si="83"/>
        <v>travaux magasin</v>
      </c>
    </row>
    <row r="1092" spans="20:27" x14ac:dyDescent="0.25">
      <c r="T1092" s="155">
        <f t="shared" si="80"/>
        <v>76950</v>
      </c>
      <c r="U1092" s="164">
        <f t="shared" si="81"/>
        <v>864.41</v>
      </c>
      <c r="V1092" s="159">
        <f t="shared" si="84"/>
        <v>-18759.38</v>
      </c>
      <c r="W1092" s="156">
        <f>D_Emprunts!$U1092-D_Emprunts!$V1092</f>
        <v>19623.79</v>
      </c>
      <c r="X1092" s="157">
        <f>X1091-D_Emprunts!$W1092</f>
        <v>-6378626.0399999963</v>
      </c>
      <c r="Y1092">
        <v>1085</v>
      </c>
      <c r="Z1092" t="str">
        <f t="shared" si="82"/>
        <v>Investissement</v>
      </c>
      <c r="AA1092" t="str">
        <f t="shared" si="83"/>
        <v>travaux magasin</v>
      </c>
    </row>
    <row r="1093" spans="20:27" x14ac:dyDescent="0.25">
      <c r="T1093" s="158">
        <f t="shared" si="80"/>
        <v>76980</v>
      </c>
      <c r="U1093" s="164">
        <f t="shared" si="81"/>
        <v>864.41</v>
      </c>
      <c r="V1093" s="159">
        <f t="shared" si="84"/>
        <v>-18817.27</v>
      </c>
      <c r="W1093" s="159">
        <f>D_Emprunts!$U1093-D_Emprunts!$V1093</f>
        <v>19681.68</v>
      </c>
      <c r="X1093" s="160">
        <f>X1092-D_Emprunts!$W1093</f>
        <v>-6398307.719999996</v>
      </c>
      <c r="Y1093">
        <v>1086</v>
      </c>
      <c r="Z1093" t="str">
        <f t="shared" si="82"/>
        <v>Investissement</v>
      </c>
      <c r="AA1093" t="str">
        <f t="shared" si="83"/>
        <v>travaux magasin</v>
      </c>
    </row>
    <row r="1094" spans="20:27" x14ac:dyDescent="0.25">
      <c r="T1094" s="155">
        <f t="shared" si="80"/>
        <v>77011</v>
      </c>
      <c r="U1094" s="164">
        <f t="shared" si="81"/>
        <v>864.41</v>
      </c>
      <c r="V1094" s="159">
        <f t="shared" si="84"/>
        <v>-18875.34</v>
      </c>
      <c r="W1094" s="156">
        <f>D_Emprunts!$U1094-D_Emprunts!$V1094</f>
        <v>19739.75</v>
      </c>
      <c r="X1094" s="157">
        <f>X1093-D_Emprunts!$W1094</f>
        <v>-6418047.469999996</v>
      </c>
      <c r="Y1094">
        <v>1087</v>
      </c>
      <c r="Z1094" t="str">
        <f t="shared" si="82"/>
        <v>Investissement</v>
      </c>
      <c r="AA1094" t="str">
        <f t="shared" si="83"/>
        <v>travaux magasin</v>
      </c>
    </row>
    <row r="1095" spans="20:27" x14ac:dyDescent="0.25">
      <c r="T1095" s="158">
        <f t="shared" si="80"/>
        <v>77041</v>
      </c>
      <c r="U1095" s="164">
        <f t="shared" si="81"/>
        <v>864.41</v>
      </c>
      <c r="V1095" s="159">
        <f t="shared" si="84"/>
        <v>-18933.57</v>
      </c>
      <c r="W1095" s="159">
        <f>D_Emprunts!$U1095-D_Emprunts!$V1095</f>
        <v>19797.98</v>
      </c>
      <c r="X1095" s="160">
        <f>X1094-D_Emprunts!$W1095</f>
        <v>-6437845.4499999965</v>
      </c>
      <c r="Y1095">
        <v>1088</v>
      </c>
      <c r="Z1095" t="str">
        <f t="shared" si="82"/>
        <v>Investissement</v>
      </c>
      <c r="AA1095" t="str">
        <f t="shared" si="83"/>
        <v>travaux magasin</v>
      </c>
    </row>
    <row r="1096" spans="20:27" ht="15.75" thickBot="1" x14ac:dyDescent="0.3">
      <c r="T1096" s="155">
        <f t="shared" si="80"/>
        <v>77072</v>
      </c>
      <c r="U1096" s="164">
        <f t="shared" si="81"/>
        <v>864.41</v>
      </c>
      <c r="V1096" s="159">
        <f t="shared" si="84"/>
        <v>-18991.97</v>
      </c>
      <c r="W1096" s="156">
        <f>D_Emprunts!$U1096-D_Emprunts!$V1096</f>
        <v>19856.38</v>
      </c>
      <c r="X1096" s="157">
        <f>X1095-D_Emprunts!$W1096</f>
        <v>-6457701.8299999963</v>
      </c>
      <c r="Y1096">
        <v>1089</v>
      </c>
      <c r="Z1096" t="str">
        <f t="shared" si="82"/>
        <v>Investissement</v>
      </c>
      <c r="AA1096" t="str">
        <f t="shared" si="83"/>
        <v>travaux magasin</v>
      </c>
    </row>
    <row r="1097" spans="20:27" ht="15.75" thickTop="1" x14ac:dyDescent="0.25">
      <c r="T1097" s="161"/>
      <c r="U1097" s="152"/>
      <c r="V1097" s="162"/>
      <c r="W1097" s="162"/>
      <c r="X1097" s="163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B7ACE-0711-4DBC-820B-BE4E84EC861B}">
  <sheetPr codeName="Feuil22"/>
  <dimension ref="B3:K1100"/>
  <sheetViews>
    <sheetView workbookViewId="0">
      <selection activeCell="D12" sqref="D12"/>
    </sheetView>
  </sheetViews>
  <sheetFormatPr baseColWidth="10" defaultRowHeight="15" x14ac:dyDescent="0.25"/>
  <cols>
    <col min="2" max="2" width="20.42578125" bestFit="1" customWidth="1"/>
    <col min="3" max="3" width="13.28515625" customWidth="1"/>
    <col min="4" max="4" width="12.85546875" bestFit="1" customWidth="1"/>
    <col min="5" max="5" width="20.7109375" bestFit="1" customWidth="1"/>
    <col min="6" max="6" width="14.5703125" bestFit="1" customWidth="1"/>
    <col min="7" max="7" width="16.5703125" bestFit="1" customWidth="1"/>
    <col min="8" max="8" width="15.140625" bestFit="1" customWidth="1"/>
    <col min="10" max="10" width="11.85546875" bestFit="1" customWidth="1"/>
    <col min="11" max="11" width="20.7109375" bestFit="1" customWidth="1"/>
    <col min="12" max="12" width="14.5703125" bestFit="1" customWidth="1"/>
    <col min="13" max="13" width="16.5703125" bestFit="1" customWidth="1"/>
    <col min="14" max="14" width="15.140625" bestFit="1" customWidth="1"/>
  </cols>
  <sheetData>
    <row r="3" spans="2:11" x14ac:dyDescent="0.25">
      <c r="B3" s="69" t="s">
        <v>169</v>
      </c>
      <c r="D3" s="68" t="s">
        <v>166</v>
      </c>
      <c r="E3" s="68" t="s">
        <v>173</v>
      </c>
      <c r="F3" s="68" t="s">
        <v>174</v>
      </c>
      <c r="G3" s="68" t="s">
        <v>175</v>
      </c>
      <c r="H3" s="68" t="s">
        <v>176</v>
      </c>
      <c r="I3" s="68" t="s">
        <v>177</v>
      </c>
      <c r="J3" s="68" t="s">
        <v>161</v>
      </c>
    </row>
    <row r="4" spans="2:11" x14ac:dyDescent="0.25">
      <c r="B4" s="1" t="s">
        <v>164</v>
      </c>
      <c r="D4" s="1" t="str">
        <f>_xlfn.XLOOKUP($B$4,Tableau1[libellé],Tableau1[date de début],"NA",0)</f>
        <v>NA</v>
      </c>
      <c r="E4" s="1" t="str">
        <f>_xlfn.XLOOKUP($B$4,Tableau1[libellé],Tableau1[Duree],"NA",0)</f>
        <v>NA</v>
      </c>
      <c r="F4" s="66" t="e">
        <f>RATE(E4,-H4,G4,0,0)*12</f>
        <v>#VALUE!</v>
      </c>
      <c r="G4" s="18" t="str">
        <f>_xlfn.XLOOKUP($B$4,Tableau1[libellé],Tableau1[montant emprunté],"NA",0)</f>
        <v>NA</v>
      </c>
      <c r="H4" s="1" t="str">
        <f>_xlfn.XLOOKUP($B$4,Tableau1[libellé],Tableau1[mensualité],"NA",0)</f>
        <v>NA</v>
      </c>
      <c r="I4" s="1" t="str">
        <f>_xlfn.XLOOKUP($B$4,Tableau1[libellé],Tableau1[type de prêt],"NA",0)</f>
        <v>NA</v>
      </c>
      <c r="J4" s="1" t="str">
        <f>_xlfn.XLOOKUP($B$4,Tableau1[libellé],Tableau1[libellé],"NA",0)</f>
        <v>NA</v>
      </c>
    </row>
    <row r="5" spans="2:11" ht="15.75" thickBot="1" x14ac:dyDescent="0.3"/>
    <row r="6" spans="2:11" ht="15.75" thickBot="1" x14ac:dyDescent="0.3">
      <c r="K6" s="153" t="str">
        <f>LOOKUP("z",Tableau1[libellé])</f>
        <v>travaux magasin</v>
      </c>
    </row>
    <row r="8" spans="2:11" ht="21" x14ac:dyDescent="0.35">
      <c r="B8" s="85" t="s">
        <v>170</v>
      </c>
      <c r="C8" s="85"/>
      <c r="D8" s="85"/>
      <c r="E8" s="85"/>
      <c r="F8" s="85"/>
    </row>
    <row r="10" spans="2:11" x14ac:dyDescent="0.25">
      <c r="B10" t="s">
        <v>130</v>
      </c>
      <c r="C10" t="s">
        <v>168</v>
      </c>
      <c r="D10" t="s">
        <v>171</v>
      </c>
      <c r="E10" t="s">
        <v>172</v>
      </c>
      <c r="F10" t="s">
        <v>167</v>
      </c>
    </row>
    <row r="11" spans="2:11" x14ac:dyDescent="0.25">
      <c r="B11" s="67" t="str">
        <f>$D$4</f>
        <v>NA</v>
      </c>
      <c r="C11" t="str">
        <f>$H$4</f>
        <v>NA</v>
      </c>
      <c r="D11" s="64" t="e">
        <f>$H$4*$F$4/12</f>
        <v>#VALUE!</v>
      </c>
      <c r="E11" s="64" t="e">
        <f>Tableau7[[#This Row],[Mensualité]]-Tableau7[[#This Row],[Intérêts]]</f>
        <v>#VALUE!</v>
      </c>
      <c r="F11" s="64" t="e">
        <f>$G$4-Tableau7[[#This Row],[Capital]]</f>
        <v>#VALUE!</v>
      </c>
    </row>
    <row r="12" spans="2:11" x14ac:dyDescent="0.25">
      <c r="B12" s="67" t="str">
        <f t="shared" ref="B12:B36" si="0">$D$4</f>
        <v>NA</v>
      </c>
      <c r="C12" t="str">
        <f t="shared" ref="C12:C36" si="1">$H$4</f>
        <v>NA</v>
      </c>
      <c r="D12" s="64" t="e">
        <f>$F$11*$F$4/12</f>
        <v>#VALUE!</v>
      </c>
      <c r="E12" s="64" t="e">
        <f>Tableau7[[#This Row],[Mensualité]]-Tableau7[[#This Row],[Intérêts]]</f>
        <v>#VALUE!</v>
      </c>
      <c r="F12" s="64" t="e">
        <f>$F$11-Tableau7[[#This Row],[Capital]]</f>
        <v>#VALUE!</v>
      </c>
    </row>
    <row r="13" spans="2:11" x14ac:dyDescent="0.25">
      <c r="B13" s="67" t="str">
        <f t="shared" si="0"/>
        <v>NA</v>
      </c>
      <c r="C13" t="str">
        <f t="shared" si="1"/>
        <v>NA</v>
      </c>
      <c r="D13" s="64" t="e">
        <f t="shared" ref="D13:D36" si="2">$F$11*$F$4/12</f>
        <v>#VALUE!</v>
      </c>
      <c r="E13" s="64" t="e">
        <f>Tableau7[[#This Row],[Mensualité]]-Tableau7[[#This Row],[Intérêts]]</f>
        <v>#VALUE!</v>
      </c>
      <c r="F13" s="64" t="e">
        <f>$F$11-Tableau7[[#This Row],[Capital]]</f>
        <v>#VALUE!</v>
      </c>
    </row>
    <row r="14" spans="2:11" x14ac:dyDescent="0.25">
      <c r="B14" s="67" t="str">
        <f t="shared" si="0"/>
        <v>NA</v>
      </c>
      <c r="C14" t="str">
        <f t="shared" si="1"/>
        <v>NA</v>
      </c>
      <c r="D14" s="64" t="e">
        <f t="shared" si="2"/>
        <v>#VALUE!</v>
      </c>
      <c r="E14" s="64" t="e">
        <f>Tableau7[[#This Row],[Mensualité]]-Tableau7[[#This Row],[Intérêts]]</f>
        <v>#VALUE!</v>
      </c>
      <c r="F14" s="64" t="e">
        <f>$F$11-Tableau7[[#This Row],[Capital]]</f>
        <v>#VALUE!</v>
      </c>
    </row>
    <row r="15" spans="2:11" x14ac:dyDescent="0.25">
      <c r="B15" s="67" t="str">
        <f t="shared" si="0"/>
        <v>NA</v>
      </c>
      <c r="C15" t="str">
        <f t="shared" si="1"/>
        <v>NA</v>
      </c>
      <c r="D15" s="64" t="e">
        <f t="shared" si="2"/>
        <v>#VALUE!</v>
      </c>
      <c r="E15" s="64" t="e">
        <f>Tableau7[[#This Row],[Mensualité]]-Tableau7[[#This Row],[Intérêts]]</f>
        <v>#VALUE!</v>
      </c>
      <c r="F15" s="64" t="e">
        <f>$F$11-Tableau7[[#This Row],[Capital]]</f>
        <v>#VALUE!</v>
      </c>
    </row>
    <row r="16" spans="2:11" x14ac:dyDescent="0.25">
      <c r="B16" s="67" t="str">
        <f t="shared" si="0"/>
        <v>NA</v>
      </c>
      <c r="C16" t="str">
        <f t="shared" si="1"/>
        <v>NA</v>
      </c>
      <c r="D16" s="64" t="e">
        <f t="shared" si="2"/>
        <v>#VALUE!</v>
      </c>
      <c r="E16" s="64" t="e">
        <f>Tableau7[[#This Row],[Mensualité]]-Tableau7[[#This Row],[Intérêts]]</f>
        <v>#VALUE!</v>
      </c>
      <c r="F16" s="64" t="e">
        <f>$F$11-Tableau7[[#This Row],[Capital]]</f>
        <v>#VALUE!</v>
      </c>
    </row>
    <row r="17" spans="2:6" x14ac:dyDescent="0.25">
      <c r="B17" s="67" t="str">
        <f t="shared" si="0"/>
        <v>NA</v>
      </c>
      <c r="C17" t="str">
        <f t="shared" si="1"/>
        <v>NA</v>
      </c>
      <c r="D17" s="64" t="e">
        <f t="shared" si="2"/>
        <v>#VALUE!</v>
      </c>
      <c r="E17" s="64" t="e">
        <f>Tableau7[[#This Row],[Mensualité]]-Tableau7[[#This Row],[Intérêts]]</f>
        <v>#VALUE!</v>
      </c>
      <c r="F17" s="64" t="e">
        <f>$F$11-Tableau7[[#This Row],[Capital]]</f>
        <v>#VALUE!</v>
      </c>
    </row>
    <row r="18" spans="2:6" x14ac:dyDescent="0.25">
      <c r="B18" s="67" t="str">
        <f t="shared" si="0"/>
        <v>NA</v>
      </c>
      <c r="C18" t="str">
        <f t="shared" si="1"/>
        <v>NA</v>
      </c>
      <c r="D18" s="64" t="e">
        <f t="shared" si="2"/>
        <v>#VALUE!</v>
      </c>
      <c r="E18" s="64" t="e">
        <f>Tableau7[[#This Row],[Mensualité]]-Tableau7[[#This Row],[Intérêts]]</f>
        <v>#VALUE!</v>
      </c>
      <c r="F18" s="64" t="e">
        <f>$F$11-Tableau7[[#This Row],[Capital]]</f>
        <v>#VALUE!</v>
      </c>
    </row>
    <row r="19" spans="2:6" x14ac:dyDescent="0.25">
      <c r="B19" s="67" t="str">
        <f t="shared" si="0"/>
        <v>NA</v>
      </c>
      <c r="C19" t="str">
        <f t="shared" si="1"/>
        <v>NA</v>
      </c>
      <c r="D19" s="64" t="e">
        <f t="shared" si="2"/>
        <v>#VALUE!</v>
      </c>
      <c r="E19" s="64" t="e">
        <f>Tableau7[[#This Row],[Mensualité]]-Tableau7[[#This Row],[Intérêts]]</f>
        <v>#VALUE!</v>
      </c>
      <c r="F19" s="64" t="e">
        <f>$F$11-Tableau7[[#This Row],[Capital]]</f>
        <v>#VALUE!</v>
      </c>
    </row>
    <row r="20" spans="2:6" x14ac:dyDescent="0.25">
      <c r="B20" s="67" t="str">
        <f t="shared" si="0"/>
        <v>NA</v>
      </c>
      <c r="C20" t="str">
        <f t="shared" si="1"/>
        <v>NA</v>
      </c>
      <c r="D20" s="64" t="e">
        <f t="shared" si="2"/>
        <v>#VALUE!</v>
      </c>
      <c r="E20" s="64" t="e">
        <f>Tableau7[[#This Row],[Mensualité]]-Tableau7[[#This Row],[Intérêts]]</f>
        <v>#VALUE!</v>
      </c>
      <c r="F20" s="64" t="e">
        <f>$F$11-Tableau7[[#This Row],[Capital]]</f>
        <v>#VALUE!</v>
      </c>
    </row>
    <row r="21" spans="2:6" x14ac:dyDescent="0.25">
      <c r="B21" s="67" t="str">
        <f t="shared" si="0"/>
        <v>NA</v>
      </c>
      <c r="C21" t="str">
        <f t="shared" si="1"/>
        <v>NA</v>
      </c>
      <c r="D21" s="64" t="e">
        <f t="shared" si="2"/>
        <v>#VALUE!</v>
      </c>
      <c r="E21" s="64" t="e">
        <f>Tableau7[[#This Row],[Mensualité]]-Tableau7[[#This Row],[Intérêts]]</f>
        <v>#VALUE!</v>
      </c>
      <c r="F21" s="64" t="e">
        <f>$F$11-Tableau7[[#This Row],[Capital]]</f>
        <v>#VALUE!</v>
      </c>
    </row>
    <row r="22" spans="2:6" x14ac:dyDescent="0.25">
      <c r="B22" s="67" t="str">
        <f t="shared" si="0"/>
        <v>NA</v>
      </c>
      <c r="C22" t="str">
        <f t="shared" si="1"/>
        <v>NA</v>
      </c>
      <c r="D22" s="64" t="e">
        <f t="shared" si="2"/>
        <v>#VALUE!</v>
      </c>
      <c r="E22" s="64" t="e">
        <f>Tableau7[[#This Row],[Mensualité]]-Tableau7[[#This Row],[Intérêts]]</f>
        <v>#VALUE!</v>
      </c>
      <c r="F22" s="64" t="e">
        <f>$F$11-Tableau7[[#This Row],[Capital]]</f>
        <v>#VALUE!</v>
      </c>
    </row>
    <row r="23" spans="2:6" x14ac:dyDescent="0.25">
      <c r="B23" s="67" t="str">
        <f t="shared" si="0"/>
        <v>NA</v>
      </c>
      <c r="C23" t="str">
        <f t="shared" si="1"/>
        <v>NA</v>
      </c>
      <c r="D23" s="64" t="e">
        <f t="shared" si="2"/>
        <v>#VALUE!</v>
      </c>
      <c r="E23" s="64" t="e">
        <f>Tableau7[[#This Row],[Mensualité]]-Tableau7[[#This Row],[Intérêts]]</f>
        <v>#VALUE!</v>
      </c>
      <c r="F23" s="64" t="e">
        <f>$F$11-Tableau7[[#This Row],[Capital]]</f>
        <v>#VALUE!</v>
      </c>
    </row>
    <row r="24" spans="2:6" x14ac:dyDescent="0.25">
      <c r="B24" s="67" t="str">
        <f t="shared" si="0"/>
        <v>NA</v>
      </c>
      <c r="C24" t="str">
        <f t="shared" si="1"/>
        <v>NA</v>
      </c>
      <c r="D24" s="64" t="e">
        <f t="shared" si="2"/>
        <v>#VALUE!</v>
      </c>
      <c r="E24" s="64" t="e">
        <f>Tableau7[[#This Row],[Mensualité]]-Tableau7[[#This Row],[Intérêts]]</f>
        <v>#VALUE!</v>
      </c>
      <c r="F24" s="64" t="e">
        <f>$F$11-Tableau7[[#This Row],[Capital]]</f>
        <v>#VALUE!</v>
      </c>
    </row>
    <row r="25" spans="2:6" x14ac:dyDescent="0.25">
      <c r="B25" s="67" t="str">
        <f t="shared" si="0"/>
        <v>NA</v>
      </c>
      <c r="C25" t="str">
        <f t="shared" si="1"/>
        <v>NA</v>
      </c>
      <c r="D25" s="64" t="e">
        <f t="shared" si="2"/>
        <v>#VALUE!</v>
      </c>
      <c r="E25" s="64" t="e">
        <f>Tableau7[[#This Row],[Mensualité]]-Tableau7[[#This Row],[Intérêts]]</f>
        <v>#VALUE!</v>
      </c>
      <c r="F25" s="64" t="e">
        <f>$F$11-Tableau7[[#This Row],[Capital]]</f>
        <v>#VALUE!</v>
      </c>
    </row>
    <row r="26" spans="2:6" x14ac:dyDescent="0.25">
      <c r="B26" s="67" t="str">
        <f t="shared" si="0"/>
        <v>NA</v>
      </c>
      <c r="C26" t="str">
        <f t="shared" si="1"/>
        <v>NA</v>
      </c>
      <c r="D26" s="64" t="e">
        <f t="shared" si="2"/>
        <v>#VALUE!</v>
      </c>
      <c r="E26" s="64" t="e">
        <f>Tableau7[[#This Row],[Mensualité]]-Tableau7[[#This Row],[Intérêts]]</f>
        <v>#VALUE!</v>
      </c>
      <c r="F26" s="64" t="e">
        <f>$F$11-Tableau7[[#This Row],[Capital]]</f>
        <v>#VALUE!</v>
      </c>
    </row>
    <row r="27" spans="2:6" x14ac:dyDescent="0.25">
      <c r="B27" s="67" t="str">
        <f t="shared" si="0"/>
        <v>NA</v>
      </c>
      <c r="C27" t="str">
        <f t="shared" si="1"/>
        <v>NA</v>
      </c>
      <c r="D27" s="64" t="e">
        <f t="shared" si="2"/>
        <v>#VALUE!</v>
      </c>
      <c r="E27" s="64" t="e">
        <f>Tableau7[[#This Row],[Mensualité]]-Tableau7[[#This Row],[Intérêts]]</f>
        <v>#VALUE!</v>
      </c>
      <c r="F27" s="64" t="e">
        <f>$F$11-Tableau7[[#This Row],[Capital]]</f>
        <v>#VALUE!</v>
      </c>
    </row>
    <row r="28" spans="2:6" x14ac:dyDescent="0.25">
      <c r="B28" s="67" t="str">
        <f t="shared" si="0"/>
        <v>NA</v>
      </c>
      <c r="C28" t="str">
        <f t="shared" si="1"/>
        <v>NA</v>
      </c>
      <c r="D28" s="64" t="e">
        <f t="shared" si="2"/>
        <v>#VALUE!</v>
      </c>
      <c r="E28" s="64" t="e">
        <f>Tableau7[[#This Row],[Mensualité]]-Tableau7[[#This Row],[Intérêts]]</f>
        <v>#VALUE!</v>
      </c>
      <c r="F28" s="64" t="e">
        <f>$F$11-Tableau7[[#This Row],[Capital]]</f>
        <v>#VALUE!</v>
      </c>
    </row>
    <row r="29" spans="2:6" x14ac:dyDescent="0.25">
      <c r="B29" s="67" t="str">
        <f t="shared" si="0"/>
        <v>NA</v>
      </c>
      <c r="C29" t="str">
        <f t="shared" si="1"/>
        <v>NA</v>
      </c>
      <c r="D29" s="64" t="e">
        <f t="shared" si="2"/>
        <v>#VALUE!</v>
      </c>
      <c r="E29" s="64" t="e">
        <f>Tableau7[[#This Row],[Mensualité]]-Tableau7[[#This Row],[Intérêts]]</f>
        <v>#VALUE!</v>
      </c>
      <c r="F29" s="64" t="e">
        <f>$F$11-Tableau7[[#This Row],[Capital]]</f>
        <v>#VALUE!</v>
      </c>
    </row>
    <row r="30" spans="2:6" x14ac:dyDescent="0.25">
      <c r="B30" s="67" t="str">
        <f t="shared" si="0"/>
        <v>NA</v>
      </c>
      <c r="C30" t="str">
        <f t="shared" si="1"/>
        <v>NA</v>
      </c>
      <c r="D30" s="64" t="e">
        <f t="shared" si="2"/>
        <v>#VALUE!</v>
      </c>
      <c r="E30" s="64" t="e">
        <f>Tableau7[[#This Row],[Mensualité]]-Tableau7[[#This Row],[Intérêts]]</f>
        <v>#VALUE!</v>
      </c>
      <c r="F30" s="64" t="e">
        <f>$F$11-Tableau7[[#This Row],[Capital]]</f>
        <v>#VALUE!</v>
      </c>
    </row>
    <row r="31" spans="2:6" x14ac:dyDescent="0.25">
      <c r="B31" s="67" t="str">
        <f t="shared" si="0"/>
        <v>NA</v>
      </c>
      <c r="C31" t="str">
        <f t="shared" si="1"/>
        <v>NA</v>
      </c>
      <c r="D31" s="64" t="e">
        <f t="shared" si="2"/>
        <v>#VALUE!</v>
      </c>
      <c r="E31" s="64" t="e">
        <f>Tableau7[[#This Row],[Mensualité]]-Tableau7[[#This Row],[Intérêts]]</f>
        <v>#VALUE!</v>
      </c>
      <c r="F31" s="64" t="e">
        <f>$F$11-Tableau7[[#This Row],[Capital]]</f>
        <v>#VALUE!</v>
      </c>
    </row>
    <row r="32" spans="2:6" x14ac:dyDescent="0.25">
      <c r="B32" s="67" t="str">
        <f t="shared" si="0"/>
        <v>NA</v>
      </c>
      <c r="C32" t="str">
        <f t="shared" si="1"/>
        <v>NA</v>
      </c>
      <c r="D32" s="64" t="e">
        <f t="shared" si="2"/>
        <v>#VALUE!</v>
      </c>
      <c r="E32" s="64" t="e">
        <f>Tableau7[[#This Row],[Mensualité]]-Tableau7[[#This Row],[Intérêts]]</f>
        <v>#VALUE!</v>
      </c>
      <c r="F32" s="64" t="e">
        <f>$F$11-Tableau7[[#This Row],[Capital]]</f>
        <v>#VALUE!</v>
      </c>
    </row>
    <row r="33" spans="2:6" x14ac:dyDescent="0.25">
      <c r="B33" s="67" t="str">
        <f t="shared" si="0"/>
        <v>NA</v>
      </c>
      <c r="C33" t="str">
        <f t="shared" si="1"/>
        <v>NA</v>
      </c>
      <c r="D33" s="64" t="e">
        <f t="shared" si="2"/>
        <v>#VALUE!</v>
      </c>
      <c r="E33" s="64" t="e">
        <f>Tableau7[[#This Row],[Mensualité]]-Tableau7[[#This Row],[Intérêts]]</f>
        <v>#VALUE!</v>
      </c>
      <c r="F33" s="64" t="e">
        <f>$F$11-Tableau7[[#This Row],[Capital]]</f>
        <v>#VALUE!</v>
      </c>
    </row>
    <row r="34" spans="2:6" x14ac:dyDescent="0.25">
      <c r="B34" s="67" t="str">
        <f t="shared" si="0"/>
        <v>NA</v>
      </c>
      <c r="C34" t="str">
        <f t="shared" si="1"/>
        <v>NA</v>
      </c>
      <c r="D34" s="64" t="e">
        <f t="shared" si="2"/>
        <v>#VALUE!</v>
      </c>
      <c r="E34" s="64" t="e">
        <f>Tableau7[[#This Row],[Mensualité]]-Tableau7[[#This Row],[Intérêts]]</f>
        <v>#VALUE!</v>
      </c>
      <c r="F34" s="64" t="e">
        <f>$F$11-Tableau7[[#This Row],[Capital]]</f>
        <v>#VALUE!</v>
      </c>
    </row>
    <row r="35" spans="2:6" x14ac:dyDescent="0.25">
      <c r="B35" s="67" t="str">
        <f t="shared" si="0"/>
        <v>NA</v>
      </c>
      <c r="C35" t="str">
        <f t="shared" si="1"/>
        <v>NA</v>
      </c>
      <c r="D35" s="64" t="e">
        <f t="shared" si="2"/>
        <v>#VALUE!</v>
      </c>
      <c r="E35" s="64" t="e">
        <f>Tableau7[[#This Row],[Mensualité]]-Tableau7[[#This Row],[Intérêts]]</f>
        <v>#VALUE!</v>
      </c>
      <c r="F35" s="64" t="e">
        <f>$F$11-Tableau7[[#This Row],[Capital]]</f>
        <v>#VALUE!</v>
      </c>
    </row>
    <row r="36" spans="2:6" x14ac:dyDescent="0.25">
      <c r="B36" s="67" t="str">
        <f t="shared" si="0"/>
        <v>NA</v>
      </c>
      <c r="C36" t="str">
        <f t="shared" si="1"/>
        <v>NA</v>
      </c>
      <c r="D36" s="64" t="e">
        <f t="shared" si="2"/>
        <v>#VALUE!</v>
      </c>
      <c r="E36" s="64" t="e">
        <f>Tableau7[[#This Row],[Mensualité]]-Tableau7[[#This Row],[Intérêts]]</f>
        <v>#VALUE!</v>
      </c>
      <c r="F36" s="64" t="e">
        <f>$F$11-Tableau7[[#This Row],[Capital]]</f>
        <v>#VALUE!</v>
      </c>
    </row>
    <row r="37" spans="2:6" x14ac:dyDescent="0.25">
      <c r="B37" s="67" t="str">
        <f t="shared" ref="B37:B42" si="3">$D$4</f>
        <v>NA</v>
      </c>
      <c r="C37" t="str">
        <f t="shared" ref="C37:C42" si="4">$H$4</f>
        <v>NA</v>
      </c>
      <c r="D37" s="64" t="e">
        <f t="shared" ref="D37:D42" si="5">G30*F30/12</f>
        <v>#VALUE!</v>
      </c>
      <c r="E37" s="64" t="e">
        <f>Tableau7[[#This Row],[Mensualité]]-Tableau7[[#This Row],[Intérêts]]</f>
        <v>#VALUE!</v>
      </c>
      <c r="F37" s="64" t="e">
        <f>$G$4-Tableau7[[#This Row],[Mensualité]]-Tableau7[[#This Row],[Intérêts]]</f>
        <v>#VALUE!</v>
      </c>
    </row>
    <row r="38" spans="2:6" x14ac:dyDescent="0.25">
      <c r="B38" s="67" t="str">
        <f t="shared" si="3"/>
        <v>NA</v>
      </c>
      <c r="C38" t="str">
        <f t="shared" si="4"/>
        <v>NA</v>
      </c>
      <c r="D38" s="64" t="e">
        <f t="shared" si="5"/>
        <v>#VALUE!</v>
      </c>
      <c r="E38" s="64" t="e">
        <f>Tableau7[[#This Row],[Mensualité]]-Tableau7[[#This Row],[Intérêts]]</f>
        <v>#VALUE!</v>
      </c>
      <c r="F38" s="64" t="e">
        <f>$G$4-Tableau7[[#This Row],[Mensualité]]-Tableau7[[#This Row],[Intérêts]]</f>
        <v>#VALUE!</v>
      </c>
    </row>
    <row r="39" spans="2:6" x14ac:dyDescent="0.25">
      <c r="B39" s="67" t="str">
        <f t="shared" si="3"/>
        <v>NA</v>
      </c>
      <c r="C39" t="str">
        <f t="shared" si="4"/>
        <v>NA</v>
      </c>
      <c r="D39" s="64" t="e">
        <f t="shared" si="5"/>
        <v>#VALUE!</v>
      </c>
      <c r="E39" s="64" t="e">
        <f>Tableau7[[#This Row],[Mensualité]]-Tableau7[[#This Row],[Intérêts]]</f>
        <v>#VALUE!</v>
      </c>
      <c r="F39" s="64" t="e">
        <f>$G$4-Tableau7[[#This Row],[Mensualité]]-Tableau7[[#This Row],[Intérêts]]</f>
        <v>#VALUE!</v>
      </c>
    </row>
    <row r="40" spans="2:6" x14ac:dyDescent="0.25">
      <c r="B40" s="67" t="str">
        <f t="shared" si="3"/>
        <v>NA</v>
      </c>
      <c r="C40" t="str">
        <f t="shared" si="4"/>
        <v>NA</v>
      </c>
      <c r="D40" s="64" t="e">
        <f t="shared" si="5"/>
        <v>#VALUE!</v>
      </c>
      <c r="E40" s="64" t="e">
        <f>Tableau7[[#This Row],[Mensualité]]-Tableau7[[#This Row],[Intérêts]]</f>
        <v>#VALUE!</v>
      </c>
      <c r="F40" s="64" t="e">
        <f>$G$4-Tableau7[[#This Row],[Mensualité]]-Tableau7[[#This Row],[Intérêts]]</f>
        <v>#VALUE!</v>
      </c>
    </row>
    <row r="41" spans="2:6" x14ac:dyDescent="0.25">
      <c r="B41" s="67" t="str">
        <f t="shared" si="3"/>
        <v>NA</v>
      </c>
      <c r="C41" t="str">
        <f t="shared" si="4"/>
        <v>NA</v>
      </c>
      <c r="D41" s="64" t="e">
        <f t="shared" si="5"/>
        <v>#VALUE!</v>
      </c>
      <c r="E41" s="64" t="e">
        <f>Tableau7[[#This Row],[Mensualité]]-Tableau7[[#This Row],[Intérêts]]</f>
        <v>#VALUE!</v>
      </c>
      <c r="F41" s="64" t="e">
        <f>$G$4-Tableau7[[#This Row],[Mensualité]]-Tableau7[[#This Row],[Intérêts]]</f>
        <v>#VALUE!</v>
      </c>
    </row>
    <row r="42" spans="2:6" x14ac:dyDescent="0.25">
      <c r="B42" s="67" t="str">
        <f t="shared" si="3"/>
        <v>NA</v>
      </c>
      <c r="C42" t="str">
        <f t="shared" si="4"/>
        <v>NA</v>
      </c>
      <c r="D42" s="64" t="e">
        <f t="shared" si="5"/>
        <v>#VALUE!</v>
      </c>
      <c r="E42" s="64" t="e">
        <f>Tableau7[[#This Row],[Mensualité]]-Tableau7[[#This Row],[Intérêts]]</f>
        <v>#VALUE!</v>
      </c>
      <c r="F42" s="64" t="e">
        <f>$G$4-Tableau7[[#This Row],[Mensualité]]-Tableau7[[#This Row],[Intérêts]]</f>
        <v>#VALUE!</v>
      </c>
    </row>
    <row r="43" spans="2:6" x14ac:dyDescent="0.25">
      <c r="B43" s="67" t="str">
        <f t="shared" ref="B43:B106" si="6">$D$4</f>
        <v>NA</v>
      </c>
      <c r="C43" t="str">
        <f t="shared" ref="C43:C106" si="7">$H$4</f>
        <v>NA</v>
      </c>
      <c r="D43" s="64" t="e">
        <f t="shared" ref="D43:D106" si="8">G36*F36/12</f>
        <v>#VALUE!</v>
      </c>
      <c r="E43" s="64" t="e">
        <f>Tableau7[[#This Row],[Mensualité]]-Tableau7[[#This Row],[Intérêts]]</f>
        <v>#VALUE!</v>
      </c>
      <c r="F43" s="64" t="e">
        <f>$G$4-Tableau7[[#This Row],[Mensualité]]-Tableau7[[#This Row],[Intérêts]]</f>
        <v>#VALUE!</v>
      </c>
    </row>
    <row r="44" spans="2:6" x14ac:dyDescent="0.25">
      <c r="B44" s="67" t="str">
        <f t="shared" si="6"/>
        <v>NA</v>
      </c>
      <c r="C44" t="str">
        <f t="shared" si="7"/>
        <v>NA</v>
      </c>
      <c r="D44" s="64" t="e">
        <f t="shared" si="8"/>
        <v>#VALUE!</v>
      </c>
      <c r="E44" s="64" t="e">
        <f>Tableau7[[#This Row],[Mensualité]]-Tableau7[[#This Row],[Intérêts]]</f>
        <v>#VALUE!</v>
      </c>
      <c r="F44" s="64" t="e">
        <f>$G$4-Tableau7[[#This Row],[Mensualité]]-Tableau7[[#This Row],[Intérêts]]</f>
        <v>#VALUE!</v>
      </c>
    </row>
    <row r="45" spans="2:6" x14ac:dyDescent="0.25">
      <c r="B45" s="67" t="str">
        <f t="shared" si="6"/>
        <v>NA</v>
      </c>
      <c r="C45" t="str">
        <f t="shared" si="7"/>
        <v>NA</v>
      </c>
      <c r="D45" s="64" t="e">
        <f t="shared" si="8"/>
        <v>#VALUE!</v>
      </c>
      <c r="E45" s="64" t="e">
        <f>Tableau7[[#This Row],[Mensualité]]-Tableau7[[#This Row],[Intérêts]]</f>
        <v>#VALUE!</v>
      </c>
      <c r="F45" s="64" t="e">
        <f>$G$4-Tableau7[[#This Row],[Mensualité]]-Tableau7[[#This Row],[Intérêts]]</f>
        <v>#VALUE!</v>
      </c>
    </row>
    <row r="46" spans="2:6" x14ac:dyDescent="0.25">
      <c r="B46" s="67" t="str">
        <f t="shared" si="6"/>
        <v>NA</v>
      </c>
      <c r="C46" t="str">
        <f t="shared" si="7"/>
        <v>NA</v>
      </c>
      <c r="D46" s="64" t="e">
        <f t="shared" si="8"/>
        <v>#VALUE!</v>
      </c>
      <c r="E46" s="64" t="e">
        <f>Tableau7[[#This Row],[Mensualité]]-Tableau7[[#This Row],[Intérêts]]</f>
        <v>#VALUE!</v>
      </c>
      <c r="F46" s="64" t="e">
        <f>$G$4-Tableau7[[#This Row],[Mensualité]]-Tableau7[[#This Row],[Intérêts]]</f>
        <v>#VALUE!</v>
      </c>
    </row>
    <row r="47" spans="2:6" x14ac:dyDescent="0.25">
      <c r="B47" s="67" t="str">
        <f t="shared" si="6"/>
        <v>NA</v>
      </c>
      <c r="C47" t="str">
        <f t="shared" si="7"/>
        <v>NA</v>
      </c>
      <c r="D47" s="64" t="e">
        <f t="shared" si="8"/>
        <v>#VALUE!</v>
      </c>
      <c r="E47" s="64" t="e">
        <f>Tableau7[[#This Row],[Mensualité]]-Tableau7[[#This Row],[Intérêts]]</f>
        <v>#VALUE!</v>
      </c>
      <c r="F47" s="64" t="e">
        <f>$G$4-Tableau7[[#This Row],[Mensualité]]-Tableau7[[#This Row],[Intérêts]]</f>
        <v>#VALUE!</v>
      </c>
    </row>
    <row r="48" spans="2:6" x14ac:dyDescent="0.25">
      <c r="B48" s="67" t="str">
        <f t="shared" si="6"/>
        <v>NA</v>
      </c>
      <c r="C48" t="str">
        <f t="shared" si="7"/>
        <v>NA</v>
      </c>
      <c r="D48" s="64" t="e">
        <f t="shared" si="8"/>
        <v>#VALUE!</v>
      </c>
      <c r="E48" s="64" t="e">
        <f>Tableau7[[#This Row],[Mensualité]]-Tableau7[[#This Row],[Intérêts]]</f>
        <v>#VALUE!</v>
      </c>
      <c r="F48" s="64" t="e">
        <f>$G$4-Tableau7[[#This Row],[Mensualité]]-Tableau7[[#This Row],[Intérêts]]</f>
        <v>#VALUE!</v>
      </c>
    </row>
    <row r="49" spans="2:6" x14ac:dyDescent="0.25">
      <c r="B49" s="67" t="str">
        <f t="shared" si="6"/>
        <v>NA</v>
      </c>
      <c r="C49" t="str">
        <f t="shared" si="7"/>
        <v>NA</v>
      </c>
      <c r="D49" s="64" t="e">
        <f t="shared" si="8"/>
        <v>#VALUE!</v>
      </c>
      <c r="E49" s="64" t="e">
        <f>Tableau7[[#This Row],[Mensualité]]-Tableau7[[#This Row],[Intérêts]]</f>
        <v>#VALUE!</v>
      </c>
      <c r="F49" s="64" t="e">
        <f>$G$4-Tableau7[[#This Row],[Mensualité]]-Tableau7[[#This Row],[Intérêts]]</f>
        <v>#VALUE!</v>
      </c>
    </row>
    <row r="50" spans="2:6" x14ac:dyDescent="0.25">
      <c r="B50" s="67" t="str">
        <f t="shared" si="6"/>
        <v>NA</v>
      </c>
      <c r="C50" t="str">
        <f t="shared" si="7"/>
        <v>NA</v>
      </c>
      <c r="D50" s="64" t="e">
        <f t="shared" si="8"/>
        <v>#VALUE!</v>
      </c>
      <c r="E50" s="64" t="e">
        <f>Tableau7[[#This Row],[Mensualité]]-Tableau7[[#This Row],[Intérêts]]</f>
        <v>#VALUE!</v>
      </c>
      <c r="F50" s="64" t="e">
        <f>$G$4-Tableau7[[#This Row],[Mensualité]]-Tableau7[[#This Row],[Intérêts]]</f>
        <v>#VALUE!</v>
      </c>
    </row>
    <row r="51" spans="2:6" x14ac:dyDescent="0.25">
      <c r="B51" s="67" t="str">
        <f t="shared" si="6"/>
        <v>NA</v>
      </c>
      <c r="C51" t="str">
        <f t="shared" si="7"/>
        <v>NA</v>
      </c>
      <c r="D51" s="64" t="e">
        <f t="shared" si="8"/>
        <v>#VALUE!</v>
      </c>
      <c r="E51" s="64" t="e">
        <f>Tableau7[[#This Row],[Mensualité]]-Tableau7[[#This Row],[Intérêts]]</f>
        <v>#VALUE!</v>
      </c>
      <c r="F51" s="64" t="e">
        <f>$G$4-Tableau7[[#This Row],[Mensualité]]-Tableau7[[#This Row],[Intérêts]]</f>
        <v>#VALUE!</v>
      </c>
    </row>
    <row r="52" spans="2:6" x14ac:dyDescent="0.25">
      <c r="B52" s="67" t="str">
        <f t="shared" si="6"/>
        <v>NA</v>
      </c>
      <c r="C52" t="str">
        <f t="shared" si="7"/>
        <v>NA</v>
      </c>
      <c r="D52" s="64" t="e">
        <f t="shared" si="8"/>
        <v>#VALUE!</v>
      </c>
      <c r="E52" s="64" t="e">
        <f>Tableau7[[#This Row],[Mensualité]]-Tableau7[[#This Row],[Intérêts]]</f>
        <v>#VALUE!</v>
      </c>
      <c r="F52" s="64" t="e">
        <f>$G$4-Tableau7[[#This Row],[Mensualité]]-Tableau7[[#This Row],[Intérêts]]</f>
        <v>#VALUE!</v>
      </c>
    </row>
    <row r="53" spans="2:6" x14ac:dyDescent="0.25">
      <c r="B53" s="67" t="str">
        <f t="shared" si="6"/>
        <v>NA</v>
      </c>
      <c r="C53" t="str">
        <f t="shared" si="7"/>
        <v>NA</v>
      </c>
      <c r="D53" s="64" t="e">
        <f t="shared" si="8"/>
        <v>#VALUE!</v>
      </c>
      <c r="E53" s="64" t="e">
        <f>Tableau7[[#This Row],[Mensualité]]-Tableau7[[#This Row],[Intérêts]]</f>
        <v>#VALUE!</v>
      </c>
      <c r="F53" s="64" t="e">
        <f>$G$4-Tableau7[[#This Row],[Mensualité]]-Tableau7[[#This Row],[Intérêts]]</f>
        <v>#VALUE!</v>
      </c>
    </row>
    <row r="54" spans="2:6" x14ac:dyDescent="0.25">
      <c r="B54" s="67" t="str">
        <f t="shared" si="6"/>
        <v>NA</v>
      </c>
      <c r="C54" t="str">
        <f t="shared" si="7"/>
        <v>NA</v>
      </c>
      <c r="D54" s="64" t="e">
        <f t="shared" si="8"/>
        <v>#VALUE!</v>
      </c>
      <c r="E54" s="64" t="e">
        <f>Tableau7[[#This Row],[Mensualité]]-Tableau7[[#This Row],[Intérêts]]</f>
        <v>#VALUE!</v>
      </c>
      <c r="F54" s="64" t="e">
        <f>$G$4-Tableau7[[#This Row],[Mensualité]]-Tableau7[[#This Row],[Intérêts]]</f>
        <v>#VALUE!</v>
      </c>
    </row>
    <row r="55" spans="2:6" x14ac:dyDescent="0.25">
      <c r="B55" s="67" t="str">
        <f t="shared" si="6"/>
        <v>NA</v>
      </c>
      <c r="C55" t="str">
        <f t="shared" si="7"/>
        <v>NA</v>
      </c>
      <c r="D55" s="64" t="e">
        <f t="shared" si="8"/>
        <v>#VALUE!</v>
      </c>
      <c r="E55" s="64" t="e">
        <f>Tableau7[[#This Row],[Mensualité]]-Tableau7[[#This Row],[Intérêts]]</f>
        <v>#VALUE!</v>
      </c>
      <c r="F55" s="64" t="e">
        <f>$G$4-Tableau7[[#This Row],[Mensualité]]-Tableau7[[#This Row],[Intérêts]]</f>
        <v>#VALUE!</v>
      </c>
    </row>
    <row r="56" spans="2:6" x14ac:dyDescent="0.25">
      <c r="B56" s="67" t="str">
        <f t="shared" si="6"/>
        <v>NA</v>
      </c>
      <c r="C56" t="str">
        <f t="shared" si="7"/>
        <v>NA</v>
      </c>
      <c r="D56" s="64" t="e">
        <f t="shared" si="8"/>
        <v>#VALUE!</v>
      </c>
      <c r="E56" s="64" t="e">
        <f>Tableau7[[#This Row],[Mensualité]]-Tableau7[[#This Row],[Intérêts]]</f>
        <v>#VALUE!</v>
      </c>
      <c r="F56" s="64" t="e">
        <f>$G$4-Tableau7[[#This Row],[Mensualité]]-Tableau7[[#This Row],[Intérêts]]</f>
        <v>#VALUE!</v>
      </c>
    </row>
    <row r="57" spans="2:6" x14ac:dyDescent="0.25">
      <c r="B57" s="67" t="str">
        <f t="shared" si="6"/>
        <v>NA</v>
      </c>
      <c r="C57" t="str">
        <f t="shared" si="7"/>
        <v>NA</v>
      </c>
      <c r="D57" s="64" t="e">
        <f t="shared" si="8"/>
        <v>#VALUE!</v>
      </c>
      <c r="E57" s="64" t="e">
        <f>Tableau7[[#This Row],[Mensualité]]-Tableau7[[#This Row],[Intérêts]]</f>
        <v>#VALUE!</v>
      </c>
      <c r="F57" s="64" t="e">
        <f>$G$4-Tableau7[[#This Row],[Mensualité]]-Tableau7[[#This Row],[Intérêts]]</f>
        <v>#VALUE!</v>
      </c>
    </row>
    <row r="58" spans="2:6" x14ac:dyDescent="0.25">
      <c r="B58" s="67" t="str">
        <f t="shared" si="6"/>
        <v>NA</v>
      </c>
      <c r="C58" t="str">
        <f t="shared" si="7"/>
        <v>NA</v>
      </c>
      <c r="D58" s="64" t="e">
        <f t="shared" si="8"/>
        <v>#VALUE!</v>
      </c>
      <c r="E58" s="64" t="e">
        <f>Tableau7[[#This Row],[Mensualité]]-Tableau7[[#This Row],[Intérêts]]</f>
        <v>#VALUE!</v>
      </c>
      <c r="F58" s="64" t="e">
        <f>$G$4-Tableau7[[#This Row],[Mensualité]]-Tableau7[[#This Row],[Intérêts]]</f>
        <v>#VALUE!</v>
      </c>
    </row>
    <row r="59" spans="2:6" x14ac:dyDescent="0.25">
      <c r="B59" s="67" t="str">
        <f t="shared" si="6"/>
        <v>NA</v>
      </c>
      <c r="C59" t="str">
        <f t="shared" si="7"/>
        <v>NA</v>
      </c>
      <c r="D59" s="64" t="e">
        <f t="shared" si="8"/>
        <v>#VALUE!</v>
      </c>
      <c r="E59" s="64" t="e">
        <f>Tableau7[[#This Row],[Mensualité]]-Tableau7[[#This Row],[Intérêts]]</f>
        <v>#VALUE!</v>
      </c>
      <c r="F59" s="64" t="e">
        <f>$G$4-Tableau7[[#This Row],[Mensualité]]-Tableau7[[#This Row],[Intérêts]]</f>
        <v>#VALUE!</v>
      </c>
    </row>
    <row r="60" spans="2:6" x14ac:dyDescent="0.25">
      <c r="B60" s="67" t="str">
        <f t="shared" si="6"/>
        <v>NA</v>
      </c>
      <c r="C60" t="str">
        <f t="shared" si="7"/>
        <v>NA</v>
      </c>
      <c r="D60" s="64" t="e">
        <f t="shared" si="8"/>
        <v>#VALUE!</v>
      </c>
      <c r="E60" s="64" t="e">
        <f>Tableau7[[#This Row],[Mensualité]]-Tableau7[[#This Row],[Intérêts]]</f>
        <v>#VALUE!</v>
      </c>
      <c r="F60" s="64" t="e">
        <f>$G$4-Tableau7[[#This Row],[Mensualité]]-Tableau7[[#This Row],[Intérêts]]</f>
        <v>#VALUE!</v>
      </c>
    </row>
    <row r="61" spans="2:6" x14ac:dyDescent="0.25">
      <c r="B61" s="67" t="str">
        <f t="shared" si="6"/>
        <v>NA</v>
      </c>
      <c r="C61" t="str">
        <f t="shared" si="7"/>
        <v>NA</v>
      </c>
      <c r="D61" s="64" t="e">
        <f t="shared" si="8"/>
        <v>#VALUE!</v>
      </c>
      <c r="E61" s="64" t="e">
        <f>Tableau7[[#This Row],[Mensualité]]-Tableau7[[#This Row],[Intérêts]]</f>
        <v>#VALUE!</v>
      </c>
      <c r="F61" s="64" t="e">
        <f>$G$4-Tableau7[[#This Row],[Mensualité]]-Tableau7[[#This Row],[Intérêts]]</f>
        <v>#VALUE!</v>
      </c>
    </row>
    <row r="62" spans="2:6" x14ac:dyDescent="0.25">
      <c r="B62" s="67" t="str">
        <f t="shared" si="6"/>
        <v>NA</v>
      </c>
      <c r="C62" t="str">
        <f t="shared" si="7"/>
        <v>NA</v>
      </c>
      <c r="D62" s="64" t="e">
        <f t="shared" si="8"/>
        <v>#VALUE!</v>
      </c>
      <c r="E62" s="64" t="e">
        <f>Tableau7[[#This Row],[Mensualité]]-Tableau7[[#This Row],[Intérêts]]</f>
        <v>#VALUE!</v>
      </c>
      <c r="F62" s="64" t="e">
        <f>$G$4-Tableau7[[#This Row],[Mensualité]]-Tableau7[[#This Row],[Intérêts]]</f>
        <v>#VALUE!</v>
      </c>
    </row>
    <row r="63" spans="2:6" x14ac:dyDescent="0.25">
      <c r="B63" s="67" t="str">
        <f t="shared" si="6"/>
        <v>NA</v>
      </c>
      <c r="C63" t="str">
        <f t="shared" si="7"/>
        <v>NA</v>
      </c>
      <c r="D63" s="64" t="e">
        <f t="shared" si="8"/>
        <v>#VALUE!</v>
      </c>
      <c r="E63" s="64" t="e">
        <f>Tableau7[[#This Row],[Mensualité]]-Tableau7[[#This Row],[Intérêts]]</f>
        <v>#VALUE!</v>
      </c>
      <c r="F63" s="64" t="e">
        <f>$G$4-Tableau7[[#This Row],[Mensualité]]-Tableau7[[#This Row],[Intérêts]]</f>
        <v>#VALUE!</v>
      </c>
    </row>
    <row r="64" spans="2:6" x14ac:dyDescent="0.25">
      <c r="B64" s="67" t="str">
        <f t="shared" si="6"/>
        <v>NA</v>
      </c>
      <c r="C64" t="str">
        <f t="shared" si="7"/>
        <v>NA</v>
      </c>
      <c r="D64" s="64" t="e">
        <f t="shared" si="8"/>
        <v>#VALUE!</v>
      </c>
      <c r="E64" s="64" t="e">
        <f>Tableau7[[#This Row],[Mensualité]]-Tableau7[[#This Row],[Intérêts]]</f>
        <v>#VALUE!</v>
      </c>
      <c r="F64" s="64" t="e">
        <f>$G$4-Tableau7[[#This Row],[Mensualité]]-Tableau7[[#This Row],[Intérêts]]</f>
        <v>#VALUE!</v>
      </c>
    </row>
    <row r="65" spans="2:6" x14ac:dyDescent="0.25">
      <c r="B65" s="67" t="str">
        <f t="shared" si="6"/>
        <v>NA</v>
      </c>
      <c r="C65" t="str">
        <f t="shared" si="7"/>
        <v>NA</v>
      </c>
      <c r="D65" s="64" t="e">
        <f t="shared" si="8"/>
        <v>#VALUE!</v>
      </c>
      <c r="E65" s="64" t="e">
        <f>Tableau7[[#This Row],[Mensualité]]-Tableau7[[#This Row],[Intérêts]]</f>
        <v>#VALUE!</v>
      </c>
      <c r="F65" s="64" t="e">
        <f>$G$4-Tableau7[[#This Row],[Mensualité]]-Tableau7[[#This Row],[Intérêts]]</f>
        <v>#VALUE!</v>
      </c>
    </row>
    <row r="66" spans="2:6" x14ac:dyDescent="0.25">
      <c r="B66" s="67" t="str">
        <f t="shared" si="6"/>
        <v>NA</v>
      </c>
      <c r="C66" t="str">
        <f t="shared" si="7"/>
        <v>NA</v>
      </c>
      <c r="D66" s="64" t="e">
        <f t="shared" si="8"/>
        <v>#VALUE!</v>
      </c>
      <c r="E66" s="64" t="e">
        <f>Tableau7[[#This Row],[Mensualité]]-Tableau7[[#This Row],[Intérêts]]</f>
        <v>#VALUE!</v>
      </c>
      <c r="F66" s="64" t="e">
        <f>$G$4-Tableau7[[#This Row],[Mensualité]]-Tableau7[[#This Row],[Intérêts]]</f>
        <v>#VALUE!</v>
      </c>
    </row>
    <row r="67" spans="2:6" x14ac:dyDescent="0.25">
      <c r="B67" s="67" t="str">
        <f t="shared" si="6"/>
        <v>NA</v>
      </c>
      <c r="C67" t="str">
        <f t="shared" si="7"/>
        <v>NA</v>
      </c>
      <c r="D67" s="64" t="e">
        <f t="shared" si="8"/>
        <v>#VALUE!</v>
      </c>
      <c r="E67" s="64" t="e">
        <f>Tableau7[[#This Row],[Mensualité]]-Tableau7[[#This Row],[Intérêts]]</f>
        <v>#VALUE!</v>
      </c>
      <c r="F67" s="64" t="e">
        <f>$G$4-Tableau7[[#This Row],[Mensualité]]-Tableau7[[#This Row],[Intérêts]]</f>
        <v>#VALUE!</v>
      </c>
    </row>
    <row r="68" spans="2:6" x14ac:dyDescent="0.25">
      <c r="B68" s="67" t="str">
        <f t="shared" si="6"/>
        <v>NA</v>
      </c>
      <c r="C68" t="str">
        <f t="shared" si="7"/>
        <v>NA</v>
      </c>
      <c r="D68" s="64" t="e">
        <f t="shared" si="8"/>
        <v>#VALUE!</v>
      </c>
      <c r="E68" s="64" t="e">
        <f>Tableau7[[#This Row],[Mensualité]]-Tableau7[[#This Row],[Intérêts]]</f>
        <v>#VALUE!</v>
      </c>
      <c r="F68" s="64" t="e">
        <f>$G$4-Tableau7[[#This Row],[Mensualité]]-Tableau7[[#This Row],[Intérêts]]</f>
        <v>#VALUE!</v>
      </c>
    </row>
    <row r="69" spans="2:6" x14ac:dyDescent="0.25">
      <c r="B69" s="67" t="str">
        <f t="shared" si="6"/>
        <v>NA</v>
      </c>
      <c r="C69" t="str">
        <f t="shared" si="7"/>
        <v>NA</v>
      </c>
      <c r="D69" s="64" t="e">
        <f t="shared" si="8"/>
        <v>#VALUE!</v>
      </c>
      <c r="E69" s="64" t="e">
        <f>Tableau7[[#This Row],[Mensualité]]-Tableau7[[#This Row],[Intérêts]]</f>
        <v>#VALUE!</v>
      </c>
      <c r="F69" s="64" t="e">
        <f>$G$4-Tableau7[[#This Row],[Mensualité]]-Tableau7[[#This Row],[Intérêts]]</f>
        <v>#VALUE!</v>
      </c>
    </row>
    <row r="70" spans="2:6" x14ac:dyDescent="0.25">
      <c r="B70" s="67" t="str">
        <f t="shared" si="6"/>
        <v>NA</v>
      </c>
      <c r="C70" t="str">
        <f t="shared" si="7"/>
        <v>NA</v>
      </c>
      <c r="D70" s="64" t="e">
        <f t="shared" si="8"/>
        <v>#VALUE!</v>
      </c>
      <c r="E70" s="64" t="e">
        <f>Tableau7[[#This Row],[Mensualité]]-Tableau7[[#This Row],[Intérêts]]</f>
        <v>#VALUE!</v>
      </c>
      <c r="F70" s="64" t="e">
        <f>$G$4-Tableau7[[#This Row],[Mensualité]]-Tableau7[[#This Row],[Intérêts]]</f>
        <v>#VALUE!</v>
      </c>
    </row>
    <row r="71" spans="2:6" x14ac:dyDescent="0.25">
      <c r="B71" s="67" t="str">
        <f t="shared" si="6"/>
        <v>NA</v>
      </c>
      <c r="C71" t="str">
        <f t="shared" si="7"/>
        <v>NA</v>
      </c>
      <c r="D71" s="64" t="e">
        <f t="shared" si="8"/>
        <v>#VALUE!</v>
      </c>
      <c r="E71" s="64" t="e">
        <f>Tableau7[[#This Row],[Mensualité]]-Tableau7[[#This Row],[Intérêts]]</f>
        <v>#VALUE!</v>
      </c>
      <c r="F71" s="64" t="e">
        <f>$G$4-Tableau7[[#This Row],[Mensualité]]-Tableau7[[#This Row],[Intérêts]]</f>
        <v>#VALUE!</v>
      </c>
    </row>
    <row r="72" spans="2:6" x14ac:dyDescent="0.25">
      <c r="B72" s="67" t="str">
        <f t="shared" si="6"/>
        <v>NA</v>
      </c>
      <c r="C72" t="str">
        <f t="shared" si="7"/>
        <v>NA</v>
      </c>
      <c r="D72" s="64" t="e">
        <f t="shared" si="8"/>
        <v>#VALUE!</v>
      </c>
      <c r="E72" s="64" t="e">
        <f>Tableau7[[#This Row],[Mensualité]]-Tableau7[[#This Row],[Intérêts]]</f>
        <v>#VALUE!</v>
      </c>
      <c r="F72" s="64" t="e">
        <f>$G$4-Tableau7[[#This Row],[Mensualité]]-Tableau7[[#This Row],[Intérêts]]</f>
        <v>#VALUE!</v>
      </c>
    </row>
    <row r="73" spans="2:6" x14ac:dyDescent="0.25">
      <c r="B73" s="67" t="str">
        <f t="shared" si="6"/>
        <v>NA</v>
      </c>
      <c r="C73" t="str">
        <f t="shared" si="7"/>
        <v>NA</v>
      </c>
      <c r="D73" s="64" t="e">
        <f t="shared" si="8"/>
        <v>#VALUE!</v>
      </c>
      <c r="E73" s="64" t="e">
        <f>Tableau7[[#This Row],[Mensualité]]-Tableau7[[#This Row],[Intérêts]]</f>
        <v>#VALUE!</v>
      </c>
      <c r="F73" s="64" t="e">
        <f>$G$4-Tableau7[[#This Row],[Mensualité]]-Tableau7[[#This Row],[Intérêts]]</f>
        <v>#VALUE!</v>
      </c>
    </row>
    <row r="74" spans="2:6" x14ac:dyDescent="0.25">
      <c r="B74" s="67" t="str">
        <f t="shared" si="6"/>
        <v>NA</v>
      </c>
      <c r="C74" t="str">
        <f t="shared" si="7"/>
        <v>NA</v>
      </c>
      <c r="D74" s="64" t="e">
        <f t="shared" si="8"/>
        <v>#VALUE!</v>
      </c>
      <c r="E74" s="64" t="e">
        <f>Tableau7[[#This Row],[Mensualité]]-Tableau7[[#This Row],[Intérêts]]</f>
        <v>#VALUE!</v>
      </c>
      <c r="F74" s="64" t="e">
        <f>$G$4-Tableau7[[#This Row],[Mensualité]]-Tableau7[[#This Row],[Intérêts]]</f>
        <v>#VALUE!</v>
      </c>
    </row>
    <row r="75" spans="2:6" x14ac:dyDescent="0.25">
      <c r="B75" s="67" t="str">
        <f t="shared" si="6"/>
        <v>NA</v>
      </c>
      <c r="C75" t="str">
        <f t="shared" si="7"/>
        <v>NA</v>
      </c>
      <c r="D75" s="64" t="e">
        <f t="shared" si="8"/>
        <v>#VALUE!</v>
      </c>
      <c r="E75" s="64" t="e">
        <f>Tableau7[[#This Row],[Mensualité]]-Tableau7[[#This Row],[Intérêts]]</f>
        <v>#VALUE!</v>
      </c>
      <c r="F75" s="64" t="e">
        <f>$G$4-Tableau7[[#This Row],[Mensualité]]-Tableau7[[#This Row],[Intérêts]]</f>
        <v>#VALUE!</v>
      </c>
    </row>
    <row r="76" spans="2:6" x14ac:dyDescent="0.25">
      <c r="B76" s="67" t="str">
        <f t="shared" si="6"/>
        <v>NA</v>
      </c>
      <c r="C76" t="str">
        <f t="shared" si="7"/>
        <v>NA</v>
      </c>
      <c r="D76" s="64" t="e">
        <f t="shared" si="8"/>
        <v>#VALUE!</v>
      </c>
      <c r="E76" s="64" t="e">
        <f>Tableau7[[#This Row],[Mensualité]]-Tableau7[[#This Row],[Intérêts]]</f>
        <v>#VALUE!</v>
      </c>
      <c r="F76" s="64" t="e">
        <f>$G$4-Tableau7[[#This Row],[Mensualité]]-Tableau7[[#This Row],[Intérêts]]</f>
        <v>#VALUE!</v>
      </c>
    </row>
    <row r="77" spans="2:6" x14ac:dyDescent="0.25">
      <c r="B77" s="67" t="str">
        <f t="shared" si="6"/>
        <v>NA</v>
      </c>
      <c r="C77" t="str">
        <f t="shared" si="7"/>
        <v>NA</v>
      </c>
      <c r="D77" s="64" t="e">
        <f t="shared" si="8"/>
        <v>#VALUE!</v>
      </c>
      <c r="E77" s="64" t="e">
        <f>Tableau7[[#This Row],[Mensualité]]-Tableau7[[#This Row],[Intérêts]]</f>
        <v>#VALUE!</v>
      </c>
      <c r="F77" s="64" t="e">
        <f>$G$4-Tableau7[[#This Row],[Mensualité]]-Tableau7[[#This Row],[Intérêts]]</f>
        <v>#VALUE!</v>
      </c>
    </row>
    <row r="78" spans="2:6" x14ac:dyDescent="0.25">
      <c r="B78" s="67" t="str">
        <f t="shared" si="6"/>
        <v>NA</v>
      </c>
      <c r="C78" t="str">
        <f t="shared" si="7"/>
        <v>NA</v>
      </c>
      <c r="D78" s="64" t="e">
        <f t="shared" si="8"/>
        <v>#VALUE!</v>
      </c>
      <c r="E78" s="64" t="e">
        <f>Tableau7[[#This Row],[Mensualité]]-Tableau7[[#This Row],[Intérêts]]</f>
        <v>#VALUE!</v>
      </c>
      <c r="F78" s="64" t="e">
        <f>$G$4-Tableau7[[#This Row],[Mensualité]]-Tableau7[[#This Row],[Intérêts]]</f>
        <v>#VALUE!</v>
      </c>
    </row>
    <row r="79" spans="2:6" x14ac:dyDescent="0.25">
      <c r="B79" s="67" t="str">
        <f t="shared" si="6"/>
        <v>NA</v>
      </c>
      <c r="C79" t="str">
        <f t="shared" si="7"/>
        <v>NA</v>
      </c>
      <c r="D79" s="64" t="e">
        <f t="shared" si="8"/>
        <v>#VALUE!</v>
      </c>
      <c r="E79" s="64" t="e">
        <f>Tableau7[[#This Row],[Mensualité]]-Tableau7[[#This Row],[Intérêts]]</f>
        <v>#VALUE!</v>
      </c>
      <c r="F79" s="64" t="e">
        <f>$G$4-Tableau7[[#This Row],[Mensualité]]-Tableau7[[#This Row],[Intérêts]]</f>
        <v>#VALUE!</v>
      </c>
    </row>
    <row r="80" spans="2:6" x14ac:dyDescent="0.25">
      <c r="B80" s="67" t="str">
        <f t="shared" si="6"/>
        <v>NA</v>
      </c>
      <c r="C80" t="str">
        <f t="shared" si="7"/>
        <v>NA</v>
      </c>
      <c r="D80" s="64" t="e">
        <f t="shared" si="8"/>
        <v>#VALUE!</v>
      </c>
      <c r="E80" s="64" t="e">
        <f>Tableau7[[#This Row],[Mensualité]]-Tableau7[[#This Row],[Intérêts]]</f>
        <v>#VALUE!</v>
      </c>
      <c r="F80" s="64" t="e">
        <f>$G$4-Tableau7[[#This Row],[Mensualité]]-Tableau7[[#This Row],[Intérêts]]</f>
        <v>#VALUE!</v>
      </c>
    </row>
    <row r="81" spans="2:6" x14ac:dyDescent="0.25">
      <c r="B81" s="67" t="str">
        <f t="shared" si="6"/>
        <v>NA</v>
      </c>
      <c r="C81" t="str">
        <f t="shared" si="7"/>
        <v>NA</v>
      </c>
      <c r="D81" s="64" t="e">
        <f t="shared" si="8"/>
        <v>#VALUE!</v>
      </c>
      <c r="E81" s="64" t="e">
        <f>Tableau7[[#This Row],[Mensualité]]-Tableau7[[#This Row],[Intérêts]]</f>
        <v>#VALUE!</v>
      </c>
      <c r="F81" s="64" t="e">
        <f>$G$4-Tableau7[[#This Row],[Mensualité]]-Tableau7[[#This Row],[Intérêts]]</f>
        <v>#VALUE!</v>
      </c>
    </row>
    <row r="82" spans="2:6" x14ac:dyDescent="0.25">
      <c r="B82" s="67" t="str">
        <f t="shared" si="6"/>
        <v>NA</v>
      </c>
      <c r="C82" t="str">
        <f t="shared" si="7"/>
        <v>NA</v>
      </c>
      <c r="D82" s="64" t="e">
        <f t="shared" si="8"/>
        <v>#VALUE!</v>
      </c>
      <c r="E82" s="64" t="e">
        <f>Tableau7[[#This Row],[Mensualité]]-Tableau7[[#This Row],[Intérêts]]</f>
        <v>#VALUE!</v>
      </c>
      <c r="F82" s="64" t="e">
        <f>$G$4-Tableau7[[#This Row],[Mensualité]]-Tableau7[[#This Row],[Intérêts]]</f>
        <v>#VALUE!</v>
      </c>
    </row>
    <row r="83" spans="2:6" x14ac:dyDescent="0.25">
      <c r="B83" s="67" t="str">
        <f t="shared" si="6"/>
        <v>NA</v>
      </c>
      <c r="C83" t="str">
        <f t="shared" si="7"/>
        <v>NA</v>
      </c>
      <c r="D83" s="64" t="e">
        <f t="shared" si="8"/>
        <v>#VALUE!</v>
      </c>
      <c r="E83" s="64" t="e">
        <f>Tableau7[[#This Row],[Mensualité]]-Tableau7[[#This Row],[Intérêts]]</f>
        <v>#VALUE!</v>
      </c>
      <c r="F83" s="64" t="e">
        <f>$G$4-Tableau7[[#This Row],[Mensualité]]-Tableau7[[#This Row],[Intérêts]]</f>
        <v>#VALUE!</v>
      </c>
    </row>
    <row r="84" spans="2:6" x14ac:dyDescent="0.25">
      <c r="B84" s="67" t="str">
        <f t="shared" si="6"/>
        <v>NA</v>
      </c>
      <c r="C84" t="str">
        <f t="shared" si="7"/>
        <v>NA</v>
      </c>
      <c r="D84" s="64" t="e">
        <f t="shared" si="8"/>
        <v>#VALUE!</v>
      </c>
      <c r="E84" s="64" t="e">
        <f>Tableau7[[#This Row],[Mensualité]]-Tableau7[[#This Row],[Intérêts]]</f>
        <v>#VALUE!</v>
      </c>
      <c r="F84" s="64" t="e">
        <f>$G$4-Tableau7[[#This Row],[Mensualité]]-Tableau7[[#This Row],[Intérêts]]</f>
        <v>#VALUE!</v>
      </c>
    </row>
    <row r="85" spans="2:6" x14ac:dyDescent="0.25">
      <c r="B85" s="67" t="str">
        <f t="shared" si="6"/>
        <v>NA</v>
      </c>
      <c r="C85" t="str">
        <f t="shared" si="7"/>
        <v>NA</v>
      </c>
      <c r="D85" s="64" t="e">
        <f t="shared" si="8"/>
        <v>#VALUE!</v>
      </c>
      <c r="E85" s="64" t="e">
        <f>Tableau7[[#This Row],[Mensualité]]-Tableau7[[#This Row],[Intérêts]]</f>
        <v>#VALUE!</v>
      </c>
      <c r="F85" s="64" t="e">
        <f>$G$4-Tableau7[[#This Row],[Mensualité]]-Tableau7[[#This Row],[Intérêts]]</f>
        <v>#VALUE!</v>
      </c>
    </row>
    <row r="86" spans="2:6" x14ac:dyDescent="0.25">
      <c r="B86" s="67" t="str">
        <f t="shared" si="6"/>
        <v>NA</v>
      </c>
      <c r="C86" t="str">
        <f t="shared" si="7"/>
        <v>NA</v>
      </c>
      <c r="D86" s="64" t="e">
        <f t="shared" si="8"/>
        <v>#VALUE!</v>
      </c>
      <c r="E86" s="64" t="e">
        <f>Tableau7[[#This Row],[Mensualité]]-Tableau7[[#This Row],[Intérêts]]</f>
        <v>#VALUE!</v>
      </c>
      <c r="F86" s="64" t="e">
        <f>$G$4-Tableau7[[#This Row],[Mensualité]]-Tableau7[[#This Row],[Intérêts]]</f>
        <v>#VALUE!</v>
      </c>
    </row>
    <row r="87" spans="2:6" x14ac:dyDescent="0.25">
      <c r="B87" s="67" t="str">
        <f t="shared" si="6"/>
        <v>NA</v>
      </c>
      <c r="C87" t="str">
        <f t="shared" si="7"/>
        <v>NA</v>
      </c>
      <c r="D87" s="64" t="e">
        <f t="shared" si="8"/>
        <v>#VALUE!</v>
      </c>
      <c r="E87" s="64" t="e">
        <f>Tableau7[[#This Row],[Mensualité]]-Tableau7[[#This Row],[Intérêts]]</f>
        <v>#VALUE!</v>
      </c>
      <c r="F87" s="64" t="e">
        <f>$G$4-Tableau7[[#This Row],[Mensualité]]-Tableau7[[#This Row],[Intérêts]]</f>
        <v>#VALUE!</v>
      </c>
    </row>
    <row r="88" spans="2:6" x14ac:dyDescent="0.25">
      <c r="B88" s="67" t="str">
        <f t="shared" si="6"/>
        <v>NA</v>
      </c>
      <c r="C88" t="str">
        <f t="shared" si="7"/>
        <v>NA</v>
      </c>
      <c r="D88" s="64" t="e">
        <f t="shared" si="8"/>
        <v>#VALUE!</v>
      </c>
      <c r="E88" s="64" t="e">
        <f>Tableau7[[#This Row],[Mensualité]]-Tableau7[[#This Row],[Intérêts]]</f>
        <v>#VALUE!</v>
      </c>
      <c r="F88" s="64" t="e">
        <f>$G$4-Tableau7[[#This Row],[Mensualité]]-Tableau7[[#This Row],[Intérêts]]</f>
        <v>#VALUE!</v>
      </c>
    </row>
    <row r="89" spans="2:6" x14ac:dyDescent="0.25">
      <c r="B89" s="67" t="str">
        <f t="shared" si="6"/>
        <v>NA</v>
      </c>
      <c r="C89" t="str">
        <f t="shared" si="7"/>
        <v>NA</v>
      </c>
      <c r="D89" s="64" t="e">
        <f t="shared" si="8"/>
        <v>#VALUE!</v>
      </c>
      <c r="E89" s="64" t="e">
        <f>Tableau7[[#This Row],[Mensualité]]-Tableau7[[#This Row],[Intérêts]]</f>
        <v>#VALUE!</v>
      </c>
      <c r="F89" s="64" t="e">
        <f>$G$4-Tableau7[[#This Row],[Mensualité]]-Tableau7[[#This Row],[Intérêts]]</f>
        <v>#VALUE!</v>
      </c>
    </row>
    <row r="90" spans="2:6" x14ac:dyDescent="0.25">
      <c r="B90" s="67" t="str">
        <f t="shared" si="6"/>
        <v>NA</v>
      </c>
      <c r="C90" t="str">
        <f t="shared" si="7"/>
        <v>NA</v>
      </c>
      <c r="D90" s="64" t="e">
        <f t="shared" si="8"/>
        <v>#VALUE!</v>
      </c>
      <c r="E90" s="64" t="e">
        <f>Tableau7[[#This Row],[Mensualité]]-Tableau7[[#This Row],[Intérêts]]</f>
        <v>#VALUE!</v>
      </c>
      <c r="F90" s="64" t="e">
        <f>$G$4-Tableau7[[#This Row],[Mensualité]]-Tableau7[[#This Row],[Intérêts]]</f>
        <v>#VALUE!</v>
      </c>
    </row>
    <row r="91" spans="2:6" x14ac:dyDescent="0.25">
      <c r="B91" s="67" t="str">
        <f t="shared" si="6"/>
        <v>NA</v>
      </c>
      <c r="C91" t="str">
        <f t="shared" si="7"/>
        <v>NA</v>
      </c>
      <c r="D91" s="64" t="e">
        <f t="shared" si="8"/>
        <v>#VALUE!</v>
      </c>
      <c r="E91" s="64" t="e">
        <f>Tableau7[[#This Row],[Mensualité]]-Tableau7[[#This Row],[Intérêts]]</f>
        <v>#VALUE!</v>
      </c>
      <c r="F91" s="64" t="e">
        <f>$G$4-Tableau7[[#This Row],[Mensualité]]-Tableau7[[#This Row],[Intérêts]]</f>
        <v>#VALUE!</v>
      </c>
    </row>
    <row r="92" spans="2:6" x14ac:dyDescent="0.25">
      <c r="B92" s="67" t="str">
        <f t="shared" si="6"/>
        <v>NA</v>
      </c>
      <c r="C92" t="str">
        <f t="shared" si="7"/>
        <v>NA</v>
      </c>
      <c r="D92" s="64" t="e">
        <f t="shared" si="8"/>
        <v>#VALUE!</v>
      </c>
      <c r="E92" s="64" t="e">
        <f>Tableau7[[#This Row],[Mensualité]]-Tableau7[[#This Row],[Intérêts]]</f>
        <v>#VALUE!</v>
      </c>
      <c r="F92" s="64" t="e">
        <f>$G$4-Tableau7[[#This Row],[Mensualité]]-Tableau7[[#This Row],[Intérêts]]</f>
        <v>#VALUE!</v>
      </c>
    </row>
    <row r="93" spans="2:6" x14ac:dyDescent="0.25">
      <c r="B93" s="67" t="str">
        <f t="shared" si="6"/>
        <v>NA</v>
      </c>
      <c r="C93" t="str">
        <f t="shared" si="7"/>
        <v>NA</v>
      </c>
      <c r="D93" s="64" t="e">
        <f t="shared" si="8"/>
        <v>#VALUE!</v>
      </c>
      <c r="E93" s="64" t="e">
        <f>Tableau7[[#This Row],[Mensualité]]-Tableau7[[#This Row],[Intérêts]]</f>
        <v>#VALUE!</v>
      </c>
      <c r="F93" s="64" t="e">
        <f>$G$4-Tableau7[[#This Row],[Mensualité]]-Tableau7[[#This Row],[Intérêts]]</f>
        <v>#VALUE!</v>
      </c>
    </row>
    <row r="94" spans="2:6" x14ac:dyDescent="0.25">
      <c r="B94" s="67" t="str">
        <f t="shared" si="6"/>
        <v>NA</v>
      </c>
      <c r="C94" t="str">
        <f t="shared" si="7"/>
        <v>NA</v>
      </c>
      <c r="D94" s="64" t="e">
        <f t="shared" si="8"/>
        <v>#VALUE!</v>
      </c>
      <c r="E94" s="64" t="e">
        <f>Tableau7[[#This Row],[Mensualité]]-Tableau7[[#This Row],[Intérêts]]</f>
        <v>#VALUE!</v>
      </c>
      <c r="F94" s="64" t="e">
        <f>$G$4-Tableau7[[#This Row],[Mensualité]]-Tableau7[[#This Row],[Intérêts]]</f>
        <v>#VALUE!</v>
      </c>
    </row>
    <row r="95" spans="2:6" x14ac:dyDescent="0.25">
      <c r="B95" s="67" t="str">
        <f t="shared" si="6"/>
        <v>NA</v>
      </c>
      <c r="C95" t="str">
        <f t="shared" si="7"/>
        <v>NA</v>
      </c>
      <c r="D95" s="64" t="e">
        <f t="shared" si="8"/>
        <v>#VALUE!</v>
      </c>
      <c r="E95" s="64" t="e">
        <f>Tableau7[[#This Row],[Mensualité]]-Tableau7[[#This Row],[Intérêts]]</f>
        <v>#VALUE!</v>
      </c>
      <c r="F95" s="64" t="e">
        <f>$G$4-Tableau7[[#This Row],[Mensualité]]-Tableau7[[#This Row],[Intérêts]]</f>
        <v>#VALUE!</v>
      </c>
    </row>
    <row r="96" spans="2:6" x14ac:dyDescent="0.25">
      <c r="B96" s="67" t="str">
        <f t="shared" si="6"/>
        <v>NA</v>
      </c>
      <c r="C96" t="str">
        <f t="shared" si="7"/>
        <v>NA</v>
      </c>
      <c r="D96" s="64" t="e">
        <f t="shared" si="8"/>
        <v>#VALUE!</v>
      </c>
      <c r="E96" s="64" t="e">
        <f>Tableau7[[#This Row],[Mensualité]]-Tableau7[[#This Row],[Intérêts]]</f>
        <v>#VALUE!</v>
      </c>
      <c r="F96" s="64" t="e">
        <f>$G$4-Tableau7[[#This Row],[Mensualité]]-Tableau7[[#This Row],[Intérêts]]</f>
        <v>#VALUE!</v>
      </c>
    </row>
    <row r="97" spans="2:6" x14ac:dyDescent="0.25">
      <c r="B97" s="67" t="str">
        <f t="shared" si="6"/>
        <v>NA</v>
      </c>
      <c r="C97" t="str">
        <f t="shared" si="7"/>
        <v>NA</v>
      </c>
      <c r="D97" s="64" t="e">
        <f t="shared" si="8"/>
        <v>#VALUE!</v>
      </c>
      <c r="E97" s="64" t="e">
        <f>Tableau7[[#This Row],[Mensualité]]-Tableau7[[#This Row],[Intérêts]]</f>
        <v>#VALUE!</v>
      </c>
      <c r="F97" s="64" t="e">
        <f>$G$4-Tableau7[[#This Row],[Mensualité]]-Tableau7[[#This Row],[Intérêts]]</f>
        <v>#VALUE!</v>
      </c>
    </row>
    <row r="98" spans="2:6" x14ac:dyDescent="0.25">
      <c r="B98" s="67" t="str">
        <f t="shared" si="6"/>
        <v>NA</v>
      </c>
      <c r="C98" t="str">
        <f t="shared" si="7"/>
        <v>NA</v>
      </c>
      <c r="D98" s="64" t="e">
        <f t="shared" si="8"/>
        <v>#VALUE!</v>
      </c>
      <c r="E98" s="64" t="e">
        <f>Tableau7[[#This Row],[Mensualité]]-Tableau7[[#This Row],[Intérêts]]</f>
        <v>#VALUE!</v>
      </c>
      <c r="F98" s="64" t="e">
        <f>$G$4-Tableau7[[#This Row],[Mensualité]]-Tableau7[[#This Row],[Intérêts]]</f>
        <v>#VALUE!</v>
      </c>
    </row>
    <row r="99" spans="2:6" x14ac:dyDescent="0.25">
      <c r="B99" s="67" t="str">
        <f t="shared" si="6"/>
        <v>NA</v>
      </c>
      <c r="C99" t="str">
        <f t="shared" si="7"/>
        <v>NA</v>
      </c>
      <c r="D99" s="64" t="e">
        <f t="shared" si="8"/>
        <v>#VALUE!</v>
      </c>
      <c r="E99" s="64" t="e">
        <f>Tableau7[[#This Row],[Mensualité]]-Tableau7[[#This Row],[Intérêts]]</f>
        <v>#VALUE!</v>
      </c>
      <c r="F99" s="64" t="e">
        <f>$G$4-Tableau7[[#This Row],[Mensualité]]-Tableau7[[#This Row],[Intérêts]]</f>
        <v>#VALUE!</v>
      </c>
    </row>
    <row r="100" spans="2:6" x14ac:dyDescent="0.25">
      <c r="B100" s="67" t="str">
        <f t="shared" si="6"/>
        <v>NA</v>
      </c>
      <c r="C100" t="str">
        <f t="shared" si="7"/>
        <v>NA</v>
      </c>
      <c r="D100" s="64" t="e">
        <f t="shared" si="8"/>
        <v>#VALUE!</v>
      </c>
      <c r="E100" s="64" t="e">
        <f>Tableau7[[#This Row],[Mensualité]]-Tableau7[[#This Row],[Intérêts]]</f>
        <v>#VALUE!</v>
      </c>
      <c r="F100" s="64" t="e">
        <f>$G$4-Tableau7[[#This Row],[Mensualité]]-Tableau7[[#This Row],[Intérêts]]</f>
        <v>#VALUE!</v>
      </c>
    </row>
    <row r="101" spans="2:6" x14ac:dyDescent="0.25">
      <c r="B101" s="67" t="str">
        <f t="shared" si="6"/>
        <v>NA</v>
      </c>
      <c r="C101" t="str">
        <f t="shared" si="7"/>
        <v>NA</v>
      </c>
      <c r="D101" s="64" t="e">
        <f t="shared" si="8"/>
        <v>#VALUE!</v>
      </c>
      <c r="E101" s="64" t="e">
        <f>Tableau7[[#This Row],[Mensualité]]-Tableau7[[#This Row],[Intérêts]]</f>
        <v>#VALUE!</v>
      </c>
      <c r="F101" s="64" t="e">
        <f>$G$4-Tableau7[[#This Row],[Mensualité]]-Tableau7[[#This Row],[Intérêts]]</f>
        <v>#VALUE!</v>
      </c>
    </row>
    <row r="102" spans="2:6" x14ac:dyDescent="0.25">
      <c r="B102" s="67" t="str">
        <f t="shared" si="6"/>
        <v>NA</v>
      </c>
      <c r="C102" t="str">
        <f t="shared" si="7"/>
        <v>NA</v>
      </c>
      <c r="D102" s="64" t="e">
        <f t="shared" si="8"/>
        <v>#VALUE!</v>
      </c>
      <c r="E102" s="64" t="e">
        <f>Tableau7[[#This Row],[Mensualité]]-Tableau7[[#This Row],[Intérêts]]</f>
        <v>#VALUE!</v>
      </c>
      <c r="F102" s="64" t="e">
        <f>$G$4-Tableau7[[#This Row],[Mensualité]]-Tableau7[[#This Row],[Intérêts]]</f>
        <v>#VALUE!</v>
      </c>
    </row>
    <row r="103" spans="2:6" x14ac:dyDescent="0.25">
      <c r="B103" s="67" t="str">
        <f t="shared" si="6"/>
        <v>NA</v>
      </c>
      <c r="C103" t="str">
        <f t="shared" si="7"/>
        <v>NA</v>
      </c>
      <c r="D103" s="64" t="e">
        <f t="shared" si="8"/>
        <v>#VALUE!</v>
      </c>
      <c r="E103" s="64" t="e">
        <f>Tableau7[[#This Row],[Mensualité]]-Tableau7[[#This Row],[Intérêts]]</f>
        <v>#VALUE!</v>
      </c>
      <c r="F103" s="64" t="e">
        <f>$G$4-Tableau7[[#This Row],[Mensualité]]-Tableau7[[#This Row],[Intérêts]]</f>
        <v>#VALUE!</v>
      </c>
    </row>
    <row r="104" spans="2:6" x14ac:dyDescent="0.25">
      <c r="B104" s="67" t="str">
        <f t="shared" si="6"/>
        <v>NA</v>
      </c>
      <c r="C104" t="str">
        <f t="shared" si="7"/>
        <v>NA</v>
      </c>
      <c r="D104" s="64" t="e">
        <f t="shared" si="8"/>
        <v>#VALUE!</v>
      </c>
      <c r="E104" s="64" t="e">
        <f>Tableau7[[#This Row],[Mensualité]]-Tableau7[[#This Row],[Intérêts]]</f>
        <v>#VALUE!</v>
      </c>
      <c r="F104" s="64" t="e">
        <f>$G$4-Tableau7[[#This Row],[Mensualité]]-Tableau7[[#This Row],[Intérêts]]</f>
        <v>#VALUE!</v>
      </c>
    </row>
    <row r="105" spans="2:6" x14ac:dyDescent="0.25">
      <c r="B105" s="67" t="str">
        <f t="shared" si="6"/>
        <v>NA</v>
      </c>
      <c r="C105" t="str">
        <f t="shared" si="7"/>
        <v>NA</v>
      </c>
      <c r="D105" s="64" t="e">
        <f t="shared" si="8"/>
        <v>#VALUE!</v>
      </c>
      <c r="E105" s="64" t="e">
        <f>Tableau7[[#This Row],[Mensualité]]-Tableau7[[#This Row],[Intérêts]]</f>
        <v>#VALUE!</v>
      </c>
      <c r="F105" s="64" t="e">
        <f>$G$4-Tableau7[[#This Row],[Mensualité]]-Tableau7[[#This Row],[Intérêts]]</f>
        <v>#VALUE!</v>
      </c>
    </row>
    <row r="106" spans="2:6" x14ac:dyDescent="0.25">
      <c r="B106" s="67" t="str">
        <f t="shared" si="6"/>
        <v>NA</v>
      </c>
      <c r="C106" t="str">
        <f t="shared" si="7"/>
        <v>NA</v>
      </c>
      <c r="D106" s="64" t="e">
        <f t="shared" si="8"/>
        <v>#VALUE!</v>
      </c>
      <c r="E106" s="64" t="e">
        <f>Tableau7[[#This Row],[Mensualité]]-Tableau7[[#This Row],[Intérêts]]</f>
        <v>#VALUE!</v>
      </c>
      <c r="F106" s="64" t="e">
        <f>$G$4-Tableau7[[#This Row],[Mensualité]]-Tableau7[[#This Row],[Intérêts]]</f>
        <v>#VALUE!</v>
      </c>
    </row>
    <row r="107" spans="2:6" x14ac:dyDescent="0.25">
      <c r="B107" s="67" t="str">
        <f t="shared" ref="B107:B170" si="9">$D$4</f>
        <v>NA</v>
      </c>
      <c r="C107" t="str">
        <f t="shared" ref="C107:C170" si="10">$H$4</f>
        <v>NA</v>
      </c>
      <c r="D107" s="64" t="e">
        <f t="shared" ref="D107:D170" si="11">G100*F100/12</f>
        <v>#VALUE!</v>
      </c>
      <c r="E107" s="64" t="e">
        <f>Tableau7[[#This Row],[Mensualité]]-Tableau7[[#This Row],[Intérêts]]</f>
        <v>#VALUE!</v>
      </c>
      <c r="F107" s="64" t="e">
        <f>$G$4-Tableau7[[#This Row],[Mensualité]]-Tableau7[[#This Row],[Intérêts]]</f>
        <v>#VALUE!</v>
      </c>
    </row>
    <row r="108" spans="2:6" x14ac:dyDescent="0.25">
      <c r="B108" s="67" t="str">
        <f t="shared" si="9"/>
        <v>NA</v>
      </c>
      <c r="C108" t="str">
        <f t="shared" si="10"/>
        <v>NA</v>
      </c>
      <c r="D108" s="64" t="e">
        <f t="shared" si="11"/>
        <v>#VALUE!</v>
      </c>
      <c r="E108" s="64" t="e">
        <f>Tableau7[[#This Row],[Mensualité]]-Tableau7[[#This Row],[Intérêts]]</f>
        <v>#VALUE!</v>
      </c>
      <c r="F108" s="64" t="e">
        <f>$G$4-Tableau7[[#This Row],[Mensualité]]-Tableau7[[#This Row],[Intérêts]]</f>
        <v>#VALUE!</v>
      </c>
    </row>
    <row r="109" spans="2:6" x14ac:dyDescent="0.25">
      <c r="B109" s="67" t="str">
        <f t="shared" si="9"/>
        <v>NA</v>
      </c>
      <c r="C109" t="str">
        <f t="shared" si="10"/>
        <v>NA</v>
      </c>
      <c r="D109" s="64" t="e">
        <f t="shared" si="11"/>
        <v>#VALUE!</v>
      </c>
      <c r="E109" s="64" t="e">
        <f>Tableau7[[#This Row],[Mensualité]]-Tableau7[[#This Row],[Intérêts]]</f>
        <v>#VALUE!</v>
      </c>
      <c r="F109" s="64" t="e">
        <f>$G$4-Tableau7[[#This Row],[Mensualité]]-Tableau7[[#This Row],[Intérêts]]</f>
        <v>#VALUE!</v>
      </c>
    </row>
    <row r="110" spans="2:6" x14ac:dyDescent="0.25">
      <c r="B110" s="67" t="str">
        <f t="shared" si="9"/>
        <v>NA</v>
      </c>
      <c r="C110" t="str">
        <f t="shared" si="10"/>
        <v>NA</v>
      </c>
      <c r="D110" s="64" t="e">
        <f t="shared" si="11"/>
        <v>#VALUE!</v>
      </c>
      <c r="E110" s="64" t="e">
        <f>Tableau7[[#This Row],[Mensualité]]-Tableau7[[#This Row],[Intérêts]]</f>
        <v>#VALUE!</v>
      </c>
      <c r="F110" s="64" t="e">
        <f>$G$4-Tableau7[[#This Row],[Mensualité]]-Tableau7[[#This Row],[Intérêts]]</f>
        <v>#VALUE!</v>
      </c>
    </row>
    <row r="111" spans="2:6" x14ac:dyDescent="0.25">
      <c r="B111" s="67" t="str">
        <f t="shared" si="9"/>
        <v>NA</v>
      </c>
      <c r="C111" t="str">
        <f t="shared" si="10"/>
        <v>NA</v>
      </c>
      <c r="D111" s="64" t="e">
        <f t="shared" si="11"/>
        <v>#VALUE!</v>
      </c>
      <c r="E111" s="64" t="e">
        <f>Tableau7[[#This Row],[Mensualité]]-Tableau7[[#This Row],[Intérêts]]</f>
        <v>#VALUE!</v>
      </c>
      <c r="F111" s="64" t="e">
        <f>$G$4-Tableau7[[#This Row],[Mensualité]]-Tableau7[[#This Row],[Intérêts]]</f>
        <v>#VALUE!</v>
      </c>
    </row>
    <row r="112" spans="2:6" x14ac:dyDescent="0.25">
      <c r="B112" s="67" t="str">
        <f t="shared" si="9"/>
        <v>NA</v>
      </c>
      <c r="C112" t="str">
        <f t="shared" si="10"/>
        <v>NA</v>
      </c>
      <c r="D112" s="64" t="e">
        <f t="shared" si="11"/>
        <v>#VALUE!</v>
      </c>
      <c r="E112" s="64" t="e">
        <f>Tableau7[[#This Row],[Mensualité]]-Tableau7[[#This Row],[Intérêts]]</f>
        <v>#VALUE!</v>
      </c>
      <c r="F112" s="64" t="e">
        <f>$G$4-Tableau7[[#This Row],[Mensualité]]-Tableau7[[#This Row],[Intérêts]]</f>
        <v>#VALUE!</v>
      </c>
    </row>
    <row r="113" spans="2:6" x14ac:dyDescent="0.25">
      <c r="B113" s="67" t="str">
        <f t="shared" si="9"/>
        <v>NA</v>
      </c>
      <c r="C113" t="str">
        <f t="shared" si="10"/>
        <v>NA</v>
      </c>
      <c r="D113" s="64" t="e">
        <f t="shared" si="11"/>
        <v>#VALUE!</v>
      </c>
      <c r="E113" s="64" t="e">
        <f>Tableau7[[#This Row],[Mensualité]]-Tableau7[[#This Row],[Intérêts]]</f>
        <v>#VALUE!</v>
      </c>
      <c r="F113" s="64" t="e">
        <f>$G$4-Tableau7[[#This Row],[Mensualité]]-Tableau7[[#This Row],[Intérêts]]</f>
        <v>#VALUE!</v>
      </c>
    </row>
    <row r="114" spans="2:6" x14ac:dyDescent="0.25">
      <c r="B114" s="67" t="str">
        <f t="shared" si="9"/>
        <v>NA</v>
      </c>
      <c r="C114" t="str">
        <f t="shared" si="10"/>
        <v>NA</v>
      </c>
      <c r="D114" s="64" t="e">
        <f t="shared" si="11"/>
        <v>#VALUE!</v>
      </c>
      <c r="E114" s="64" t="e">
        <f>Tableau7[[#This Row],[Mensualité]]-Tableau7[[#This Row],[Intérêts]]</f>
        <v>#VALUE!</v>
      </c>
      <c r="F114" s="64" t="e">
        <f>$G$4-Tableau7[[#This Row],[Mensualité]]-Tableau7[[#This Row],[Intérêts]]</f>
        <v>#VALUE!</v>
      </c>
    </row>
    <row r="115" spans="2:6" x14ac:dyDescent="0.25">
      <c r="B115" s="67" t="str">
        <f t="shared" si="9"/>
        <v>NA</v>
      </c>
      <c r="C115" t="str">
        <f t="shared" si="10"/>
        <v>NA</v>
      </c>
      <c r="D115" s="64" t="e">
        <f t="shared" si="11"/>
        <v>#VALUE!</v>
      </c>
      <c r="E115" s="64" t="e">
        <f>Tableau7[[#This Row],[Mensualité]]-Tableau7[[#This Row],[Intérêts]]</f>
        <v>#VALUE!</v>
      </c>
      <c r="F115" s="64" t="e">
        <f>$G$4-Tableau7[[#This Row],[Mensualité]]-Tableau7[[#This Row],[Intérêts]]</f>
        <v>#VALUE!</v>
      </c>
    </row>
    <row r="116" spans="2:6" x14ac:dyDescent="0.25">
      <c r="B116" s="67" t="str">
        <f t="shared" si="9"/>
        <v>NA</v>
      </c>
      <c r="C116" t="str">
        <f t="shared" si="10"/>
        <v>NA</v>
      </c>
      <c r="D116" s="64" t="e">
        <f t="shared" si="11"/>
        <v>#VALUE!</v>
      </c>
      <c r="E116" s="64" t="e">
        <f>Tableau7[[#This Row],[Mensualité]]-Tableau7[[#This Row],[Intérêts]]</f>
        <v>#VALUE!</v>
      </c>
      <c r="F116" s="64" t="e">
        <f>$G$4-Tableau7[[#This Row],[Mensualité]]-Tableau7[[#This Row],[Intérêts]]</f>
        <v>#VALUE!</v>
      </c>
    </row>
    <row r="117" spans="2:6" x14ac:dyDescent="0.25">
      <c r="B117" s="67" t="str">
        <f t="shared" si="9"/>
        <v>NA</v>
      </c>
      <c r="C117" t="str">
        <f t="shared" si="10"/>
        <v>NA</v>
      </c>
      <c r="D117" s="64" t="e">
        <f t="shared" si="11"/>
        <v>#VALUE!</v>
      </c>
      <c r="E117" s="64" t="e">
        <f>Tableau7[[#This Row],[Mensualité]]-Tableau7[[#This Row],[Intérêts]]</f>
        <v>#VALUE!</v>
      </c>
      <c r="F117" s="64" t="e">
        <f>$G$4-Tableau7[[#This Row],[Mensualité]]-Tableau7[[#This Row],[Intérêts]]</f>
        <v>#VALUE!</v>
      </c>
    </row>
    <row r="118" spans="2:6" x14ac:dyDescent="0.25">
      <c r="B118" s="67" t="str">
        <f t="shared" si="9"/>
        <v>NA</v>
      </c>
      <c r="C118" t="str">
        <f t="shared" si="10"/>
        <v>NA</v>
      </c>
      <c r="D118" s="64" t="e">
        <f t="shared" si="11"/>
        <v>#VALUE!</v>
      </c>
      <c r="E118" s="64" t="e">
        <f>Tableau7[[#This Row],[Mensualité]]-Tableau7[[#This Row],[Intérêts]]</f>
        <v>#VALUE!</v>
      </c>
      <c r="F118" s="64" t="e">
        <f>$G$4-Tableau7[[#This Row],[Mensualité]]-Tableau7[[#This Row],[Intérêts]]</f>
        <v>#VALUE!</v>
      </c>
    </row>
    <row r="119" spans="2:6" x14ac:dyDescent="0.25">
      <c r="B119" s="67" t="str">
        <f t="shared" si="9"/>
        <v>NA</v>
      </c>
      <c r="C119" t="str">
        <f t="shared" si="10"/>
        <v>NA</v>
      </c>
      <c r="D119" s="64" t="e">
        <f t="shared" si="11"/>
        <v>#VALUE!</v>
      </c>
      <c r="E119" s="64" t="e">
        <f>Tableau7[[#This Row],[Mensualité]]-Tableau7[[#This Row],[Intérêts]]</f>
        <v>#VALUE!</v>
      </c>
      <c r="F119" s="64" t="e">
        <f>$G$4-Tableau7[[#This Row],[Mensualité]]-Tableau7[[#This Row],[Intérêts]]</f>
        <v>#VALUE!</v>
      </c>
    </row>
    <row r="120" spans="2:6" x14ac:dyDescent="0.25">
      <c r="B120" s="67" t="str">
        <f t="shared" si="9"/>
        <v>NA</v>
      </c>
      <c r="C120" t="str">
        <f t="shared" si="10"/>
        <v>NA</v>
      </c>
      <c r="D120" s="64" t="e">
        <f t="shared" si="11"/>
        <v>#VALUE!</v>
      </c>
      <c r="E120" s="64" t="e">
        <f>Tableau7[[#This Row],[Mensualité]]-Tableau7[[#This Row],[Intérêts]]</f>
        <v>#VALUE!</v>
      </c>
      <c r="F120" s="64" t="e">
        <f>$G$4-Tableau7[[#This Row],[Mensualité]]-Tableau7[[#This Row],[Intérêts]]</f>
        <v>#VALUE!</v>
      </c>
    </row>
    <row r="121" spans="2:6" x14ac:dyDescent="0.25">
      <c r="B121" s="67" t="str">
        <f t="shared" si="9"/>
        <v>NA</v>
      </c>
      <c r="C121" t="str">
        <f t="shared" si="10"/>
        <v>NA</v>
      </c>
      <c r="D121" s="64" t="e">
        <f t="shared" si="11"/>
        <v>#VALUE!</v>
      </c>
      <c r="E121" s="64" t="e">
        <f>Tableau7[[#This Row],[Mensualité]]-Tableau7[[#This Row],[Intérêts]]</f>
        <v>#VALUE!</v>
      </c>
      <c r="F121" s="64" t="e">
        <f>$G$4-Tableau7[[#This Row],[Mensualité]]-Tableau7[[#This Row],[Intérêts]]</f>
        <v>#VALUE!</v>
      </c>
    </row>
    <row r="122" spans="2:6" x14ac:dyDescent="0.25">
      <c r="B122" s="67" t="str">
        <f t="shared" si="9"/>
        <v>NA</v>
      </c>
      <c r="C122" t="str">
        <f t="shared" si="10"/>
        <v>NA</v>
      </c>
      <c r="D122" s="64" t="e">
        <f t="shared" si="11"/>
        <v>#VALUE!</v>
      </c>
      <c r="E122" s="64" t="e">
        <f>Tableau7[[#This Row],[Mensualité]]-Tableau7[[#This Row],[Intérêts]]</f>
        <v>#VALUE!</v>
      </c>
      <c r="F122" s="64" t="e">
        <f>$G$4-Tableau7[[#This Row],[Mensualité]]-Tableau7[[#This Row],[Intérêts]]</f>
        <v>#VALUE!</v>
      </c>
    </row>
    <row r="123" spans="2:6" x14ac:dyDescent="0.25">
      <c r="B123" s="67" t="str">
        <f t="shared" si="9"/>
        <v>NA</v>
      </c>
      <c r="C123" t="str">
        <f t="shared" si="10"/>
        <v>NA</v>
      </c>
      <c r="D123" s="64" t="e">
        <f t="shared" si="11"/>
        <v>#VALUE!</v>
      </c>
      <c r="E123" s="64" t="e">
        <f>Tableau7[[#This Row],[Mensualité]]-Tableau7[[#This Row],[Intérêts]]</f>
        <v>#VALUE!</v>
      </c>
      <c r="F123" s="64" t="e">
        <f>$G$4-Tableau7[[#This Row],[Mensualité]]-Tableau7[[#This Row],[Intérêts]]</f>
        <v>#VALUE!</v>
      </c>
    </row>
    <row r="124" spans="2:6" x14ac:dyDescent="0.25">
      <c r="B124" s="67" t="str">
        <f t="shared" si="9"/>
        <v>NA</v>
      </c>
      <c r="C124" t="str">
        <f t="shared" si="10"/>
        <v>NA</v>
      </c>
      <c r="D124" s="64" t="e">
        <f t="shared" si="11"/>
        <v>#VALUE!</v>
      </c>
      <c r="E124" s="64" t="e">
        <f>Tableau7[[#This Row],[Mensualité]]-Tableau7[[#This Row],[Intérêts]]</f>
        <v>#VALUE!</v>
      </c>
      <c r="F124" s="64" t="e">
        <f>$G$4-Tableau7[[#This Row],[Mensualité]]-Tableau7[[#This Row],[Intérêts]]</f>
        <v>#VALUE!</v>
      </c>
    </row>
    <row r="125" spans="2:6" x14ac:dyDescent="0.25">
      <c r="B125" s="67" t="str">
        <f t="shared" si="9"/>
        <v>NA</v>
      </c>
      <c r="C125" t="str">
        <f t="shared" si="10"/>
        <v>NA</v>
      </c>
      <c r="D125" s="64" t="e">
        <f t="shared" si="11"/>
        <v>#VALUE!</v>
      </c>
      <c r="E125" s="64" t="e">
        <f>Tableau7[[#This Row],[Mensualité]]-Tableau7[[#This Row],[Intérêts]]</f>
        <v>#VALUE!</v>
      </c>
      <c r="F125" s="64" t="e">
        <f>$G$4-Tableau7[[#This Row],[Mensualité]]-Tableau7[[#This Row],[Intérêts]]</f>
        <v>#VALUE!</v>
      </c>
    </row>
    <row r="126" spans="2:6" x14ac:dyDescent="0.25">
      <c r="B126" s="67" t="str">
        <f t="shared" si="9"/>
        <v>NA</v>
      </c>
      <c r="C126" t="str">
        <f t="shared" si="10"/>
        <v>NA</v>
      </c>
      <c r="D126" s="64" t="e">
        <f t="shared" si="11"/>
        <v>#VALUE!</v>
      </c>
      <c r="E126" s="64" t="e">
        <f>Tableau7[[#This Row],[Mensualité]]-Tableau7[[#This Row],[Intérêts]]</f>
        <v>#VALUE!</v>
      </c>
      <c r="F126" s="64" t="e">
        <f>$G$4-Tableau7[[#This Row],[Mensualité]]-Tableau7[[#This Row],[Intérêts]]</f>
        <v>#VALUE!</v>
      </c>
    </row>
    <row r="127" spans="2:6" x14ac:dyDescent="0.25">
      <c r="B127" s="67" t="str">
        <f t="shared" si="9"/>
        <v>NA</v>
      </c>
      <c r="C127" t="str">
        <f t="shared" si="10"/>
        <v>NA</v>
      </c>
      <c r="D127" s="64" t="e">
        <f t="shared" si="11"/>
        <v>#VALUE!</v>
      </c>
      <c r="E127" s="64" t="e">
        <f>Tableau7[[#This Row],[Mensualité]]-Tableau7[[#This Row],[Intérêts]]</f>
        <v>#VALUE!</v>
      </c>
      <c r="F127" s="64" t="e">
        <f>$G$4-Tableau7[[#This Row],[Mensualité]]-Tableau7[[#This Row],[Intérêts]]</f>
        <v>#VALUE!</v>
      </c>
    </row>
    <row r="128" spans="2:6" x14ac:dyDescent="0.25">
      <c r="B128" s="67" t="str">
        <f t="shared" si="9"/>
        <v>NA</v>
      </c>
      <c r="C128" t="str">
        <f t="shared" si="10"/>
        <v>NA</v>
      </c>
      <c r="D128" s="64" t="e">
        <f t="shared" si="11"/>
        <v>#VALUE!</v>
      </c>
      <c r="E128" s="64" t="e">
        <f>Tableau7[[#This Row],[Mensualité]]-Tableau7[[#This Row],[Intérêts]]</f>
        <v>#VALUE!</v>
      </c>
      <c r="F128" s="64" t="e">
        <f>$G$4-Tableau7[[#This Row],[Mensualité]]-Tableau7[[#This Row],[Intérêts]]</f>
        <v>#VALUE!</v>
      </c>
    </row>
    <row r="129" spans="2:6" x14ac:dyDescent="0.25">
      <c r="B129" s="67" t="str">
        <f t="shared" si="9"/>
        <v>NA</v>
      </c>
      <c r="C129" t="str">
        <f t="shared" si="10"/>
        <v>NA</v>
      </c>
      <c r="D129" s="64" t="e">
        <f t="shared" si="11"/>
        <v>#VALUE!</v>
      </c>
      <c r="E129" s="64" t="e">
        <f>Tableau7[[#This Row],[Mensualité]]-Tableau7[[#This Row],[Intérêts]]</f>
        <v>#VALUE!</v>
      </c>
      <c r="F129" s="64" t="e">
        <f>$G$4-Tableau7[[#This Row],[Mensualité]]-Tableau7[[#This Row],[Intérêts]]</f>
        <v>#VALUE!</v>
      </c>
    </row>
    <row r="130" spans="2:6" x14ac:dyDescent="0.25">
      <c r="B130" s="67" t="str">
        <f t="shared" si="9"/>
        <v>NA</v>
      </c>
      <c r="C130" t="str">
        <f t="shared" si="10"/>
        <v>NA</v>
      </c>
      <c r="D130" s="64" t="e">
        <f t="shared" si="11"/>
        <v>#VALUE!</v>
      </c>
      <c r="E130" s="64" t="e">
        <f>Tableau7[[#This Row],[Mensualité]]-Tableau7[[#This Row],[Intérêts]]</f>
        <v>#VALUE!</v>
      </c>
      <c r="F130" s="64" t="e">
        <f>$G$4-Tableau7[[#This Row],[Mensualité]]-Tableau7[[#This Row],[Intérêts]]</f>
        <v>#VALUE!</v>
      </c>
    </row>
    <row r="131" spans="2:6" x14ac:dyDescent="0.25">
      <c r="B131" s="67" t="str">
        <f t="shared" si="9"/>
        <v>NA</v>
      </c>
      <c r="C131" t="str">
        <f t="shared" si="10"/>
        <v>NA</v>
      </c>
      <c r="D131" s="64" t="e">
        <f t="shared" si="11"/>
        <v>#VALUE!</v>
      </c>
      <c r="E131" s="64" t="e">
        <f>Tableau7[[#This Row],[Mensualité]]-Tableau7[[#This Row],[Intérêts]]</f>
        <v>#VALUE!</v>
      </c>
      <c r="F131" s="64" t="e">
        <f>$G$4-Tableau7[[#This Row],[Mensualité]]-Tableau7[[#This Row],[Intérêts]]</f>
        <v>#VALUE!</v>
      </c>
    </row>
    <row r="132" spans="2:6" x14ac:dyDescent="0.25">
      <c r="B132" s="67" t="str">
        <f t="shared" si="9"/>
        <v>NA</v>
      </c>
      <c r="C132" t="str">
        <f t="shared" si="10"/>
        <v>NA</v>
      </c>
      <c r="D132" s="64" t="e">
        <f t="shared" si="11"/>
        <v>#VALUE!</v>
      </c>
      <c r="E132" s="64" t="e">
        <f>Tableau7[[#This Row],[Mensualité]]-Tableau7[[#This Row],[Intérêts]]</f>
        <v>#VALUE!</v>
      </c>
      <c r="F132" s="64" t="e">
        <f>$G$4-Tableau7[[#This Row],[Mensualité]]-Tableau7[[#This Row],[Intérêts]]</f>
        <v>#VALUE!</v>
      </c>
    </row>
    <row r="133" spans="2:6" x14ac:dyDescent="0.25">
      <c r="B133" s="67" t="str">
        <f t="shared" si="9"/>
        <v>NA</v>
      </c>
      <c r="C133" t="str">
        <f t="shared" si="10"/>
        <v>NA</v>
      </c>
      <c r="D133" s="64" t="e">
        <f t="shared" si="11"/>
        <v>#VALUE!</v>
      </c>
      <c r="E133" s="64" t="e">
        <f>Tableau7[[#This Row],[Mensualité]]-Tableau7[[#This Row],[Intérêts]]</f>
        <v>#VALUE!</v>
      </c>
      <c r="F133" s="64" t="e">
        <f>$G$4-Tableau7[[#This Row],[Mensualité]]-Tableau7[[#This Row],[Intérêts]]</f>
        <v>#VALUE!</v>
      </c>
    </row>
    <row r="134" spans="2:6" x14ac:dyDescent="0.25">
      <c r="B134" s="67" t="str">
        <f t="shared" si="9"/>
        <v>NA</v>
      </c>
      <c r="C134" t="str">
        <f t="shared" si="10"/>
        <v>NA</v>
      </c>
      <c r="D134" s="64" t="e">
        <f t="shared" si="11"/>
        <v>#VALUE!</v>
      </c>
      <c r="E134" s="64" t="e">
        <f>Tableau7[[#This Row],[Mensualité]]-Tableau7[[#This Row],[Intérêts]]</f>
        <v>#VALUE!</v>
      </c>
      <c r="F134" s="64" t="e">
        <f>$G$4-Tableau7[[#This Row],[Mensualité]]-Tableau7[[#This Row],[Intérêts]]</f>
        <v>#VALUE!</v>
      </c>
    </row>
    <row r="135" spans="2:6" x14ac:dyDescent="0.25">
      <c r="B135" s="67" t="str">
        <f t="shared" si="9"/>
        <v>NA</v>
      </c>
      <c r="C135" t="str">
        <f t="shared" si="10"/>
        <v>NA</v>
      </c>
      <c r="D135" s="64" t="e">
        <f t="shared" si="11"/>
        <v>#VALUE!</v>
      </c>
      <c r="E135" s="64" t="e">
        <f>Tableau7[[#This Row],[Mensualité]]-Tableau7[[#This Row],[Intérêts]]</f>
        <v>#VALUE!</v>
      </c>
      <c r="F135" s="64" t="e">
        <f>$G$4-Tableau7[[#This Row],[Mensualité]]-Tableau7[[#This Row],[Intérêts]]</f>
        <v>#VALUE!</v>
      </c>
    </row>
    <row r="136" spans="2:6" x14ac:dyDescent="0.25">
      <c r="B136" s="67" t="str">
        <f t="shared" si="9"/>
        <v>NA</v>
      </c>
      <c r="C136" t="str">
        <f t="shared" si="10"/>
        <v>NA</v>
      </c>
      <c r="D136" s="64" t="e">
        <f t="shared" si="11"/>
        <v>#VALUE!</v>
      </c>
      <c r="E136" s="64" t="e">
        <f>Tableau7[[#This Row],[Mensualité]]-Tableau7[[#This Row],[Intérêts]]</f>
        <v>#VALUE!</v>
      </c>
      <c r="F136" s="64" t="e">
        <f>$G$4-Tableau7[[#This Row],[Mensualité]]-Tableau7[[#This Row],[Intérêts]]</f>
        <v>#VALUE!</v>
      </c>
    </row>
    <row r="137" spans="2:6" x14ac:dyDescent="0.25">
      <c r="B137" s="67" t="str">
        <f t="shared" si="9"/>
        <v>NA</v>
      </c>
      <c r="C137" t="str">
        <f t="shared" si="10"/>
        <v>NA</v>
      </c>
      <c r="D137" s="64" t="e">
        <f t="shared" si="11"/>
        <v>#VALUE!</v>
      </c>
      <c r="E137" s="64" t="e">
        <f>Tableau7[[#This Row],[Mensualité]]-Tableau7[[#This Row],[Intérêts]]</f>
        <v>#VALUE!</v>
      </c>
      <c r="F137" s="64" t="e">
        <f>$G$4-Tableau7[[#This Row],[Mensualité]]-Tableau7[[#This Row],[Intérêts]]</f>
        <v>#VALUE!</v>
      </c>
    </row>
    <row r="138" spans="2:6" x14ac:dyDescent="0.25">
      <c r="B138" s="67" t="str">
        <f t="shared" si="9"/>
        <v>NA</v>
      </c>
      <c r="C138" t="str">
        <f t="shared" si="10"/>
        <v>NA</v>
      </c>
      <c r="D138" s="64" t="e">
        <f t="shared" si="11"/>
        <v>#VALUE!</v>
      </c>
      <c r="E138" s="64" t="e">
        <f>Tableau7[[#This Row],[Mensualité]]-Tableau7[[#This Row],[Intérêts]]</f>
        <v>#VALUE!</v>
      </c>
      <c r="F138" s="64" t="e">
        <f>$G$4-Tableau7[[#This Row],[Mensualité]]-Tableau7[[#This Row],[Intérêts]]</f>
        <v>#VALUE!</v>
      </c>
    </row>
    <row r="139" spans="2:6" x14ac:dyDescent="0.25">
      <c r="B139" s="67" t="str">
        <f t="shared" si="9"/>
        <v>NA</v>
      </c>
      <c r="C139" t="str">
        <f t="shared" si="10"/>
        <v>NA</v>
      </c>
      <c r="D139" s="64" t="e">
        <f t="shared" si="11"/>
        <v>#VALUE!</v>
      </c>
      <c r="E139" s="64" t="e">
        <f>Tableau7[[#This Row],[Mensualité]]-Tableau7[[#This Row],[Intérêts]]</f>
        <v>#VALUE!</v>
      </c>
      <c r="F139" s="64" t="e">
        <f>$G$4-Tableau7[[#This Row],[Mensualité]]-Tableau7[[#This Row],[Intérêts]]</f>
        <v>#VALUE!</v>
      </c>
    </row>
    <row r="140" spans="2:6" x14ac:dyDescent="0.25">
      <c r="B140" s="67" t="str">
        <f t="shared" si="9"/>
        <v>NA</v>
      </c>
      <c r="C140" t="str">
        <f t="shared" si="10"/>
        <v>NA</v>
      </c>
      <c r="D140" s="64" t="e">
        <f t="shared" si="11"/>
        <v>#VALUE!</v>
      </c>
      <c r="E140" s="64" t="e">
        <f>Tableau7[[#This Row],[Mensualité]]-Tableau7[[#This Row],[Intérêts]]</f>
        <v>#VALUE!</v>
      </c>
      <c r="F140" s="64" t="e">
        <f>$G$4-Tableau7[[#This Row],[Mensualité]]-Tableau7[[#This Row],[Intérêts]]</f>
        <v>#VALUE!</v>
      </c>
    </row>
    <row r="141" spans="2:6" x14ac:dyDescent="0.25">
      <c r="B141" s="67" t="str">
        <f t="shared" si="9"/>
        <v>NA</v>
      </c>
      <c r="C141" t="str">
        <f t="shared" si="10"/>
        <v>NA</v>
      </c>
      <c r="D141" s="64" t="e">
        <f t="shared" si="11"/>
        <v>#VALUE!</v>
      </c>
      <c r="E141" s="64" t="e">
        <f>Tableau7[[#This Row],[Mensualité]]-Tableau7[[#This Row],[Intérêts]]</f>
        <v>#VALUE!</v>
      </c>
      <c r="F141" s="64" t="e">
        <f>$G$4-Tableau7[[#This Row],[Mensualité]]-Tableau7[[#This Row],[Intérêts]]</f>
        <v>#VALUE!</v>
      </c>
    </row>
    <row r="142" spans="2:6" x14ac:dyDescent="0.25">
      <c r="B142" s="67" t="str">
        <f t="shared" si="9"/>
        <v>NA</v>
      </c>
      <c r="C142" t="str">
        <f t="shared" si="10"/>
        <v>NA</v>
      </c>
      <c r="D142" s="64" t="e">
        <f t="shared" si="11"/>
        <v>#VALUE!</v>
      </c>
      <c r="E142" s="64" t="e">
        <f>Tableau7[[#This Row],[Mensualité]]-Tableau7[[#This Row],[Intérêts]]</f>
        <v>#VALUE!</v>
      </c>
      <c r="F142" s="64" t="e">
        <f>$G$4-Tableau7[[#This Row],[Mensualité]]-Tableau7[[#This Row],[Intérêts]]</f>
        <v>#VALUE!</v>
      </c>
    </row>
    <row r="143" spans="2:6" x14ac:dyDescent="0.25">
      <c r="B143" s="67" t="str">
        <f t="shared" si="9"/>
        <v>NA</v>
      </c>
      <c r="C143" t="str">
        <f t="shared" si="10"/>
        <v>NA</v>
      </c>
      <c r="D143" s="64" t="e">
        <f t="shared" si="11"/>
        <v>#VALUE!</v>
      </c>
      <c r="E143" s="64" t="e">
        <f>Tableau7[[#This Row],[Mensualité]]-Tableau7[[#This Row],[Intérêts]]</f>
        <v>#VALUE!</v>
      </c>
      <c r="F143" s="64" t="e">
        <f>$G$4-Tableau7[[#This Row],[Mensualité]]-Tableau7[[#This Row],[Intérêts]]</f>
        <v>#VALUE!</v>
      </c>
    </row>
    <row r="144" spans="2:6" x14ac:dyDescent="0.25">
      <c r="B144" s="67" t="str">
        <f t="shared" si="9"/>
        <v>NA</v>
      </c>
      <c r="C144" t="str">
        <f t="shared" si="10"/>
        <v>NA</v>
      </c>
      <c r="D144" s="64" t="e">
        <f t="shared" si="11"/>
        <v>#VALUE!</v>
      </c>
      <c r="E144" s="64" t="e">
        <f>Tableau7[[#This Row],[Mensualité]]-Tableau7[[#This Row],[Intérêts]]</f>
        <v>#VALUE!</v>
      </c>
      <c r="F144" s="64" t="e">
        <f>$G$4-Tableau7[[#This Row],[Mensualité]]-Tableau7[[#This Row],[Intérêts]]</f>
        <v>#VALUE!</v>
      </c>
    </row>
    <row r="145" spans="2:6" x14ac:dyDescent="0.25">
      <c r="B145" s="67" t="str">
        <f t="shared" si="9"/>
        <v>NA</v>
      </c>
      <c r="C145" t="str">
        <f t="shared" si="10"/>
        <v>NA</v>
      </c>
      <c r="D145" s="64" t="e">
        <f t="shared" si="11"/>
        <v>#VALUE!</v>
      </c>
      <c r="E145" s="64" t="e">
        <f>Tableau7[[#This Row],[Mensualité]]-Tableau7[[#This Row],[Intérêts]]</f>
        <v>#VALUE!</v>
      </c>
      <c r="F145" s="64" t="e">
        <f>$G$4-Tableau7[[#This Row],[Mensualité]]-Tableau7[[#This Row],[Intérêts]]</f>
        <v>#VALUE!</v>
      </c>
    </row>
    <row r="146" spans="2:6" x14ac:dyDescent="0.25">
      <c r="B146" s="67" t="str">
        <f t="shared" si="9"/>
        <v>NA</v>
      </c>
      <c r="C146" t="str">
        <f t="shared" si="10"/>
        <v>NA</v>
      </c>
      <c r="D146" s="64" t="e">
        <f t="shared" si="11"/>
        <v>#VALUE!</v>
      </c>
      <c r="E146" s="64" t="e">
        <f>Tableau7[[#This Row],[Mensualité]]-Tableau7[[#This Row],[Intérêts]]</f>
        <v>#VALUE!</v>
      </c>
      <c r="F146" s="64" t="e">
        <f>$G$4-Tableau7[[#This Row],[Mensualité]]-Tableau7[[#This Row],[Intérêts]]</f>
        <v>#VALUE!</v>
      </c>
    </row>
    <row r="147" spans="2:6" x14ac:dyDescent="0.25">
      <c r="B147" s="67" t="str">
        <f t="shared" si="9"/>
        <v>NA</v>
      </c>
      <c r="C147" t="str">
        <f t="shared" si="10"/>
        <v>NA</v>
      </c>
      <c r="D147" s="64" t="e">
        <f t="shared" si="11"/>
        <v>#VALUE!</v>
      </c>
      <c r="E147" s="64" t="e">
        <f>Tableau7[[#This Row],[Mensualité]]-Tableau7[[#This Row],[Intérêts]]</f>
        <v>#VALUE!</v>
      </c>
      <c r="F147" s="64" t="e">
        <f>$G$4-Tableau7[[#This Row],[Mensualité]]-Tableau7[[#This Row],[Intérêts]]</f>
        <v>#VALUE!</v>
      </c>
    </row>
    <row r="148" spans="2:6" x14ac:dyDescent="0.25">
      <c r="B148" s="67" t="str">
        <f t="shared" si="9"/>
        <v>NA</v>
      </c>
      <c r="C148" t="str">
        <f t="shared" si="10"/>
        <v>NA</v>
      </c>
      <c r="D148" s="64" t="e">
        <f t="shared" si="11"/>
        <v>#VALUE!</v>
      </c>
      <c r="E148" s="64" t="e">
        <f>Tableau7[[#This Row],[Mensualité]]-Tableau7[[#This Row],[Intérêts]]</f>
        <v>#VALUE!</v>
      </c>
      <c r="F148" s="64" t="e">
        <f>$G$4-Tableau7[[#This Row],[Mensualité]]-Tableau7[[#This Row],[Intérêts]]</f>
        <v>#VALUE!</v>
      </c>
    </row>
    <row r="149" spans="2:6" x14ac:dyDescent="0.25">
      <c r="B149" s="67" t="str">
        <f t="shared" si="9"/>
        <v>NA</v>
      </c>
      <c r="C149" t="str">
        <f t="shared" si="10"/>
        <v>NA</v>
      </c>
      <c r="D149" s="64" t="e">
        <f t="shared" si="11"/>
        <v>#VALUE!</v>
      </c>
      <c r="E149" s="64" t="e">
        <f>Tableau7[[#This Row],[Mensualité]]-Tableau7[[#This Row],[Intérêts]]</f>
        <v>#VALUE!</v>
      </c>
      <c r="F149" s="64" t="e">
        <f>$G$4-Tableau7[[#This Row],[Mensualité]]-Tableau7[[#This Row],[Intérêts]]</f>
        <v>#VALUE!</v>
      </c>
    </row>
    <row r="150" spans="2:6" x14ac:dyDescent="0.25">
      <c r="B150" s="67" t="str">
        <f t="shared" si="9"/>
        <v>NA</v>
      </c>
      <c r="C150" t="str">
        <f t="shared" si="10"/>
        <v>NA</v>
      </c>
      <c r="D150" s="64" t="e">
        <f t="shared" si="11"/>
        <v>#VALUE!</v>
      </c>
      <c r="E150" s="64" t="e">
        <f>Tableau7[[#This Row],[Mensualité]]-Tableau7[[#This Row],[Intérêts]]</f>
        <v>#VALUE!</v>
      </c>
      <c r="F150" s="64" t="e">
        <f>$G$4-Tableau7[[#This Row],[Mensualité]]-Tableau7[[#This Row],[Intérêts]]</f>
        <v>#VALUE!</v>
      </c>
    </row>
    <row r="151" spans="2:6" x14ac:dyDescent="0.25">
      <c r="B151" s="67" t="str">
        <f t="shared" si="9"/>
        <v>NA</v>
      </c>
      <c r="C151" t="str">
        <f t="shared" si="10"/>
        <v>NA</v>
      </c>
      <c r="D151" s="64" t="e">
        <f t="shared" si="11"/>
        <v>#VALUE!</v>
      </c>
      <c r="E151" s="64" t="e">
        <f>Tableau7[[#This Row],[Mensualité]]-Tableau7[[#This Row],[Intérêts]]</f>
        <v>#VALUE!</v>
      </c>
      <c r="F151" s="64" t="e">
        <f>$G$4-Tableau7[[#This Row],[Mensualité]]-Tableau7[[#This Row],[Intérêts]]</f>
        <v>#VALUE!</v>
      </c>
    </row>
    <row r="152" spans="2:6" x14ac:dyDescent="0.25">
      <c r="B152" s="67" t="str">
        <f t="shared" si="9"/>
        <v>NA</v>
      </c>
      <c r="C152" t="str">
        <f t="shared" si="10"/>
        <v>NA</v>
      </c>
      <c r="D152" s="64" t="e">
        <f t="shared" si="11"/>
        <v>#VALUE!</v>
      </c>
      <c r="E152" s="64" t="e">
        <f>Tableau7[[#This Row],[Mensualité]]-Tableau7[[#This Row],[Intérêts]]</f>
        <v>#VALUE!</v>
      </c>
      <c r="F152" s="64" t="e">
        <f>$G$4-Tableau7[[#This Row],[Mensualité]]-Tableau7[[#This Row],[Intérêts]]</f>
        <v>#VALUE!</v>
      </c>
    </row>
    <row r="153" spans="2:6" x14ac:dyDescent="0.25">
      <c r="B153" s="67" t="str">
        <f t="shared" si="9"/>
        <v>NA</v>
      </c>
      <c r="C153" t="str">
        <f t="shared" si="10"/>
        <v>NA</v>
      </c>
      <c r="D153" s="64" t="e">
        <f t="shared" si="11"/>
        <v>#VALUE!</v>
      </c>
      <c r="E153" s="64" t="e">
        <f>Tableau7[[#This Row],[Mensualité]]-Tableau7[[#This Row],[Intérêts]]</f>
        <v>#VALUE!</v>
      </c>
      <c r="F153" s="64" t="e">
        <f>$G$4-Tableau7[[#This Row],[Mensualité]]-Tableau7[[#This Row],[Intérêts]]</f>
        <v>#VALUE!</v>
      </c>
    </row>
    <row r="154" spans="2:6" x14ac:dyDescent="0.25">
      <c r="B154" s="67" t="str">
        <f t="shared" si="9"/>
        <v>NA</v>
      </c>
      <c r="C154" t="str">
        <f t="shared" si="10"/>
        <v>NA</v>
      </c>
      <c r="D154" s="64" t="e">
        <f t="shared" si="11"/>
        <v>#VALUE!</v>
      </c>
      <c r="E154" s="64" t="e">
        <f>Tableau7[[#This Row],[Mensualité]]-Tableau7[[#This Row],[Intérêts]]</f>
        <v>#VALUE!</v>
      </c>
      <c r="F154" s="64" t="e">
        <f>$G$4-Tableau7[[#This Row],[Mensualité]]-Tableau7[[#This Row],[Intérêts]]</f>
        <v>#VALUE!</v>
      </c>
    </row>
    <row r="155" spans="2:6" x14ac:dyDescent="0.25">
      <c r="B155" s="67" t="str">
        <f t="shared" si="9"/>
        <v>NA</v>
      </c>
      <c r="C155" t="str">
        <f t="shared" si="10"/>
        <v>NA</v>
      </c>
      <c r="D155" s="64" t="e">
        <f t="shared" si="11"/>
        <v>#VALUE!</v>
      </c>
      <c r="E155" s="64" t="e">
        <f>Tableau7[[#This Row],[Mensualité]]-Tableau7[[#This Row],[Intérêts]]</f>
        <v>#VALUE!</v>
      </c>
      <c r="F155" s="64" t="e">
        <f>$G$4-Tableau7[[#This Row],[Mensualité]]-Tableau7[[#This Row],[Intérêts]]</f>
        <v>#VALUE!</v>
      </c>
    </row>
    <row r="156" spans="2:6" x14ac:dyDescent="0.25">
      <c r="B156" s="67" t="str">
        <f t="shared" si="9"/>
        <v>NA</v>
      </c>
      <c r="C156" t="str">
        <f t="shared" si="10"/>
        <v>NA</v>
      </c>
      <c r="D156" s="64" t="e">
        <f t="shared" si="11"/>
        <v>#VALUE!</v>
      </c>
      <c r="E156" s="64" t="e">
        <f>Tableau7[[#This Row],[Mensualité]]-Tableau7[[#This Row],[Intérêts]]</f>
        <v>#VALUE!</v>
      </c>
      <c r="F156" s="64" t="e">
        <f>$G$4-Tableau7[[#This Row],[Mensualité]]-Tableau7[[#This Row],[Intérêts]]</f>
        <v>#VALUE!</v>
      </c>
    </row>
    <row r="157" spans="2:6" x14ac:dyDescent="0.25">
      <c r="B157" s="67" t="str">
        <f t="shared" si="9"/>
        <v>NA</v>
      </c>
      <c r="C157" t="str">
        <f t="shared" si="10"/>
        <v>NA</v>
      </c>
      <c r="D157" s="64" t="e">
        <f t="shared" si="11"/>
        <v>#VALUE!</v>
      </c>
      <c r="E157" s="64" t="e">
        <f>Tableau7[[#This Row],[Mensualité]]-Tableau7[[#This Row],[Intérêts]]</f>
        <v>#VALUE!</v>
      </c>
      <c r="F157" s="64" t="e">
        <f>$G$4-Tableau7[[#This Row],[Mensualité]]-Tableau7[[#This Row],[Intérêts]]</f>
        <v>#VALUE!</v>
      </c>
    </row>
    <row r="158" spans="2:6" x14ac:dyDescent="0.25">
      <c r="B158" s="67" t="str">
        <f t="shared" si="9"/>
        <v>NA</v>
      </c>
      <c r="C158" t="str">
        <f t="shared" si="10"/>
        <v>NA</v>
      </c>
      <c r="D158" s="64" t="e">
        <f t="shared" si="11"/>
        <v>#VALUE!</v>
      </c>
      <c r="E158" s="64" t="e">
        <f>Tableau7[[#This Row],[Mensualité]]-Tableau7[[#This Row],[Intérêts]]</f>
        <v>#VALUE!</v>
      </c>
      <c r="F158" s="64" t="e">
        <f>$G$4-Tableau7[[#This Row],[Mensualité]]-Tableau7[[#This Row],[Intérêts]]</f>
        <v>#VALUE!</v>
      </c>
    </row>
    <row r="159" spans="2:6" x14ac:dyDescent="0.25">
      <c r="B159" s="67" t="str">
        <f t="shared" si="9"/>
        <v>NA</v>
      </c>
      <c r="C159" t="str">
        <f t="shared" si="10"/>
        <v>NA</v>
      </c>
      <c r="D159" s="64" t="e">
        <f t="shared" si="11"/>
        <v>#VALUE!</v>
      </c>
      <c r="E159" s="64" t="e">
        <f>Tableau7[[#This Row],[Mensualité]]-Tableau7[[#This Row],[Intérêts]]</f>
        <v>#VALUE!</v>
      </c>
      <c r="F159" s="64" t="e">
        <f>$G$4-Tableau7[[#This Row],[Mensualité]]-Tableau7[[#This Row],[Intérêts]]</f>
        <v>#VALUE!</v>
      </c>
    </row>
    <row r="160" spans="2:6" x14ac:dyDescent="0.25">
      <c r="B160" s="67" t="str">
        <f t="shared" si="9"/>
        <v>NA</v>
      </c>
      <c r="C160" t="str">
        <f t="shared" si="10"/>
        <v>NA</v>
      </c>
      <c r="D160" s="64" t="e">
        <f t="shared" si="11"/>
        <v>#VALUE!</v>
      </c>
      <c r="E160" s="64" t="e">
        <f>Tableau7[[#This Row],[Mensualité]]-Tableau7[[#This Row],[Intérêts]]</f>
        <v>#VALUE!</v>
      </c>
      <c r="F160" s="64" t="e">
        <f>$G$4-Tableau7[[#This Row],[Mensualité]]-Tableau7[[#This Row],[Intérêts]]</f>
        <v>#VALUE!</v>
      </c>
    </row>
    <row r="161" spans="2:6" x14ac:dyDescent="0.25">
      <c r="B161" s="67" t="str">
        <f t="shared" si="9"/>
        <v>NA</v>
      </c>
      <c r="C161" t="str">
        <f t="shared" si="10"/>
        <v>NA</v>
      </c>
      <c r="D161" s="64" t="e">
        <f t="shared" si="11"/>
        <v>#VALUE!</v>
      </c>
      <c r="E161" s="64" t="e">
        <f>Tableau7[[#This Row],[Mensualité]]-Tableau7[[#This Row],[Intérêts]]</f>
        <v>#VALUE!</v>
      </c>
      <c r="F161" s="64" t="e">
        <f>$G$4-Tableau7[[#This Row],[Mensualité]]-Tableau7[[#This Row],[Intérêts]]</f>
        <v>#VALUE!</v>
      </c>
    </row>
    <row r="162" spans="2:6" x14ac:dyDescent="0.25">
      <c r="B162" s="67" t="str">
        <f t="shared" si="9"/>
        <v>NA</v>
      </c>
      <c r="C162" t="str">
        <f t="shared" si="10"/>
        <v>NA</v>
      </c>
      <c r="D162" s="64" t="e">
        <f t="shared" si="11"/>
        <v>#VALUE!</v>
      </c>
      <c r="E162" s="64" t="e">
        <f>Tableau7[[#This Row],[Mensualité]]-Tableau7[[#This Row],[Intérêts]]</f>
        <v>#VALUE!</v>
      </c>
      <c r="F162" s="64" t="e">
        <f>$G$4-Tableau7[[#This Row],[Mensualité]]-Tableau7[[#This Row],[Intérêts]]</f>
        <v>#VALUE!</v>
      </c>
    </row>
    <row r="163" spans="2:6" x14ac:dyDescent="0.25">
      <c r="B163" s="67" t="str">
        <f t="shared" si="9"/>
        <v>NA</v>
      </c>
      <c r="C163" t="str">
        <f t="shared" si="10"/>
        <v>NA</v>
      </c>
      <c r="D163" s="64" t="e">
        <f t="shared" si="11"/>
        <v>#VALUE!</v>
      </c>
      <c r="E163" s="64" t="e">
        <f>Tableau7[[#This Row],[Mensualité]]-Tableau7[[#This Row],[Intérêts]]</f>
        <v>#VALUE!</v>
      </c>
      <c r="F163" s="64" t="e">
        <f>$G$4-Tableau7[[#This Row],[Mensualité]]-Tableau7[[#This Row],[Intérêts]]</f>
        <v>#VALUE!</v>
      </c>
    </row>
    <row r="164" spans="2:6" x14ac:dyDescent="0.25">
      <c r="B164" s="67" t="str">
        <f t="shared" si="9"/>
        <v>NA</v>
      </c>
      <c r="C164" t="str">
        <f t="shared" si="10"/>
        <v>NA</v>
      </c>
      <c r="D164" s="64" t="e">
        <f t="shared" si="11"/>
        <v>#VALUE!</v>
      </c>
      <c r="E164" s="64" t="e">
        <f>Tableau7[[#This Row],[Mensualité]]-Tableau7[[#This Row],[Intérêts]]</f>
        <v>#VALUE!</v>
      </c>
      <c r="F164" s="64" t="e">
        <f>$G$4-Tableau7[[#This Row],[Mensualité]]-Tableau7[[#This Row],[Intérêts]]</f>
        <v>#VALUE!</v>
      </c>
    </row>
    <row r="165" spans="2:6" x14ac:dyDescent="0.25">
      <c r="B165" s="67" t="str">
        <f t="shared" si="9"/>
        <v>NA</v>
      </c>
      <c r="C165" t="str">
        <f t="shared" si="10"/>
        <v>NA</v>
      </c>
      <c r="D165" s="64" t="e">
        <f t="shared" si="11"/>
        <v>#VALUE!</v>
      </c>
      <c r="E165" s="64" t="e">
        <f>Tableau7[[#This Row],[Mensualité]]-Tableau7[[#This Row],[Intérêts]]</f>
        <v>#VALUE!</v>
      </c>
      <c r="F165" s="64" t="e">
        <f>$G$4-Tableau7[[#This Row],[Mensualité]]-Tableau7[[#This Row],[Intérêts]]</f>
        <v>#VALUE!</v>
      </c>
    </row>
    <row r="166" spans="2:6" x14ac:dyDescent="0.25">
      <c r="B166" s="67" t="str">
        <f t="shared" si="9"/>
        <v>NA</v>
      </c>
      <c r="C166" t="str">
        <f t="shared" si="10"/>
        <v>NA</v>
      </c>
      <c r="D166" s="64" t="e">
        <f t="shared" si="11"/>
        <v>#VALUE!</v>
      </c>
      <c r="E166" s="64" t="e">
        <f>Tableau7[[#This Row],[Mensualité]]-Tableau7[[#This Row],[Intérêts]]</f>
        <v>#VALUE!</v>
      </c>
      <c r="F166" s="64" t="e">
        <f>$G$4-Tableau7[[#This Row],[Mensualité]]-Tableau7[[#This Row],[Intérêts]]</f>
        <v>#VALUE!</v>
      </c>
    </row>
    <row r="167" spans="2:6" x14ac:dyDescent="0.25">
      <c r="B167" s="67" t="str">
        <f t="shared" si="9"/>
        <v>NA</v>
      </c>
      <c r="C167" t="str">
        <f t="shared" si="10"/>
        <v>NA</v>
      </c>
      <c r="D167" s="64" t="e">
        <f t="shared" si="11"/>
        <v>#VALUE!</v>
      </c>
      <c r="E167" s="64" t="e">
        <f>Tableau7[[#This Row],[Mensualité]]-Tableau7[[#This Row],[Intérêts]]</f>
        <v>#VALUE!</v>
      </c>
      <c r="F167" s="64" t="e">
        <f>$G$4-Tableau7[[#This Row],[Mensualité]]-Tableau7[[#This Row],[Intérêts]]</f>
        <v>#VALUE!</v>
      </c>
    </row>
    <row r="168" spans="2:6" x14ac:dyDescent="0.25">
      <c r="B168" s="67" t="str">
        <f t="shared" si="9"/>
        <v>NA</v>
      </c>
      <c r="C168" t="str">
        <f t="shared" si="10"/>
        <v>NA</v>
      </c>
      <c r="D168" s="64" t="e">
        <f t="shared" si="11"/>
        <v>#VALUE!</v>
      </c>
      <c r="E168" s="64" t="e">
        <f>Tableau7[[#This Row],[Mensualité]]-Tableau7[[#This Row],[Intérêts]]</f>
        <v>#VALUE!</v>
      </c>
      <c r="F168" s="64" t="e">
        <f>$G$4-Tableau7[[#This Row],[Mensualité]]-Tableau7[[#This Row],[Intérêts]]</f>
        <v>#VALUE!</v>
      </c>
    </row>
    <row r="169" spans="2:6" x14ac:dyDescent="0.25">
      <c r="B169" s="67" t="str">
        <f t="shared" si="9"/>
        <v>NA</v>
      </c>
      <c r="C169" t="str">
        <f t="shared" si="10"/>
        <v>NA</v>
      </c>
      <c r="D169" s="64" t="e">
        <f t="shared" si="11"/>
        <v>#VALUE!</v>
      </c>
      <c r="E169" s="64" t="e">
        <f>Tableau7[[#This Row],[Mensualité]]-Tableau7[[#This Row],[Intérêts]]</f>
        <v>#VALUE!</v>
      </c>
      <c r="F169" s="64" t="e">
        <f>$G$4-Tableau7[[#This Row],[Mensualité]]-Tableau7[[#This Row],[Intérêts]]</f>
        <v>#VALUE!</v>
      </c>
    </row>
    <row r="170" spans="2:6" x14ac:dyDescent="0.25">
      <c r="B170" s="67" t="str">
        <f t="shared" si="9"/>
        <v>NA</v>
      </c>
      <c r="C170" t="str">
        <f t="shared" si="10"/>
        <v>NA</v>
      </c>
      <c r="D170" s="64" t="e">
        <f t="shared" si="11"/>
        <v>#VALUE!</v>
      </c>
      <c r="E170" s="64" t="e">
        <f>Tableau7[[#This Row],[Mensualité]]-Tableau7[[#This Row],[Intérêts]]</f>
        <v>#VALUE!</v>
      </c>
      <c r="F170" s="64" t="e">
        <f>$G$4-Tableau7[[#This Row],[Mensualité]]-Tableau7[[#This Row],[Intérêts]]</f>
        <v>#VALUE!</v>
      </c>
    </row>
    <row r="171" spans="2:6" x14ac:dyDescent="0.25">
      <c r="B171" s="67" t="str">
        <f t="shared" ref="B171:B234" si="12">$D$4</f>
        <v>NA</v>
      </c>
      <c r="C171" t="str">
        <f t="shared" ref="C171:C234" si="13">$H$4</f>
        <v>NA</v>
      </c>
      <c r="D171" s="64" t="e">
        <f t="shared" ref="D171:D234" si="14">G164*F164/12</f>
        <v>#VALUE!</v>
      </c>
      <c r="E171" s="64" t="e">
        <f>Tableau7[[#This Row],[Mensualité]]-Tableau7[[#This Row],[Intérêts]]</f>
        <v>#VALUE!</v>
      </c>
      <c r="F171" s="64" t="e">
        <f>$G$4-Tableau7[[#This Row],[Mensualité]]-Tableau7[[#This Row],[Intérêts]]</f>
        <v>#VALUE!</v>
      </c>
    </row>
    <row r="172" spans="2:6" x14ac:dyDescent="0.25">
      <c r="B172" s="67" t="str">
        <f t="shared" si="12"/>
        <v>NA</v>
      </c>
      <c r="C172" t="str">
        <f t="shared" si="13"/>
        <v>NA</v>
      </c>
      <c r="D172" s="64" t="e">
        <f t="shared" si="14"/>
        <v>#VALUE!</v>
      </c>
      <c r="E172" s="64" t="e">
        <f>Tableau7[[#This Row],[Mensualité]]-Tableau7[[#This Row],[Intérêts]]</f>
        <v>#VALUE!</v>
      </c>
      <c r="F172" s="64" t="e">
        <f>$G$4-Tableau7[[#This Row],[Mensualité]]-Tableau7[[#This Row],[Intérêts]]</f>
        <v>#VALUE!</v>
      </c>
    </row>
    <row r="173" spans="2:6" x14ac:dyDescent="0.25">
      <c r="B173" s="67" t="str">
        <f t="shared" si="12"/>
        <v>NA</v>
      </c>
      <c r="C173" t="str">
        <f t="shared" si="13"/>
        <v>NA</v>
      </c>
      <c r="D173" s="64" t="e">
        <f t="shared" si="14"/>
        <v>#VALUE!</v>
      </c>
      <c r="E173" s="64" t="e">
        <f>Tableau7[[#This Row],[Mensualité]]-Tableau7[[#This Row],[Intérêts]]</f>
        <v>#VALUE!</v>
      </c>
      <c r="F173" s="64" t="e">
        <f>$G$4-Tableau7[[#This Row],[Mensualité]]-Tableau7[[#This Row],[Intérêts]]</f>
        <v>#VALUE!</v>
      </c>
    </row>
    <row r="174" spans="2:6" x14ac:dyDescent="0.25">
      <c r="B174" s="67" t="str">
        <f t="shared" si="12"/>
        <v>NA</v>
      </c>
      <c r="C174" t="str">
        <f t="shared" si="13"/>
        <v>NA</v>
      </c>
      <c r="D174" s="64" t="e">
        <f t="shared" si="14"/>
        <v>#VALUE!</v>
      </c>
      <c r="E174" s="64" t="e">
        <f>Tableau7[[#This Row],[Mensualité]]-Tableau7[[#This Row],[Intérêts]]</f>
        <v>#VALUE!</v>
      </c>
      <c r="F174" s="64" t="e">
        <f>$G$4-Tableau7[[#This Row],[Mensualité]]-Tableau7[[#This Row],[Intérêts]]</f>
        <v>#VALUE!</v>
      </c>
    </row>
    <row r="175" spans="2:6" x14ac:dyDescent="0.25">
      <c r="B175" s="67" t="str">
        <f t="shared" si="12"/>
        <v>NA</v>
      </c>
      <c r="C175" t="str">
        <f t="shared" si="13"/>
        <v>NA</v>
      </c>
      <c r="D175" s="64" t="e">
        <f t="shared" si="14"/>
        <v>#VALUE!</v>
      </c>
      <c r="E175" s="64" t="e">
        <f>Tableau7[[#This Row],[Mensualité]]-Tableau7[[#This Row],[Intérêts]]</f>
        <v>#VALUE!</v>
      </c>
      <c r="F175" s="64" t="e">
        <f>$G$4-Tableau7[[#This Row],[Mensualité]]-Tableau7[[#This Row],[Intérêts]]</f>
        <v>#VALUE!</v>
      </c>
    </row>
    <row r="176" spans="2:6" x14ac:dyDescent="0.25">
      <c r="B176" s="67" t="str">
        <f t="shared" si="12"/>
        <v>NA</v>
      </c>
      <c r="C176" t="str">
        <f t="shared" si="13"/>
        <v>NA</v>
      </c>
      <c r="D176" s="64" t="e">
        <f t="shared" si="14"/>
        <v>#VALUE!</v>
      </c>
      <c r="E176" s="64" t="e">
        <f>Tableau7[[#This Row],[Mensualité]]-Tableau7[[#This Row],[Intérêts]]</f>
        <v>#VALUE!</v>
      </c>
      <c r="F176" s="64" t="e">
        <f>$G$4-Tableau7[[#This Row],[Mensualité]]-Tableau7[[#This Row],[Intérêts]]</f>
        <v>#VALUE!</v>
      </c>
    </row>
    <row r="177" spans="2:6" x14ac:dyDescent="0.25">
      <c r="B177" s="67" t="str">
        <f t="shared" si="12"/>
        <v>NA</v>
      </c>
      <c r="C177" t="str">
        <f t="shared" si="13"/>
        <v>NA</v>
      </c>
      <c r="D177" s="64" t="e">
        <f t="shared" si="14"/>
        <v>#VALUE!</v>
      </c>
      <c r="E177" s="64" t="e">
        <f>Tableau7[[#This Row],[Mensualité]]-Tableau7[[#This Row],[Intérêts]]</f>
        <v>#VALUE!</v>
      </c>
      <c r="F177" s="64" t="e">
        <f>$G$4-Tableau7[[#This Row],[Mensualité]]-Tableau7[[#This Row],[Intérêts]]</f>
        <v>#VALUE!</v>
      </c>
    </row>
    <row r="178" spans="2:6" x14ac:dyDescent="0.25">
      <c r="B178" s="67" t="str">
        <f t="shared" si="12"/>
        <v>NA</v>
      </c>
      <c r="C178" t="str">
        <f t="shared" si="13"/>
        <v>NA</v>
      </c>
      <c r="D178" s="64" t="e">
        <f t="shared" si="14"/>
        <v>#VALUE!</v>
      </c>
      <c r="E178" s="64" t="e">
        <f>Tableau7[[#This Row],[Mensualité]]-Tableau7[[#This Row],[Intérêts]]</f>
        <v>#VALUE!</v>
      </c>
      <c r="F178" s="64" t="e">
        <f>$G$4-Tableau7[[#This Row],[Mensualité]]-Tableau7[[#This Row],[Intérêts]]</f>
        <v>#VALUE!</v>
      </c>
    </row>
    <row r="179" spans="2:6" x14ac:dyDescent="0.25">
      <c r="B179" s="67" t="str">
        <f t="shared" si="12"/>
        <v>NA</v>
      </c>
      <c r="C179" t="str">
        <f t="shared" si="13"/>
        <v>NA</v>
      </c>
      <c r="D179" s="64" t="e">
        <f t="shared" si="14"/>
        <v>#VALUE!</v>
      </c>
      <c r="E179" s="64" t="e">
        <f>Tableau7[[#This Row],[Mensualité]]-Tableau7[[#This Row],[Intérêts]]</f>
        <v>#VALUE!</v>
      </c>
      <c r="F179" s="64" t="e">
        <f>$G$4-Tableau7[[#This Row],[Mensualité]]-Tableau7[[#This Row],[Intérêts]]</f>
        <v>#VALUE!</v>
      </c>
    </row>
    <row r="180" spans="2:6" x14ac:dyDescent="0.25">
      <c r="B180" s="67" t="str">
        <f t="shared" si="12"/>
        <v>NA</v>
      </c>
      <c r="C180" t="str">
        <f t="shared" si="13"/>
        <v>NA</v>
      </c>
      <c r="D180" s="64" t="e">
        <f t="shared" si="14"/>
        <v>#VALUE!</v>
      </c>
      <c r="E180" s="64" t="e">
        <f>Tableau7[[#This Row],[Mensualité]]-Tableau7[[#This Row],[Intérêts]]</f>
        <v>#VALUE!</v>
      </c>
      <c r="F180" s="64" t="e">
        <f>$G$4-Tableau7[[#This Row],[Mensualité]]-Tableau7[[#This Row],[Intérêts]]</f>
        <v>#VALUE!</v>
      </c>
    </row>
    <row r="181" spans="2:6" x14ac:dyDescent="0.25">
      <c r="B181" s="67" t="str">
        <f t="shared" si="12"/>
        <v>NA</v>
      </c>
      <c r="C181" t="str">
        <f t="shared" si="13"/>
        <v>NA</v>
      </c>
      <c r="D181" s="64" t="e">
        <f t="shared" si="14"/>
        <v>#VALUE!</v>
      </c>
      <c r="E181" s="64" t="e">
        <f>Tableau7[[#This Row],[Mensualité]]-Tableau7[[#This Row],[Intérêts]]</f>
        <v>#VALUE!</v>
      </c>
      <c r="F181" s="64" t="e">
        <f>$G$4-Tableau7[[#This Row],[Mensualité]]-Tableau7[[#This Row],[Intérêts]]</f>
        <v>#VALUE!</v>
      </c>
    </row>
    <row r="182" spans="2:6" x14ac:dyDescent="0.25">
      <c r="B182" s="67" t="str">
        <f t="shared" si="12"/>
        <v>NA</v>
      </c>
      <c r="C182" t="str">
        <f t="shared" si="13"/>
        <v>NA</v>
      </c>
      <c r="D182" s="64" t="e">
        <f t="shared" si="14"/>
        <v>#VALUE!</v>
      </c>
      <c r="E182" s="64" t="e">
        <f>Tableau7[[#This Row],[Mensualité]]-Tableau7[[#This Row],[Intérêts]]</f>
        <v>#VALUE!</v>
      </c>
      <c r="F182" s="64" t="e">
        <f>$G$4-Tableau7[[#This Row],[Mensualité]]-Tableau7[[#This Row],[Intérêts]]</f>
        <v>#VALUE!</v>
      </c>
    </row>
    <row r="183" spans="2:6" x14ac:dyDescent="0.25">
      <c r="B183" s="67" t="str">
        <f t="shared" si="12"/>
        <v>NA</v>
      </c>
      <c r="C183" t="str">
        <f t="shared" si="13"/>
        <v>NA</v>
      </c>
      <c r="D183" s="64" t="e">
        <f t="shared" si="14"/>
        <v>#VALUE!</v>
      </c>
      <c r="E183" s="64" t="e">
        <f>Tableau7[[#This Row],[Mensualité]]-Tableau7[[#This Row],[Intérêts]]</f>
        <v>#VALUE!</v>
      </c>
      <c r="F183" s="64" t="e">
        <f>$G$4-Tableau7[[#This Row],[Mensualité]]-Tableau7[[#This Row],[Intérêts]]</f>
        <v>#VALUE!</v>
      </c>
    </row>
    <row r="184" spans="2:6" x14ac:dyDescent="0.25">
      <c r="B184" s="67" t="str">
        <f t="shared" si="12"/>
        <v>NA</v>
      </c>
      <c r="C184" t="str">
        <f t="shared" si="13"/>
        <v>NA</v>
      </c>
      <c r="D184" s="64" t="e">
        <f t="shared" si="14"/>
        <v>#VALUE!</v>
      </c>
      <c r="E184" s="64" t="e">
        <f>Tableau7[[#This Row],[Mensualité]]-Tableau7[[#This Row],[Intérêts]]</f>
        <v>#VALUE!</v>
      </c>
      <c r="F184" s="64" t="e">
        <f>$G$4-Tableau7[[#This Row],[Mensualité]]-Tableau7[[#This Row],[Intérêts]]</f>
        <v>#VALUE!</v>
      </c>
    </row>
    <row r="185" spans="2:6" x14ac:dyDescent="0.25">
      <c r="B185" s="67" t="str">
        <f t="shared" si="12"/>
        <v>NA</v>
      </c>
      <c r="C185" t="str">
        <f t="shared" si="13"/>
        <v>NA</v>
      </c>
      <c r="D185" s="64" t="e">
        <f t="shared" si="14"/>
        <v>#VALUE!</v>
      </c>
      <c r="E185" s="64" t="e">
        <f>Tableau7[[#This Row],[Mensualité]]-Tableau7[[#This Row],[Intérêts]]</f>
        <v>#VALUE!</v>
      </c>
      <c r="F185" s="64" t="e">
        <f>$G$4-Tableau7[[#This Row],[Mensualité]]-Tableau7[[#This Row],[Intérêts]]</f>
        <v>#VALUE!</v>
      </c>
    </row>
    <row r="186" spans="2:6" x14ac:dyDescent="0.25">
      <c r="B186" s="67" t="str">
        <f t="shared" si="12"/>
        <v>NA</v>
      </c>
      <c r="C186" t="str">
        <f t="shared" si="13"/>
        <v>NA</v>
      </c>
      <c r="D186" s="64" t="e">
        <f t="shared" si="14"/>
        <v>#VALUE!</v>
      </c>
      <c r="E186" s="64" t="e">
        <f>Tableau7[[#This Row],[Mensualité]]-Tableau7[[#This Row],[Intérêts]]</f>
        <v>#VALUE!</v>
      </c>
      <c r="F186" s="64" t="e">
        <f>$G$4-Tableau7[[#This Row],[Mensualité]]-Tableau7[[#This Row],[Intérêts]]</f>
        <v>#VALUE!</v>
      </c>
    </row>
    <row r="187" spans="2:6" x14ac:dyDescent="0.25">
      <c r="B187" s="67" t="str">
        <f t="shared" si="12"/>
        <v>NA</v>
      </c>
      <c r="C187" t="str">
        <f t="shared" si="13"/>
        <v>NA</v>
      </c>
      <c r="D187" s="64" t="e">
        <f t="shared" si="14"/>
        <v>#VALUE!</v>
      </c>
      <c r="E187" s="64" t="e">
        <f>Tableau7[[#This Row],[Mensualité]]-Tableau7[[#This Row],[Intérêts]]</f>
        <v>#VALUE!</v>
      </c>
      <c r="F187" s="64" t="e">
        <f>$G$4-Tableau7[[#This Row],[Mensualité]]-Tableau7[[#This Row],[Intérêts]]</f>
        <v>#VALUE!</v>
      </c>
    </row>
    <row r="188" spans="2:6" x14ac:dyDescent="0.25">
      <c r="B188" s="67" t="str">
        <f t="shared" si="12"/>
        <v>NA</v>
      </c>
      <c r="C188" t="str">
        <f t="shared" si="13"/>
        <v>NA</v>
      </c>
      <c r="D188" s="64" t="e">
        <f t="shared" si="14"/>
        <v>#VALUE!</v>
      </c>
      <c r="E188" s="64" t="e">
        <f>Tableau7[[#This Row],[Mensualité]]-Tableau7[[#This Row],[Intérêts]]</f>
        <v>#VALUE!</v>
      </c>
      <c r="F188" s="64" t="e">
        <f>$G$4-Tableau7[[#This Row],[Mensualité]]-Tableau7[[#This Row],[Intérêts]]</f>
        <v>#VALUE!</v>
      </c>
    </row>
    <row r="189" spans="2:6" x14ac:dyDescent="0.25">
      <c r="B189" s="67" t="str">
        <f t="shared" si="12"/>
        <v>NA</v>
      </c>
      <c r="C189" t="str">
        <f t="shared" si="13"/>
        <v>NA</v>
      </c>
      <c r="D189" s="64" t="e">
        <f t="shared" si="14"/>
        <v>#VALUE!</v>
      </c>
      <c r="E189" s="64" t="e">
        <f>Tableau7[[#This Row],[Mensualité]]-Tableau7[[#This Row],[Intérêts]]</f>
        <v>#VALUE!</v>
      </c>
      <c r="F189" s="64" t="e">
        <f>$G$4-Tableau7[[#This Row],[Mensualité]]-Tableau7[[#This Row],[Intérêts]]</f>
        <v>#VALUE!</v>
      </c>
    </row>
    <row r="190" spans="2:6" x14ac:dyDescent="0.25">
      <c r="B190" s="67" t="str">
        <f t="shared" si="12"/>
        <v>NA</v>
      </c>
      <c r="C190" t="str">
        <f t="shared" si="13"/>
        <v>NA</v>
      </c>
      <c r="D190" s="64" t="e">
        <f t="shared" si="14"/>
        <v>#VALUE!</v>
      </c>
      <c r="E190" s="64" t="e">
        <f>Tableau7[[#This Row],[Mensualité]]-Tableau7[[#This Row],[Intérêts]]</f>
        <v>#VALUE!</v>
      </c>
      <c r="F190" s="64" t="e">
        <f>$G$4-Tableau7[[#This Row],[Mensualité]]-Tableau7[[#This Row],[Intérêts]]</f>
        <v>#VALUE!</v>
      </c>
    </row>
    <row r="191" spans="2:6" x14ac:dyDescent="0.25">
      <c r="B191" s="67" t="str">
        <f t="shared" si="12"/>
        <v>NA</v>
      </c>
      <c r="C191" t="str">
        <f t="shared" si="13"/>
        <v>NA</v>
      </c>
      <c r="D191" s="64" t="e">
        <f t="shared" si="14"/>
        <v>#VALUE!</v>
      </c>
      <c r="E191" s="64" t="e">
        <f>Tableau7[[#This Row],[Mensualité]]-Tableau7[[#This Row],[Intérêts]]</f>
        <v>#VALUE!</v>
      </c>
      <c r="F191" s="64" t="e">
        <f>$G$4-Tableau7[[#This Row],[Mensualité]]-Tableau7[[#This Row],[Intérêts]]</f>
        <v>#VALUE!</v>
      </c>
    </row>
    <row r="192" spans="2:6" x14ac:dyDescent="0.25">
      <c r="B192" s="67" t="str">
        <f t="shared" si="12"/>
        <v>NA</v>
      </c>
      <c r="C192" t="str">
        <f t="shared" si="13"/>
        <v>NA</v>
      </c>
      <c r="D192" s="64" t="e">
        <f t="shared" si="14"/>
        <v>#VALUE!</v>
      </c>
      <c r="E192" s="64" t="e">
        <f>Tableau7[[#This Row],[Mensualité]]-Tableau7[[#This Row],[Intérêts]]</f>
        <v>#VALUE!</v>
      </c>
      <c r="F192" s="64" t="e">
        <f>$G$4-Tableau7[[#This Row],[Mensualité]]-Tableau7[[#This Row],[Intérêts]]</f>
        <v>#VALUE!</v>
      </c>
    </row>
    <row r="193" spans="2:6" x14ac:dyDescent="0.25">
      <c r="B193" s="67" t="str">
        <f t="shared" si="12"/>
        <v>NA</v>
      </c>
      <c r="C193" t="str">
        <f t="shared" si="13"/>
        <v>NA</v>
      </c>
      <c r="D193" s="64" t="e">
        <f t="shared" si="14"/>
        <v>#VALUE!</v>
      </c>
      <c r="E193" s="64" t="e">
        <f>Tableau7[[#This Row],[Mensualité]]-Tableau7[[#This Row],[Intérêts]]</f>
        <v>#VALUE!</v>
      </c>
      <c r="F193" s="64" t="e">
        <f>$G$4-Tableau7[[#This Row],[Mensualité]]-Tableau7[[#This Row],[Intérêts]]</f>
        <v>#VALUE!</v>
      </c>
    </row>
    <row r="194" spans="2:6" x14ac:dyDescent="0.25">
      <c r="B194" s="67" t="str">
        <f t="shared" si="12"/>
        <v>NA</v>
      </c>
      <c r="C194" t="str">
        <f t="shared" si="13"/>
        <v>NA</v>
      </c>
      <c r="D194" s="64" t="e">
        <f t="shared" si="14"/>
        <v>#VALUE!</v>
      </c>
      <c r="E194" s="64" t="e">
        <f>Tableau7[[#This Row],[Mensualité]]-Tableau7[[#This Row],[Intérêts]]</f>
        <v>#VALUE!</v>
      </c>
      <c r="F194" s="64" t="e">
        <f>$G$4-Tableau7[[#This Row],[Mensualité]]-Tableau7[[#This Row],[Intérêts]]</f>
        <v>#VALUE!</v>
      </c>
    </row>
    <row r="195" spans="2:6" x14ac:dyDescent="0.25">
      <c r="B195" s="67" t="str">
        <f t="shared" si="12"/>
        <v>NA</v>
      </c>
      <c r="C195" t="str">
        <f t="shared" si="13"/>
        <v>NA</v>
      </c>
      <c r="D195" s="64" t="e">
        <f t="shared" si="14"/>
        <v>#VALUE!</v>
      </c>
      <c r="E195" s="64" t="e">
        <f>Tableau7[[#This Row],[Mensualité]]-Tableau7[[#This Row],[Intérêts]]</f>
        <v>#VALUE!</v>
      </c>
      <c r="F195" s="64" t="e">
        <f>$G$4-Tableau7[[#This Row],[Mensualité]]-Tableau7[[#This Row],[Intérêts]]</f>
        <v>#VALUE!</v>
      </c>
    </row>
    <row r="196" spans="2:6" x14ac:dyDescent="0.25">
      <c r="B196" s="67" t="str">
        <f t="shared" si="12"/>
        <v>NA</v>
      </c>
      <c r="C196" t="str">
        <f t="shared" si="13"/>
        <v>NA</v>
      </c>
      <c r="D196" s="64" t="e">
        <f t="shared" si="14"/>
        <v>#VALUE!</v>
      </c>
      <c r="E196" s="64" t="e">
        <f>Tableau7[[#This Row],[Mensualité]]-Tableau7[[#This Row],[Intérêts]]</f>
        <v>#VALUE!</v>
      </c>
      <c r="F196" s="64" t="e">
        <f>$G$4-Tableau7[[#This Row],[Mensualité]]-Tableau7[[#This Row],[Intérêts]]</f>
        <v>#VALUE!</v>
      </c>
    </row>
    <row r="197" spans="2:6" x14ac:dyDescent="0.25">
      <c r="B197" s="67" t="str">
        <f t="shared" si="12"/>
        <v>NA</v>
      </c>
      <c r="C197" t="str">
        <f t="shared" si="13"/>
        <v>NA</v>
      </c>
      <c r="D197" s="64" t="e">
        <f t="shared" si="14"/>
        <v>#VALUE!</v>
      </c>
      <c r="E197" s="64" t="e">
        <f>Tableau7[[#This Row],[Mensualité]]-Tableau7[[#This Row],[Intérêts]]</f>
        <v>#VALUE!</v>
      </c>
      <c r="F197" s="64" t="e">
        <f>$G$4-Tableau7[[#This Row],[Mensualité]]-Tableau7[[#This Row],[Intérêts]]</f>
        <v>#VALUE!</v>
      </c>
    </row>
    <row r="198" spans="2:6" x14ac:dyDescent="0.25">
      <c r="B198" s="67" t="str">
        <f t="shared" si="12"/>
        <v>NA</v>
      </c>
      <c r="C198" t="str">
        <f t="shared" si="13"/>
        <v>NA</v>
      </c>
      <c r="D198" s="64" t="e">
        <f t="shared" si="14"/>
        <v>#VALUE!</v>
      </c>
      <c r="E198" s="64" t="e">
        <f>Tableau7[[#This Row],[Mensualité]]-Tableau7[[#This Row],[Intérêts]]</f>
        <v>#VALUE!</v>
      </c>
      <c r="F198" s="64" t="e">
        <f>$G$4-Tableau7[[#This Row],[Mensualité]]-Tableau7[[#This Row],[Intérêts]]</f>
        <v>#VALUE!</v>
      </c>
    </row>
    <row r="199" spans="2:6" x14ac:dyDescent="0.25">
      <c r="B199" s="67" t="str">
        <f t="shared" si="12"/>
        <v>NA</v>
      </c>
      <c r="C199" t="str">
        <f t="shared" si="13"/>
        <v>NA</v>
      </c>
      <c r="D199" s="64" t="e">
        <f t="shared" si="14"/>
        <v>#VALUE!</v>
      </c>
      <c r="E199" s="64" t="e">
        <f>Tableau7[[#This Row],[Mensualité]]-Tableau7[[#This Row],[Intérêts]]</f>
        <v>#VALUE!</v>
      </c>
      <c r="F199" s="64" t="e">
        <f>$G$4-Tableau7[[#This Row],[Mensualité]]-Tableau7[[#This Row],[Intérêts]]</f>
        <v>#VALUE!</v>
      </c>
    </row>
    <row r="200" spans="2:6" x14ac:dyDescent="0.25">
      <c r="B200" s="67" t="str">
        <f t="shared" si="12"/>
        <v>NA</v>
      </c>
      <c r="C200" t="str">
        <f t="shared" si="13"/>
        <v>NA</v>
      </c>
      <c r="D200" s="64" t="e">
        <f t="shared" si="14"/>
        <v>#VALUE!</v>
      </c>
      <c r="E200" s="64" t="e">
        <f>Tableau7[[#This Row],[Mensualité]]-Tableau7[[#This Row],[Intérêts]]</f>
        <v>#VALUE!</v>
      </c>
      <c r="F200" s="64" t="e">
        <f>$G$4-Tableau7[[#This Row],[Mensualité]]-Tableau7[[#This Row],[Intérêts]]</f>
        <v>#VALUE!</v>
      </c>
    </row>
    <row r="201" spans="2:6" x14ac:dyDescent="0.25">
      <c r="B201" s="67" t="str">
        <f t="shared" si="12"/>
        <v>NA</v>
      </c>
      <c r="C201" t="str">
        <f t="shared" si="13"/>
        <v>NA</v>
      </c>
      <c r="D201" s="64" t="e">
        <f t="shared" si="14"/>
        <v>#VALUE!</v>
      </c>
      <c r="E201" s="64" t="e">
        <f>Tableau7[[#This Row],[Mensualité]]-Tableau7[[#This Row],[Intérêts]]</f>
        <v>#VALUE!</v>
      </c>
      <c r="F201" s="64" t="e">
        <f>$G$4-Tableau7[[#This Row],[Mensualité]]-Tableau7[[#This Row],[Intérêts]]</f>
        <v>#VALUE!</v>
      </c>
    </row>
    <row r="202" spans="2:6" x14ac:dyDescent="0.25">
      <c r="B202" s="67" t="str">
        <f t="shared" si="12"/>
        <v>NA</v>
      </c>
      <c r="C202" t="str">
        <f t="shared" si="13"/>
        <v>NA</v>
      </c>
      <c r="D202" s="64" t="e">
        <f t="shared" si="14"/>
        <v>#VALUE!</v>
      </c>
      <c r="E202" s="64" t="e">
        <f>Tableau7[[#This Row],[Mensualité]]-Tableau7[[#This Row],[Intérêts]]</f>
        <v>#VALUE!</v>
      </c>
      <c r="F202" s="64" t="e">
        <f>$G$4-Tableau7[[#This Row],[Mensualité]]-Tableau7[[#This Row],[Intérêts]]</f>
        <v>#VALUE!</v>
      </c>
    </row>
    <row r="203" spans="2:6" x14ac:dyDescent="0.25">
      <c r="B203" s="67" t="str">
        <f t="shared" si="12"/>
        <v>NA</v>
      </c>
      <c r="C203" t="str">
        <f t="shared" si="13"/>
        <v>NA</v>
      </c>
      <c r="D203" s="64" t="e">
        <f t="shared" si="14"/>
        <v>#VALUE!</v>
      </c>
      <c r="E203" s="64" t="e">
        <f>Tableau7[[#This Row],[Mensualité]]-Tableau7[[#This Row],[Intérêts]]</f>
        <v>#VALUE!</v>
      </c>
      <c r="F203" s="64" t="e">
        <f>$G$4-Tableau7[[#This Row],[Mensualité]]-Tableau7[[#This Row],[Intérêts]]</f>
        <v>#VALUE!</v>
      </c>
    </row>
    <row r="204" spans="2:6" x14ac:dyDescent="0.25">
      <c r="B204" s="67" t="str">
        <f t="shared" si="12"/>
        <v>NA</v>
      </c>
      <c r="C204" t="str">
        <f t="shared" si="13"/>
        <v>NA</v>
      </c>
      <c r="D204" s="64" t="e">
        <f t="shared" si="14"/>
        <v>#VALUE!</v>
      </c>
      <c r="E204" s="64" t="e">
        <f>Tableau7[[#This Row],[Mensualité]]-Tableau7[[#This Row],[Intérêts]]</f>
        <v>#VALUE!</v>
      </c>
      <c r="F204" s="64" t="e">
        <f>$G$4-Tableau7[[#This Row],[Mensualité]]-Tableau7[[#This Row],[Intérêts]]</f>
        <v>#VALUE!</v>
      </c>
    </row>
    <row r="205" spans="2:6" x14ac:dyDescent="0.25">
      <c r="B205" s="67" t="str">
        <f t="shared" si="12"/>
        <v>NA</v>
      </c>
      <c r="C205" t="str">
        <f t="shared" si="13"/>
        <v>NA</v>
      </c>
      <c r="D205" s="64" t="e">
        <f t="shared" si="14"/>
        <v>#VALUE!</v>
      </c>
      <c r="E205" s="64" t="e">
        <f>Tableau7[[#This Row],[Mensualité]]-Tableau7[[#This Row],[Intérêts]]</f>
        <v>#VALUE!</v>
      </c>
      <c r="F205" s="64" t="e">
        <f>$G$4-Tableau7[[#This Row],[Mensualité]]-Tableau7[[#This Row],[Intérêts]]</f>
        <v>#VALUE!</v>
      </c>
    </row>
    <row r="206" spans="2:6" x14ac:dyDescent="0.25">
      <c r="B206" s="67" t="str">
        <f t="shared" si="12"/>
        <v>NA</v>
      </c>
      <c r="C206" t="str">
        <f t="shared" si="13"/>
        <v>NA</v>
      </c>
      <c r="D206" s="64" t="e">
        <f t="shared" si="14"/>
        <v>#VALUE!</v>
      </c>
      <c r="E206" s="64" t="e">
        <f>Tableau7[[#This Row],[Mensualité]]-Tableau7[[#This Row],[Intérêts]]</f>
        <v>#VALUE!</v>
      </c>
      <c r="F206" s="64" t="e">
        <f>$G$4-Tableau7[[#This Row],[Mensualité]]-Tableau7[[#This Row],[Intérêts]]</f>
        <v>#VALUE!</v>
      </c>
    </row>
    <row r="207" spans="2:6" x14ac:dyDescent="0.25">
      <c r="B207" s="67" t="str">
        <f t="shared" si="12"/>
        <v>NA</v>
      </c>
      <c r="C207" t="str">
        <f t="shared" si="13"/>
        <v>NA</v>
      </c>
      <c r="D207" s="64" t="e">
        <f t="shared" si="14"/>
        <v>#VALUE!</v>
      </c>
      <c r="E207" s="64" t="e">
        <f>Tableau7[[#This Row],[Mensualité]]-Tableau7[[#This Row],[Intérêts]]</f>
        <v>#VALUE!</v>
      </c>
      <c r="F207" s="64" t="e">
        <f>$G$4-Tableau7[[#This Row],[Mensualité]]-Tableau7[[#This Row],[Intérêts]]</f>
        <v>#VALUE!</v>
      </c>
    </row>
    <row r="208" spans="2:6" x14ac:dyDescent="0.25">
      <c r="B208" s="67" t="str">
        <f t="shared" si="12"/>
        <v>NA</v>
      </c>
      <c r="C208" t="str">
        <f t="shared" si="13"/>
        <v>NA</v>
      </c>
      <c r="D208" s="64" t="e">
        <f t="shared" si="14"/>
        <v>#VALUE!</v>
      </c>
      <c r="E208" s="64" t="e">
        <f>Tableau7[[#This Row],[Mensualité]]-Tableau7[[#This Row],[Intérêts]]</f>
        <v>#VALUE!</v>
      </c>
      <c r="F208" s="64" t="e">
        <f>$G$4-Tableau7[[#This Row],[Mensualité]]-Tableau7[[#This Row],[Intérêts]]</f>
        <v>#VALUE!</v>
      </c>
    </row>
    <row r="209" spans="2:6" x14ac:dyDescent="0.25">
      <c r="B209" s="67" t="str">
        <f t="shared" si="12"/>
        <v>NA</v>
      </c>
      <c r="C209" t="str">
        <f t="shared" si="13"/>
        <v>NA</v>
      </c>
      <c r="D209" s="64" t="e">
        <f t="shared" si="14"/>
        <v>#VALUE!</v>
      </c>
      <c r="E209" s="64" t="e">
        <f>Tableau7[[#This Row],[Mensualité]]-Tableau7[[#This Row],[Intérêts]]</f>
        <v>#VALUE!</v>
      </c>
      <c r="F209" s="64" t="e">
        <f>$G$4-Tableau7[[#This Row],[Mensualité]]-Tableau7[[#This Row],[Intérêts]]</f>
        <v>#VALUE!</v>
      </c>
    </row>
    <row r="210" spans="2:6" x14ac:dyDescent="0.25">
      <c r="B210" s="67" t="str">
        <f t="shared" si="12"/>
        <v>NA</v>
      </c>
      <c r="C210" t="str">
        <f t="shared" si="13"/>
        <v>NA</v>
      </c>
      <c r="D210" s="64" t="e">
        <f t="shared" si="14"/>
        <v>#VALUE!</v>
      </c>
      <c r="E210" s="64" t="e">
        <f>Tableau7[[#This Row],[Mensualité]]-Tableau7[[#This Row],[Intérêts]]</f>
        <v>#VALUE!</v>
      </c>
      <c r="F210" s="64" t="e">
        <f>$G$4-Tableau7[[#This Row],[Mensualité]]-Tableau7[[#This Row],[Intérêts]]</f>
        <v>#VALUE!</v>
      </c>
    </row>
    <row r="211" spans="2:6" x14ac:dyDescent="0.25">
      <c r="B211" s="67" t="str">
        <f t="shared" si="12"/>
        <v>NA</v>
      </c>
      <c r="C211" t="str">
        <f t="shared" si="13"/>
        <v>NA</v>
      </c>
      <c r="D211" s="64" t="e">
        <f t="shared" si="14"/>
        <v>#VALUE!</v>
      </c>
      <c r="E211" s="64" t="e">
        <f>Tableau7[[#This Row],[Mensualité]]-Tableau7[[#This Row],[Intérêts]]</f>
        <v>#VALUE!</v>
      </c>
      <c r="F211" s="64" t="e">
        <f>$G$4-Tableau7[[#This Row],[Mensualité]]-Tableau7[[#This Row],[Intérêts]]</f>
        <v>#VALUE!</v>
      </c>
    </row>
    <row r="212" spans="2:6" x14ac:dyDescent="0.25">
      <c r="B212" s="67" t="str">
        <f t="shared" si="12"/>
        <v>NA</v>
      </c>
      <c r="C212" t="str">
        <f t="shared" si="13"/>
        <v>NA</v>
      </c>
      <c r="D212" s="64" t="e">
        <f t="shared" si="14"/>
        <v>#VALUE!</v>
      </c>
      <c r="E212" s="64" t="e">
        <f>Tableau7[[#This Row],[Mensualité]]-Tableau7[[#This Row],[Intérêts]]</f>
        <v>#VALUE!</v>
      </c>
      <c r="F212" s="64" t="e">
        <f>$G$4-Tableau7[[#This Row],[Mensualité]]-Tableau7[[#This Row],[Intérêts]]</f>
        <v>#VALUE!</v>
      </c>
    </row>
    <row r="213" spans="2:6" x14ac:dyDescent="0.25">
      <c r="B213" s="67" t="str">
        <f t="shared" si="12"/>
        <v>NA</v>
      </c>
      <c r="C213" t="str">
        <f t="shared" si="13"/>
        <v>NA</v>
      </c>
      <c r="D213" s="64" t="e">
        <f t="shared" si="14"/>
        <v>#VALUE!</v>
      </c>
      <c r="E213" s="64" t="e">
        <f>Tableau7[[#This Row],[Mensualité]]-Tableau7[[#This Row],[Intérêts]]</f>
        <v>#VALUE!</v>
      </c>
      <c r="F213" s="64" t="e">
        <f>$G$4-Tableau7[[#This Row],[Mensualité]]-Tableau7[[#This Row],[Intérêts]]</f>
        <v>#VALUE!</v>
      </c>
    </row>
    <row r="214" spans="2:6" x14ac:dyDescent="0.25">
      <c r="B214" s="67" t="str">
        <f t="shared" si="12"/>
        <v>NA</v>
      </c>
      <c r="C214" t="str">
        <f t="shared" si="13"/>
        <v>NA</v>
      </c>
      <c r="D214" s="64" t="e">
        <f t="shared" si="14"/>
        <v>#VALUE!</v>
      </c>
      <c r="E214" s="64" t="e">
        <f>Tableau7[[#This Row],[Mensualité]]-Tableau7[[#This Row],[Intérêts]]</f>
        <v>#VALUE!</v>
      </c>
      <c r="F214" s="64" t="e">
        <f>$G$4-Tableau7[[#This Row],[Mensualité]]-Tableau7[[#This Row],[Intérêts]]</f>
        <v>#VALUE!</v>
      </c>
    </row>
    <row r="215" spans="2:6" x14ac:dyDescent="0.25">
      <c r="B215" s="67" t="str">
        <f t="shared" si="12"/>
        <v>NA</v>
      </c>
      <c r="C215" t="str">
        <f t="shared" si="13"/>
        <v>NA</v>
      </c>
      <c r="D215" s="64" t="e">
        <f t="shared" si="14"/>
        <v>#VALUE!</v>
      </c>
      <c r="E215" s="64" t="e">
        <f>Tableau7[[#This Row],[Mensualité]]-Tableau7[[#This Row],[Intérêts]]</f>
        <v>#VALUE!</v>
      </c>
      <c r="F215" s="64" t="e">
        <f>$G$4-Tableau7[[#This Row],[Mensualité]]-Tableau7[[#This Row],[Intérêts]]</f>
        <v>#VALUE!</v>
      </c>
    </row>
    <row r="216" spans="2:6" x14ac:dyDescent="0.25">
      <c r="B216" s="67" t="str">
        <f t="shared" si="12"/>
        <v>NA</v>
      </c>
      <c r="C216" t="str">
        <f t="shared" si="13"/>
        <v>NA</v>
      </c>
      <c r="D216" s="64" t="e">
        <f t="shared" si="14"/>
        <v>#VALUE!</v>
      </c>
      <c r="E216" s="64" t="e">
        <f>Tableau7[[#This Row],[Mensualité]]-Tableau7[[#This Row],[Intérêts]]</f>
        <v>#VALUE!</v>
      </c>
      <c r="F216" s="64" t="e">
        <f>$G$4-Tableau7[[#This Row],[Mensualité]]-Tableau7[[#This Row],[Intérêts]]</f>
        <v>#VALUE!</v>
      </c>
    </row>
    <row r="217" spans="2:6" x14ac:dyDescent="0.25">
      <c r="B217" s="67" t="str">
        <f t="shared" si="12"/>
        <v>NA</v>
      </c>
      <c r="C217" t="str">
        <f t="shared" si="13"/>
        <v>NA</v>
      </c>
      <c r="D217" s="64" t="e">
        <f t="shared" si="14"/>
        <v>#VALUE!</v>
      </c>
      <c r="E217" s="64" t="e">
        <f>Tableau7[[#This Row],[Mensualité]]-Tableau7[[#This Row],[Intérêts]]</f>
        <v>#VALUE!</v>
      </c>
      <c r="F217" s="64" t="e">
        <f>$G$4-Tableau7[[#This Row],[Mensualité]]-Tableau7[[#This Row],[Intérêts]]</f>
        <v>#VALUE!</v>
      </c>
    </row>
    <row r="218" spans="2:6" x14ac:dyDescent="0.25">
      <c r="B218" s="67" t="str">
        <f t="shared" si="12"/>
        <v>NA</v>
      </c>
      <c r="C218" t="str">
        <f t="shared" si="13"/>
        <v>NA</v>
      </c>
      <c r="D218" s="64" t="e">
        <f t="shared" si="14"/>
        <v>#VALUE!</v>
      </c>
      <c r="E218" s="64" t="e">
        <f>Tableau7[[#This Row],[Mensualité]]-Tableau7[[#This Row],[Intérêts]]</f>
        <v>#VALUE!</v>
      </c>
      <c r="F218" s="64" t="e">
        <f>$G$4-Tableau7[[#This Row],[Mensualité]]-Tableau7[[#This Row],[Intérêts]]</f>
        <v>#VALUE!</v>
      </c>
    </row>
    <row r="219" spans="2:6" x14ac:dyDescent="0.25">
      <c r="B219" s="67" t="str">
        <f t="shared" si="12"/>
        <v>NA</v>
      </c>
      <c r="C219" t="str">
        <f t="shared" si="13"/>
        <v>NA</v>
      </c>
      <c r="D219" s="64" t="e">
        <f t="shared" si="14"/>
        <v>#VALUE!</v>
      </c>
      <c r="E219" s="64" t="e">
        <f>Tableau7[[#This Row],[Mensualité]]-Tableau7[[#This Row],[Intérêts]]</f>
        <v>#VALUE!</v>
      </c>
      <c r="F219" s="64" t="e">
        <f>$G$4-Tableau7[[#This Row],[Mensualité]]-Tableau7[[#This Row],[Intérêts]]</f>
        <v>#VALUE!</v>
      </c>
    </row>
    <row r="220" spans="2:6" x14ac:dyDescent="0.25">
      <c r="B220" s="67" t="str">
        <f t="shared" si="12"/>
        <v>NA</v>
      </c>
      <c r="C220" t="str">
        <f t="shared" si="13"/>
        <v>NA</v>
      </c>
      <c r="D220" s="64" t="e">
        <f t="shared" si="14"/>
        <v>#VALUE!</v>
      </c>
      <c r="E220" s="64" t="e">
        <f>Tableau7[[#This Row],[Mensualité]]-Tableau7[[#This Row],[Intérêts]]</f>
        <v>#VALUE!</v>
      </c>
      <c r="F220" s="64" t="e">
        <f>$G$4-Tableau7[[#This Row],[Mensualité]]-Tableau7[[#This Row],[Intérêts]]</f>
        <v>#VALUE!</v>
      </c>
    </row>
    <row r="221" spans="2:6" x14ac:dyDescent="0.25">
      <c r="B221" s="67" t="str">
        <f t="shared" si="12"/>
        <v>NA</v>
      </c>
      <c r="C221" t="str">
        <f t="shared" si="13"/>
        <v>NA</v>
      </c>
      <c r="D221" s="64" t="e">
        <f t="shared" si="14"/>
        <v>#VALUE!</v>
      </c>
      <c r="E221" s="64" t="e">
        <f>Tableau7[[#This Row],[Mensualité]]-Tableau7[[#This Row],[Intérêts]]</f>
        <v>#VALUE!</v>
      </c>
      <c r="F221" s="64" t="e">
        <f>$G$4-Tableau7[[#This Row],[Mensualité]]-Tableau7[[#This Row],[Intérêts]]</f>
        <v>#VALUE!</v>
      </c>
    </row>
    <row r="222" spans="2:6" x14ac:dyDescent="0.25">
      <c r="B222" s="67" t="str">
        <f t="shared" si="12"/>
        <v>NA</v>
      </c>
      <c r="C222" t="str">
        <f t="shared" si="13"/>
        <v>NA</v>
      </c>
      <c r="D222" s="64" t="e">
        <f t="shared" si="14"/>
        <v>#VALUE!</v>
      </c>
      <c r="E222" s="64" t="e">
        <f>Tableau7[[#This Row],[Mensualité]]-Tableau7[[#This Row],[Intérêts]]</f>
        <v>#VALUE!</v>
      </c>
      <c r="F222" s="64" t="e">
        <f>$G$4-Tableau7[[#This Row],[Mensualité]]-Tableau7[[#This Row],[Intérêts]]</f>
        <v>#VALUE!</v>
      </c>
    </row>
    <row r="223" spans="2:6" x14ac:dyDescent="0.25">
      <c r="B223" s="67" t="str">
        <f t="shared" si="12"/>
        <v>NA</v>
      </c>
      <c r="C223" t="str">
        <f t="shared" si="13"/>
        <v>NA</v>
      </c>
      <c r="D223" s="64" t="e">
        <f t="shared" si="14"/>
        <v>#VALUE!</v>
      </c>
      <c r="E223" s="64" t="e">
        <f>Tableau7[[#This Row],[Mensualité]]-Tableau7[[#This Row],[Intérêts]]</f>
        <v>#VALUE!</v>
      </c>
      <c r="F223" s="64" t="e">
        <f>$G$4-Tableau7[[#This Row],[Mensualité]]-Tableau7[[#This Row],[Intérêts]]</f>
        <v>#VALUE!</v>
      </c>
    </row>
    <row r="224" spans="2:6" x14ac:dyDescent="0.25">
      <c r="B224" s="67" t="str">
        <f t="shared" si="12"/>
        <v>NA</v>
      </c>
      <c r="C224" t="str">
        <f t="shared" si="13"/>
        <v>NA</v>
      </c>
      <c r="D224" s="64" t="e">
        <f t="shared" si="14"/>
        <v>#VALUE!</v>
      </c>
      <c r="E224" s="64" t="e">
        <f>Tableau7[[#This Row],[Mensualité]]-Tableau7[[#This Row],[Intérêts]]</f>
        <v>#VALUE!</v>
      </c>
      <c r="F224" s="64" t="e">
        <f>$G$4-Tableau7[[#This Row],[Mensualité]]-Tableau7[[#This Row],[Intérêts]]</f>
        <v>#VALUE!</v>
      </c>
    </row>
    <row r="225" spans="2:6" x14ac:dyDescent="0.25">
      <c r="B225" s="67" t="str">
        <f t="shared" si="12"/>
        <v>NA</v>
      </c>
      <c r="C225" t="str">
        <f t="shared" si="13"/>
        <v>NA</v>
      </c>
      <c r="D225" s="64" t="e">
        <f t="shared" si="14"/>
        <v>#VALUE!</v>
      </c>
      <c r="E225" s="64" t="e">
        <f>Tableau7[[#This Row],[Mensualité]]-Tableau7[[#This Row],[Intérêts]]</f>
        <v>#VALUE!</v>
      </c>
      <c r="F225" s="64" t="e">
        <f>$G$4-Tableau7[[#This Row],[Mensualité]]-Tableau7[[#This Row],[Intérêts]]</f>
        <v>#VALUE!</v>
      </c>
    </row>
    <row r="226" spans="2:6" x14ac:dyDescent="0.25">
      <c r="B226" s="67" t="str">
        <f t="shared" si="12"/>
        <v>NA</v>
      </c>
      <c r="C226" t="str">
        <f t="shared" si="13"/>
        <v>NA</v>
      </c>
      <c r="D226" s="64" t="e">
        <f t="shared" si="14"/>
        <v>#VALUE!</v>
      </c>
      <c r="E226" s="64" t="e">
        <f>Tableau7[[#This Row],[Mensualité]]-Tableau7[[#This Row],[Intérêts]]</f>
        <v>#VALUE!</v>
      </c>
      <c r="F226" s="64" t="e">
        <f>$G$4-Tableau7[[#This Row],[Mensualité]]-Tableau7[[#This Row],[Intérêts]]</f>
        <v>#VALUE!</v>
      </c>
    </row>
    <row r="227" spans="2:6" x14ac:dyDescent="0.25">
      <c r="B227" s="67" t="str">
        <f t="shared" si="12"/>
        <v>NA</v>
      </c>
      <c r="C227" t="str">
        <f t="shared" si="13"/>
        <v>NA</v>
      </c>
      <c r="D227" s="64" t="e">
        <f t="shared" si="14"/>
        <v>#VALUE!</v>
      </c>
      <c r="E227" s="64" t="e">
        <f>Tableau7[[#This Row],[Mensualité]]-Tableau7[[#This Row],[Intérêts]]</f>
        <v>#VALUE!</v>
      </c>
      <c r="F227" s="64" t="e">
        <f>$G$4-Tableau7[[#This Row],[Mensualité]]-Tableau7[[#This Row],[Intérêts]]</f>
        <v>#VALUE!</v>
      </c>
    </row>
    <row r="228" spans="2:6" x14ac:dyDescent="0.25">
      <c r="B228" s="67" t="str">
        <f t="shared" si="12"/>
        <v>NA</v>
      </c>
      <c r="C228" t="str">
        <f t="shared" si="13"/>
        <v>NA</v>
      </c>
      <c r="D228" s="64" t="e">
        <f t="shared" si="14"/>
        <v>#VALUE!</v>
      </c>
      <c r="E228" s="64" t="e">
        <f>Tableau7[[#This Row],[Mensualité]]-Tableau7[[#This Row],[Intérêts]]</f>
        <v>#VALUE!</v>
      </c>
      <c r="F228" s="64" t="e">
        <f>$G$4-Tableau7[[#This Row],[Mensualité]]-Tableau7[[#This Row],[Intérêts]]</f>
        <v>#VALUE!</v>
      </c>
    </row>
    <row r="229" spans="2:6" x14ac:dyDescent="0.25">
      <c r="B229" s="67" t="str">
        <f t="shared" si="12"/>
        <v>NA</v>
      </c>
      <c r="C229" t="str">
        <f t="shared" si="13"/>
        <v>NA</v>
      </c>
      <c r="D229" s="64" t="e">
        <f t="shared" si="14"/>
        <v>#VALUE!</v>
      </c>
      <c r="E229" s="64" t="e">
        <f>Tableau7[[#This Row],[Mensualité]]-Tableau7[[#This Row],[Intérêts]]</f>
        <v>#VALUE!</v>
      </c>
      <c r="F229" s="64" t="e">
        <f>$G$4-Tableau7[[#This Row],[Mensualité]]-Tableau7[[#This Row],[Intérêts]]</f>
        <v>#VALUE!</v>
      </c>
    </row>
    <row r="230" spans="2:6" x14ac:dyDescent="0.25">
      <c r="B230" s="67" t="str">
        <f t="shared" si="12"/>
        <v>NA</v>
      </c>
      <c r="C230" t="str">
        <f t="shared" si="13"/>
        <v>NA</v>
      </c>
      <c r="D230" s="64" t="e">
        <f t="shared" si="14"/>
        <v>#VALUE!</v>
      </c>
      <c r="E230" s="64" t="e">
        <f>Tableau7[[#This Row],[Mensualité]]-Tableau7[[#This Row],[Intérêts]]</f>
        <v>#VALUE!</v>
      </c>
      <c r="F230" s="64" t="e">
        <f>$G$4-Tableau7[[#This Row],[Mensualité]]-Tableau7[[#This Row],[Intérêts]]</f>
        <v>#VALUE!</v>
      </c>
    </row>
    <row r="231" spans="2:6" x14ac:dyDescent="0.25">
      <c r="B231" s="67" t="str">
        <f t="shared" si="12"/>
        <v>NA</v>
      </c>
      <c r="C231" t="str">
        <f t="shared" si="13"/>
        <v>NA</v>
      </c>
      <c r="D231" s="64" t="e">
        <f t="shared" si="14"/>
        <v>#VALUE!</v>
      </c>
      <c r="E231" s="64" t="e">
        <f>Tableau7[[#This Row],[Mensualité]]-Tableau7[[#This Row],[Intérêts]]</f>
        <v>#VALUE!</v>
      </c>
      <c r="F231" s="64" t="e">
        <f>$G$4-Tableau7[[#This Row],[Mensualité]]-Tableau7[[#This Row],[Intérêts]]</f>
        <v>#VALUE!</v>
      </c>
    </row>
    <row r="232" spans="2:6" x14ac:dyDescent="0.25">
      <c r="B232" s="67" t="str">
        <f t="shared" si="12"/>
        <v>NA</v>
      </c>
      <c r="C232" t="str">
        <f t="shared" si="13"/>
        <v>NA</v>
      </c>
      <c r="D232" s="64" t="e">
        <f t="shared" si="14"/>
        <v>#VALUE!</v>
      </c>
      <c r="E232" s="64" t="e">
        <f>Tableau7[[#This Row],[Mensualité]]-Tableau7[[#This Row],[Intérêts]]</f>
        <v>#VALUE!</v>
      </c>
      <c r="F232" s="64" t="e">
        <f>$G$4-Tableau7[[#This Row],[Mensualité]]-Tableau7[[#This Row],[Intérêts]]</f>
        <v>#VALUE!</v>
      </c>
    </row>
    <row r="233" spans="2:6" x14ac:dyDescent="0.25">
      <c r="B233" s="67" t="str">
        <f t="shared" si="12"/>
        <v>NA</v>
      </c>
      <c r="C233" t="str">
        <f t="shared" si="13"/>
        <v>NA</v>
      </c>
      <c r="D233" s="64" t="e">
        <f t="shared" si="14"/>
        <v>#VALUE!</v>
      </c>
      <c r="E233" s="64" t="e">
        <f>Tableau7[[#This Row],[Mensualité]]-Tableau7[[#This Row],[Intérêts]]</f>
        <v>#VALUE!</v>
      </c>
      <c r="F233" s="64" t="e">
        <f>$G$4-Tableau7[[#This Row],[Mensualité]]-Tableau7[[#This Row],[Intérêts]]</f>
        <v>#VALUE!</v>
      </c>
    </row>
    <row r="234" spans="2:6" x14ac:dyDescent="0.25">
      <c r="B234" s="67" t="str">
        <f t="shared" si="12"/>
        <v>NA</v>
      </c>
      <c r="C234" t="str">
        <f t="shared" si="13"/>
        <v>NA</v>
      </c>
      <c r="D234" s="64" t="e">
        <f t="shared" si="14"/>
        <v>#VALUE!</v>
      </c>
      <c r="E234" s="64" t="e">
        <f>Tableau7[[#This Row],[Mensualité]]-Tableau7[[#This Row],[Intérêts]]</f>
        <v>#VALUE!</v>
      </c>
      <c r="F234" s="64" t="e">
        <f>$G$4-Tableau7[[#This Row],[Mensualité]]-Tableau7[[#This Row],[Intérêts]]</f>
        <v>#VALUE!</v>
      </c>
    </row>
    <row r="235" spans="2:6" x14ac:dyDescent="0.25">
      <c r="B235" s="67" t="str">
        <f t="shared" ref="B235:B298" si="15">$D$4</f>
        <v>NA</v>
      </c>
      <c r="C235" t="str">
        <f t="shared" ref="C235:C298" si="16">$H$4</f>
        <v>NA</v>
      </c>
      <c r="D235" s="64" t="e">
        <f t="shared" ref="D235:D298" si="17">G228*F228/12</f>
        <v>#VALUE!</v>
      </c>
      <c r="E235" s="64" t="e">
        <f>Tableau7[[#This Row],[Mensualité]]-Tableau7[[#This Row],[Intérêts]]</f>
        <v>#VALUE!</v>
      </c>
      <c r="F235" s="64" t="e">
        <f>$G$4-Tableau7[[#This Row],[Mensualité]]-Tableau7[[#This Row],[Intérêts]]</f>
        <v>#VALUE!</v>
      </c>
    </row>
    <row r="236" spans="2:6" x14ac:dyDescent="0.25">
      <c r="B236" s="67" t="str">
        <f t="shared" si="15"/>
        <v>NA</v>
      </c>
      <c r="C236" t="str">
        <f t="shared" si="16"/>
        <v>NA</v>
      </c>
      <c r="D236" s="64" t="e">
        <f t="shared" si="17"/>
        <v>#VALUE!</v>
      </c>
      <c r="E236" s="64" t="e">
        <f>Tableau7[[#This Row],[Mensualité]]-Tableau7[[#This Row],[Intérêts]]</f>
        <v>#VALUE!</v>
      </c>
      <c r="F236" s="64" t="e">
        <f>$G$4-Tableau7[[#This Row],[Mensualité]]-Tableau7[[#This Row],[Intérêts]]</f>
        <v>#VALUE!</v>
      </c>
    </row>
    <row r="237" spans="2:6" x14ac:dyDescent="0.25">
      <c r="B237" s="67" t="str">
        <f t="shared" si="15"/>
        <v>NA</v>
      </c>
      <c r="C237" t="str">
        <f t="shared" si="16"/>
        <v>NA</v>
      </c>
      <c r="D237" s="64" t="e">
        <f t="shared" si="17"/>
        <v>#VALUE!</v>
      </c>
      <c r="E237" s="64" t="e">
        <f>Tableau7[[#This Row],[Mensualité]]-Tableau7[[#This Row],[Intérêts]]</f>
        <v>#VALUE!</v>
      </c>
      <c r="F237" s="64" t="e">
        <f>$G$4-Tableau7[[#This Row],[Mensualité]]-Tableau7[[#This Row],[Intérêts]]</f>
        <v>#VALUE!</v>
      </c>
    </row>
    <row r="238" spans="2:6" x14ac:dyDescent="0.25">
      <c r="B238" s="67" t="str">
        <f t="shared" si="15"/>
        <v>NA</v>
      </c>
      <c r="C238" t="str">
        <f t="shared" si="16"/>
        <v>NA</v>
      </c>
      <c r="D238" s="64" t="e">
        <f t="shared" si="17"/>
        <v>#VALUE!</v>
      </c>
      <c r="E238" s="64" t="e">
        <f>Tableau7[[#This Row],[Mensualité]]-Tableau7[[#This Row],[Intérêts]]</f>
        <v>#VALUE!</v>
      </c>
      <c r="F238" s="64" t="e">
        <f>$G$4-Tableau7[[#This Row],[Mensualité]]-Tableau7[[#This Row],[Intérêts]]</f>
        <v>#VALUE!</v>
      </c>
    </row>
    <row r="239" spans="2:6" x14ac:dyDescent="0.25">
      <c r="B239" s="67" t="str">
        <f t="shared" si="15"/>
        <v>NA</v>
      </c>
      <c r="C239" t="str">
        <f t="shared" si="16"/>
        <v>NA</v>
      </c>
      <c r="D239" s="64" t="e">
        <f t="shared" si="17"/>
        <v>#VALUE!</v>
      </c>
      <c r="E239" s="64" t="e">
        <f>Tableau7[[#This Row],[Mensualité]]-Tableau7[[#This Row],[Intérêts]]</f>
        <v>#VALUE!</v>
      </c>
      <c r="F239" s="64" t="e">
        <f>$G$4-Tableau7[[#This Row],[Mensualité]]-Tableau7[[#This Row],[Intérêts]]</f>
        <v>#VALUE!</v>
      </c>
    </row>
    <row r="240" spans="2:6" x14ac:dyDescent="0.25">
      <c r="B240" s="67" t="str">
        <f t="shared" si="15"/>
        <v>NA</v>
      </c>
      <c r="C240" t="str">
        <f t="shared" si="16"/>
        <v>NA</v>
      </c>
      <c r="D240" s="64" t="e">
        <f t="shared" si="17"/>
        <v>#VALUE!</v>
      </c>
      <c r="E240" s="64" t="e">
        <f>Tableau7[[#This Row],[Mensualité]]-Tableau7[[#This Row],[Intérêts]]</f>
        <v>#VALUE!</v>
      </c>
      <c r="F240" s="64" t="e">
        <f>$G$4-Tableau7[[#This Row],[Mensualité]]-Tableau7[[#This Row],[Intérêts]]</f>
        <v>#VALUE!</v>
      </c>
    </row>
    <row r="241" spans="2:6" x14ac:dyDescent="0.25">
      <c r="B241" s="67" t="str">
        <f t="shared" si="15"/>
        <v>NA</v>
      </c>
      <c r="C241" t="str">
        <f t="shared" si="16"/>
        <v>NA</v>
      </c>
      <c r="D241" s="64" t="e">
        <f t="shared" si="17"/>
        <v>#VALUE!</v>
      </c>
      <c r="E241" s="64" t="e">
        <f>Tableau7[[#This Row],[Mensualité]]-Tableau7[[#This Row],[Intérêts]]</f>
        <v>#VALUE!</v>
      </c>
      <c r="F241" s="64" t="e">
        <f>$G$4-Tableau7[[#This Row],[Mensualité]]-Tableau7[[#This Row],[Intérêts]]</f>
        <v>#VALUE!</v>
      </c>
    </row>
    <row r="242" spans="2:6" x14ac:dyDescent="0.25">
      <c r="B242" s="67" t="str">
        <f t="shared" si="15"/>
        <v>NA</v>
      </c>
      <c r="C242" t="str">
        <f t="shared" si="16"/>
        <v>NA</v>
      </c>
      <c r="D242" s="64" t="e">
        <f t="shared" si="17"/>
        <v>#VALUE!</v>
      </c>
      <c r="E242" s="64" t="e">
        <f>Tableau7[[#This Row],[Mensualité]]-Tableau7[[#This Row],[Intérêts]]</f>
        <v>#VALUE!</v>
      </c>
      <c r="F242" s="64" t="e">
        <f>$G$4-Tableau7[[#This Row],[Mensualité]]-Tableau7[[#This Row],[Intérêts]]</f>
        <v>#VALUE!</v>
      </c>
    </row>
    <row r="243" spans="2:6" x14ac:dyDescent="0.25">
      <c r="B243" s="67" t="str">
        <f t="shared" si="15"/>
        <v>NA</v>
      </c>
      <c r="C243" t="str">
        <f t="shared" si="16"/>
        <v>NA</v>
      </c>
      <c r="D243" s="64" t="e">
        <f t="shared" si="17"/>
        <v>#VALUE!</v>
      </c>
      <c r="E243" s="64" t="e">
        <f>Tableau7[[#This Row],[Mensualité]]-Tableau7[[#This Row],[Intérêts]]</f>
        <v>#VALUE!</v>
      </c>
      <c r="F243" s="64" t="e">
        <f>$G$4-Tableau7[[#This Row],[Mensualité]]-Tableau7[[#This Row],[Intérêts]]</f>
        <v>#VALUE!</v>
      </c>
    </row>
    <row r="244" spans="2:6" x14ac:dyDescent="0.25">
      <c r="B244" s="67" t="str">
        <f t="shared" si="15"/>
        <v>NA</v>
      </c>
      <c r="C244" t="str">
        <f t="shared" si="16"/>
        <v>NA</v>
      </c>
      <c r="D244" s="64" t="e">
        <f t="shared" si="17"/>
        <v>#VALUE!</v>
      </c>
      <c r="E244" s="64" t="e">
        <f>Tableau7[[#This Row],[Mensualité]]-Tableau7[[#This Row],[Intérêts]]</f>
        <v>#VALUE!</v>
      </c>
      <c r="F244" s="64" t="e">
        <f>$G$4-Tableau7[[#This Row],[Mensualité]]-Tableau7[[#This Row],[Intérêts]]</f>
        <v>#VALUE!</v>
      </c>
    </row>
    <row r="245" spans="2:6" x14ac:dyDescent="0.25">
      <c r="B245" s="67" t="str">
        <f t="shared" si="15"/>
        <v>NA</v>
      </c>
      <c r="C245" t="str">
        <f t="shared" si="16"/>
        <v>NA</v>
      </c>
      <c r="D245" s="64" t="e">
        <f t="shared" si="17"/>
        <v>#VALUE!</v>
      </c>
      <c r="E245" s="64" t="e">
        <f>Tableau7[[#This Row],[Mensualité]]-Tableau7[[#This Row],[Intérêts]]</f>
        <v>#VALUE!</v>
      </c>
      <c r="F245" s="64" t="e">
        <f>$G$4-Tableau7[[#This Row],[Mensualité]]-Tableau7[[#This Row],[Intérêts]]</f>
        <v>#VALUE!</v>
      </c>
    </row>
    <row r="246" spans="2:6" x14ac:dyDescent="0.25">
      <c r="B246" s="67" t="str">
        <f t="shared" si="15"/>
        <v>NA</v>
      </c>
      <c r="C246" t="str">
        <f t="shared" si="16"/>
        <v>NA</v>
      </c>
      <c r="D246" s="64" t="e">
        <f t="shared" si="17"/>
        <v>#VALUE!</v>
      </c>
      <c r="E246" s="64" t="e">
        <f>Tableau7[[#This Row],[Mensualité]]-Tableau7[[#This Row],[Intérêts]]</f>
        <v>#VALUE!</v>
      </c>
      <c r="F246" s="64" t="e">
        <f>$G$4-Tableau7[[#This Row],[Mensualité]]-Tableau7[[#This Row],[Intérêts]]</f>
        <v>#VALUE!</v>
      </c>
    </row>
    <row r="247" spans="2:6" x14ac:dyDescent="0.25">
      <c r="B247" s="67" t="str">
        <f t="shared" si="15"/>
        <v>NA</v>
      </c>
      <c r="C247" t="str">
        <f t="shared" si="16"/>
        <v>NA</v>
      </c>
      <c r="D247" s="64" t="e">
        <f t="shared" si="17"/>
        <v>#VALUE!</v>
      </c>
      <c r="E247" s="64" t="e">
        <f>Tableau7[[#This Row],[Mensualité]]-Tableau7[[#This Row],[Intérêts]]</f>
        <v>#VALUE!</v>
      </c>
      <c r="F247" s="64" t="e">
        <f>$G$4-Tableau7[[#This Row],[Mensualité]]-Tableau7[[#This Row],[Intérêts]]</f>
        <v>#VALUE!</v>
      </c>
    </row>
    <row r="248" spans="2:6" x14ac:dyDescent="0.25">
      <c r="B248" s="67" t="str">
        <f t="shared" si="15"/>
        <v>NA</v>
      </c>
      <c r="C248" t="str">
        <f t="shared" si="16"/>
        <v>NA</v>
      </c>
      <c r="D248" s="64" t="e">
        <f t="shared" si="17"/>
        <v>#VALUE!</v>
      </c>
      <c r="E248" s="64" t="e">
        <f>Tableau7[[#This Row],[Mensualité]]-Tableau7[[#This Row],[Intérêts]]</f>
        <v>#VALUE!</v>
      </c>
      <c r="F248" s="64" t="e">
        <f>$G$4-Tableau7[[#This Row],[Mensualité]]-Tableau7[[#This Row],[Intérêts]]</f>
        <v>#VALUE!</v>
      </c>
    </row>
    <row r="249" spans="2:6" x14ac:dyDescent="0.25">
      <c r="B249" s="67" t="str">
        <f t="shared" si="15"/>
        <v>NA</v>
      </c>
      <c r="C249" t="str">
        <f t="shared" si="16"/>
        <v>NA</v>
      </c>
      <c r="D249" s="64" t="e">
        <f t="shared" si="17"/>
        <v>#VALUE!</v>
      </c>
      <c r="E249" s="64" t="e">
        <f>Tableau7[[#This Row],[Mensualité]]-Tableau7[[#This Row],[Intérêts]]</f>
        <v>#VALUE!</v>
      </c>
      <c r="F249" s="64" t="e">
        <f>$G$4-Tableau7[[#This Row],[Mensualité]]-Tableau7[[#This Row],[Intérêts]]</f>
        <v>#VALUE!</v>
      </c>
    </row>
    <row r="250" spans="2:6" x14ac:dyDescent="0.25">
      <c r="B250" s="67" t="str">
        <f t="shared" si="15"/>
        <v>NA</v>
      </c>
      <c r="C250" t="str">
        <f t="shared" si="16"/>
        <v>NA</v>
      </c>
      <c r="D250" s="64" t="e">
        <f t="shared" si="17"/>
        <v>#VALUE!</v>
      </c>
      <c r="E250" s="64" t="e">
        <f>Tableau7[[#This Row],[Mensualité]]-Tableau7[[#This Row],[Intérêts]]</f>
        <v>#VALUE!</v>
      </c>
      <c r="F250" s="64" t="e">
        <f>$G$4-Tableau7[[#This Row],[Mensualité]]-Tableau7[[#This Row],[Intérêts]]</f>
        <v>#VALUE!</v>
      </c>
    </row>
    <row r="251" spans="2:6" x14ac:dyDescent="0.25">
      <c r="B251" s="67" t="str">
        <f t="shared" si="15"/>
        <v>NA</v>
      </c>
      <c r="C251" t="str">
        <f t="shared" si="16"/>
        <v>NA</v>
      </c>
      <c r="D251" s="64" t="e">
        <f t="shared" si="17"/>
        <v>#VALUE!</v>
      </c>
      <c r="E251" s="64" t="e">
        <f>Tableau7[[#This Row],[Mensualité]]-Tableau7[[#This Row],[Intérêts]]</f>
        <v>#VALUE!</v>
      </c>
      <c r="F251" s="64" t="e">
        <f>$G$4-Tableau7[[#This Row],[Mensualité]]-Tableau7[[#This Row],[Intérêts]]</f>
        <v>#VALUE!</v>
      </c>
    </row>
    <row r="252" spans="2:6" x14ac:dyDescent="0.25">
      <c r="B252" s="67" t="str">
        <f t="shared" si="15"/>
        <v>NA</v>
      </c>
      <c r="C252" t="str">
        <f t="shared" si="16"/>
        <v>NA</v>
      </c>
      <c r="D252" s="64" t="e">
        <f t="shared" si="17"/>
        <v>#VALUE!</v>
      </c>
      <c r="E252" s="64" t="e">
        <f>Tableau7[[#This Row],[Mensualité]]-Tableau7[[#This Row],[Intérêts]]</f>
        <v>#VALUE!</v>
      </c>
      <c r="F252" s="64" t="e">
        <f>$G$4-Tableau7[[#This Row],[Mensualité]]-Tableau7[[#This Row],[Intérêts]]</f>
        <v>#VALUE!</v>
      </c>
    </row>
    <row r="253" spans="2:6" x14ac:dyDescent="0.25">
      <c r="B253" s="67" t="str">
        <f t="shared" si="15"/>
        <v>NA</v>
      </c>
      <c r="C253" t="str">
        <f t="shared" si="16"/>
        <v>NA</v>
      </c>
      <c r="D253" s="64" t="e">
        <f t="shared" si="17"/>
        <v>#VALUE!</v>
      </c>
      <c r="E253" s="64" t="e">
        <f>Tableau7[[#This Row],[Mensualité]]-Tableau7[[#This Row],[Intérêts]]</f>
        <v>#VALUE!</v>
      </c>
      <c r="F253" s="64" t="e">
        <f>$G$4-Tableau7[[#This Row],[Mensualité]]-Tableau7[[#This Row],[Intérêts]]</f>
        <v>#VALUE!</v>
      </c>
    </row>
    <row r="254" spans="2:6" x14ac:dyDescent="0.25">
      <c r="B254" s="67" t="str">
        <f t="shared" si="15"/>
        <v>NA</v>
      </c>
      <c r="C254" t="str">
        <f t="shared" si="16"/>
        <v>NA</v>
      </c>
      <c r="D254" s="64" t="e">
        <f t="shared" si="17"/>
        <v>#VALUE!</v>
      </c>
      <c r="E254" s="64" t="e">
        <f>Tableau7[[#This Row],[Mensualité]]-Tableau7[[#This Row],[Intérêts]]</f>
        <v>#VALUE!</v>
      </c>
      <c r="F254" s="64" t="e">
        <f>$G$4-Tableau7[[#This Row],[Mensualité]]-Tableau7[[#This Row],[Intérêts]]</f>
        <v>#VALUE!</v>
      </c>
    </row>
    <row r="255" spans="2:6" x14ac:dyDescent="0.25">
      <c r="B255" s="67" t="str">
        <f t="shared" si="15"/>
        <v>NA</v>
      </c>
      <c r="C255" t="str">
        <f t="shared" si="16"/>
        <v>NA</v>
      </c>
      <c r="D255" s="64" t="e">
        <f t="shared" si="17"/>
        <v>#VALUE!</v>
      </c>
      <c r="E255" s="64" t="e">
        <f>Tableau7[[#This Row],[Mensualité]]-Tableau7[[#This Row],[Intérêts]]</f>
        <v>#VALUE!</v>
      </c>
      <c r="F255" s="64" t="e">
        <f>$G$4-Tableau7[[#This Row],[Mensualité]]-Tableau7[[#This Row],[Intérêts]]</f>
        <v>#VALUE!</v>
      </c>
    </row>
    <row r="256" spans="2:6" x14ac:dyDescent="0.25">
      <c r="B256" s="67" t="str">
        <f t="shared" si="15"/>
        <v>NA</v>
      </c>
      <c r="C256" t="str">
        <f t="shared" si="16"/>
        <v>NA</v>
      </c>
      <c r="D256" s="64" t="e">
        <f t="shared" si="17"/>
        <v>#VALUE!</v>
      </c>
      <c r="E256" s="64" t="e">
        <f>Tableau7[[#This Row],[Mensualité]]-Tableau7[[#This Row],[Intérêts]]</f>
        <v>#VALUE!</v>
      </c>
      <c r="F256" s="64" t="e">
        <f>$G$4-Tableau7[[#This Row],[Mensualité]]-Tableau7[[#This Row],[Intérêts]]</f>
        <v>#VALUE!</v>
      </c>
    </row>
    <row r="257" spans="2:6" x14ac:dyDescent="0.25">
      <c r="B257" s="67" t="str">
        <f t="shared" si="15"/>
        <v>NA</v>
      </c>
      <c r="C257" t="str">
        <f t="shared" si="16"/>
        <v>NA</v>
      </c>
      <c r="D257" s="64" t="e">
        <f t="shared" si="17"/>
        <v>#VALUE!</v>
      </c>
      <c r="E257" s="64" t="e">
        <f>Tableau7[[#This Row],[Mensualité]]-Tableau7[[#This Row],[Intérêts]]</f>
        <v>#VALUE!</v>
      </c>
      <c r="F257" s="64" t="e">
        <f>$G$4-Tableau7[[#This Row],[Mensualité]]-Tableau7[[#This Row],[Intérêts]]</f>
        <v>#VALUE!</v>
      </c>
    </row>
    <row r="258" spans="2:6" x14ac:dyDescent="0.25">
      <c r="B258" s="67" t="str">
        <f t="shared" si="15"/>
        <v>NA</v>
      </c>
      <c r="C258" t="str">
        <f t="shared" si="16"/>
        <v>NA</v>
      </c>
      <c r="D258" s="64" t="e">
        <f t="shared" si="17"/>
        <v>#VALUE!</v>
      </c>
      <c r="E258" s="64" t="e">
        <f>Tableau7[[#This Row],[Mensualité]]-Tableau7[[#This Row],[Intérêts]]</f>
        <v>#VALUE!</v>
      </c>
      <c r="F258" s="64" t="e">
        <f>$G$4-Tableau7[[#This Row],[Mensualité]]-Tableau7[[#This Row],[Intérêts]]</f>
        <v>#VALUE!</v>
      </c>
    </row>
    <row r="259" spans="2:6" x14ac:dyDescent="0.25">
      <c r="B259" s="67" t="str">
        <f t="shared" si="15"/>
        <v>NA</v>
      </c>
      <c r="C259" t="str">
        <f t="shared" si="16"/>
        <v>NA</v>
      </c>
      <c r="D259" s="64" t="e">
        <f t="shared" si="17"/>
        <v>#VALUE!</v>
      </c>
      <c r="E259" s="64" t="e">
        <f>Tableau7[[#This Row],[Mensualité]]-Tableau7[[#This Row],[Intérêts]]</f>
        <v>#VALUE!</v>
      </c>
      <c r="F259" s="64" t="e">
        <f>$G$4-Tableau7[[#This Row],[Mensualité]]-Tableau7[[#This Row],[Intérêts]]</f>
        <v>#VALUE!</v>
      </c>
    </row>
    <row r="260" spans="2:6" x14ac:dyDescent="0.25">
      <c r="B260" s="67" t="str">
        <f t="shared" si="15"/>
        <v>NA</v>
      </c>
      <c r="C260" t="str">
        <f t="shared" si="16"/>
        <v>NA</v>
      </c>
      <c r="D260" s="64" t="e">
        <f t="shared" si="17"/>
        <v>#VALUE!</v>
      </c>
      <c r="E260" s="64" t="e">
        <f>Tableau7[[#This Row],[Mensualité]]-Tableau7[[#This Row],[Intérêts]]</f>
        <v>#VALUE!</v>
      </c>
      <c r="F260" s="64" t="e">
        <f>$G$4-Tableau7[[#This Row],[Mensualité]]-Tableau7[[#This Row],[Intérêts]]</f>
        <v>#VALUE!</v>
      </c>
    </row>
    <row r="261" spans="2:6" x14ac:dyDescent="0.25">
      <c r="B261" s="67" t="str">
        <f t="shared" si="15"/>
        <v>NA</v>
      </c>
      <c r="C261" t="str">
        <f t="shared" si="16"/>
        <v>NA</v>
      </c>
      <c r="D261" s="64" t="e">
        <f t="shared" si="17"/>
        <v>#VALUE!</v>
      </c>
      <c r="E261" s="64" t="e">
        <f>Tableau7[[#This Row],[Mensualité]]-Tableau7[[#This Row],[Intérêts]]</f>
        <v>#VALUE!</v>
      </c>
      <c r="F261" s="64" t="e">
        <f>$G$4-Tableau7[[#This Row],[Mensualité]]-Tableau7[[#This Row],[Intérêts]]</f>
        <v>#VALUE!</v>
      </c>
    </row>
    <row r="262" spans="2:6" x14ac:dyDescent="0.25">
      <c r="B262" s="67" t="str">
        <f t="shared" si="15"/>
        <v>NA</v>
      </c>
      <c r="C262" t="str">
        <f t="shared" si="16"/>
        <v>NA</v>
      </c>
      <c r="D262" s="64" t="e">
        <f t="shared" si="17"/>
        <v>#VALUE!</v>
      </c>
      <c r="E262" s="64" t="e">
        <f>Tableau7[[#This Row],[Mensualité]]-Tableau7[[#This Row],[Intérêts]]</f>
        <v>#VALUE!</v>
      </c>
      <c r="F262" s="64" t="e">
        <f>$G$4-Tableau7[[#This Row],[Mensualité]]-Tableau7[[#This Row],[Intérêts]]</f>
        <v>#VALUE!</v>
      </c>
    </row>
    <row r="263" spans="2:6" x14ac:dyDescent="0.25">
      <c r="B263" s="67" t="str">
        <f t="shared" si="15"/>
        <v>NA</v>
      </c>
      <c r="C263" t="str">
        <f t="shared" si="16"/>
        <v>NA</v>
      </c>
      <c r="D263" s="64" t="e">
        <f t="shared" si="17"/>
        <v>#VALUE!</v>
      </c>
      <c r="E263" s="64" t="e">
        <f>Tableau7[[#This Row],[Mensualité]]-Tableau7[[#This Row],[Intérêts]]</f>
        <v>#VALUE!</v>
      </c>
      <c r="F263" s="64" t="e">
        <f>$G$4-Tableau7[[#This Row],[Mensualité]]-Tableau7[[#This Row],[Intérêts]]</f>
        <v>#VALUE!</v>
      </c>
    </row>
    <row r="264" spans="2:6" x14ac:dyDescent="0.25">
      <c r="B264" s="67" t="str">
        <f t="shared" si="15"/>
        <v>NA</v>
      </c>
      <c r="C264" t="str">
        <f t="shared" si="16"/>
        <v>NA</v>
      </c>
      <c r="D264" s="64" t="e">
        <f t="shared" si="17"/>
        <v>#VALUE!</v>
      </c>
      <c r="E264" s="64" t="e">
        <f>Tableau7[[#This Row],[Mensualité]]-Tableau7[[#This Row],[Intérêts]]</f>
        <v>#VALUE!</v>
      </c>
      <c r="F264" s="64" t="e">
        <f>$G$4-Tableau7[[#This Row],[Mensualité]]-Tableau7[[#This Row],[Intérêts]]</f>
        <v>#VALUE!</v>
      </c>
    </row>
    <row r="265" spans="2:6" x14ac:dyDescent="0.25">
      <c r="B265" s="67" t="str">
        <f t="shared" si="15"/>
        <v>NA</v>
      </c>
      <c r="C265" t="str">
        <f t="shared" si="16"/>
        <v>NA</v>
      </c>
      <c r="D265" s="64" t="e">
        <f t="shared" si="17"/>
        <v>#VALUE!</v>
      </c>
      <c r="E265" s="64" t="e">
        <f>Tableau7[[#This Row],[Mensualité]]-Tableau7[[#This Row],[Intérêts]]</f>
        <v>#VALUE!</v>
      </c>
      <c r="F265" s="64" t="e">
        <f>$G$4-Tableau7[[#This Row],[Mensualité]]-Tableau7[[#This Row],[Intérêts]]</f>
        <v>#VALUE!</v>
      </c>
    </row>
    <row r="266" spans="2:6" x14ac:dyDescent="0.25">
      <c r="B266" s="67" t="str">
        <f t="shared" si="15"/>
        <v>NA</v>
      </c>
      <c r="C266" t="str">
        <f t="shared" si="16"/>
        <v>NA</v>
      </c>
      <c r="D266" s="64" t="e">
        <f t="shared" si="17"/>
        <v>#VALUE!</v>
      </c>
      <c r="E266" s="64" t="e">
        <f>Tableau7[[#This Row],[Mensualité]]-Tableau7[[#This Row],[Intérêts]]</f>
        <v>#VALUE!</v>
      </c>
      <c r="F266" s="64" t="e">
        <f>$G$4-Tableau7[[#This Row],[Mensualité]]-Tableau7[[#This Row],[Intérêts]]</f>
        <v>#VALUE!</v>
      </c>
    </row>
    <row r="267" spans="2:6" x14ac:dyDescent="0.25">
      <c r="B267" s="67" t="str">
        <f t="shared" si="15"/>
        <v>NA</v>
      </c>
      <c r="C267" t="str">
        <f t="shared" si="16"/>
        <v>NA</v>
      </c>
      <c r="D267" s="64" t="e">
        <f t="shared" si="17"/>
        <v>#VALUE!</v>
      </c>
      <c r="E267" s="64" t="e">
        <f>Tableau7[[#This Row],[Mensualité]]-Tableau7[[#This Row],[Intérêts]]</f>
        <v>#VALUE!</v>
      </c>
      <c r="F267" s="64" t="e">
        <f>$G$4-Tableau7[[#This Row],[Mensualité]]-Tableau7[[#This Row],[Intérêts]]</f>
        <v>#VALUE!</v>
      </c>
    </row>
    <row r="268" spans="2:6" x14ac:dyDescent="0.25">
      <c r="B268" s="67" t="str">
        <f t="shared" si="15"/>
        <v>NA</v>
      </c>
      <c r="C268" t="str">
        <f t="shared" si="16"/>
        <v>NA</v>
      </c>
      <c r="D268" s="64" t="e">
        <f t="shared" si="17"/>
        <v>#VALUE!</v>
      </c>
      <c r="E268" s="64" t="e">
        <f>Tableau7[[#This Row],[Mensualité]]-Tableau7[[#This Row],[Intérêts]]</f>
        <v>#VALUE!</v>
      </c>
      <c r="F268" s="64" t="e">
        <f>$G$4-Tableau7[[#This Row],[Mensualité]]-Tableau7[[#This Row],[Intérêts]]</f>
        <v>#VALUE!</v>
      </c>
    </row>
    <row r="269" spans="2:6" x14ac:dyDescent="0.25">
      <c r="B269" s="67" t="str">
        <f t="shared" si="15"/>
        <v>NA</v>
      </c>
      <c r="C269" t="str">
        <f t="shared" si="16"/>
        <v>NA</v>
      </c>
      <c r="D269" s="64" t="e">
        <f t="shared" si="17"/>
        <v>#VALUE!</v>
      </c>
      <c r="E269" s="64" t="e">
        <f>Tableau7[[#This Row],[Mensualité]]-Tableau7[[#This Row],[Intérêts]]</f>
        <v>#VALUE!</v>
      </c>
      <c r="F269" s="64" t="e">
        <f>$G$4-Tableau7[[#This Row],[Mensualité]]-Tableau7[[#This Row],[Intérêts]]</f>
        <v>#VALUE!</v>
      </c>
    </row>
    <row r="270" spans="2:6" x14ac:dyDescent="0.25">
      <c r="B270" s="67" t="str">
        <f t="shared" si="15"/>
        <v>NA</v>
      </c>
      <c r="C270" t="str">
        <f t="shared" si="16"/>
        <v>NA</v>
      </c>
      <c r="D270" s="64" t="e">
        <f t="shared" si="17"/>
        <v>#VALUE!</v>
      </c>
      <c r="E270" s="64" t="e">
        <f>Tableau7[[#This Row],[Mensualité]]-Tableau7[[#This Row],[Intérêts]]</f>
        <v>#VALUE!</v>
      </c>
      <c r="F270" s="64" t="e">
        <f>$G$4-Tableau7[[#This Row],[Mensualité]]-Tableau7[[#This Row],[Intérêts]]</f>
        <v>#VALUE!</v>
      </c>
    </row>
    <row r="271" spans="2:6" x14ac:dyDescent="0.25">
      <c r="B271" s="67" t="str">
        <f t="shared" si="15"/>
        <v>NA</v>
      </c>
      <c r="C271" t="str">
        <f t="shared" si="16"/>
        <v>NA</v>
      </c>
      <c r="D271" s="64" t="e">
        <f t="shared" si="17"/>
        <v>#VALUE!</v>
      </c>
      <c r="E271" s="64" t="e">
        <f>Tableau7[[#This Row],[Mensualité]]-Tableau7[[#This Row],[Intérêts]]</f>
        <v>#VALUE!</v>
      </c>
      <c r="F271" s="64" t="e">
        <f>$G$4-Tableau7[[#This Row],[Mensualité]]-Tableau7[[#This Row],[Intérêts]]</f>
        <v>#VALUE!</v>
      </c>
    </row>
    <row r="272" spans="2:6" x14ac:dyDescent="0.25">
      <c r="B272" s="67" t="str">
        <f t="shared" si="15"/>
        <v>NA</v>
      </c>
      <c r="C272" t="str">
        <f t="shared" si="16"/>
        <v>NA</v>
      </c>
      <c r="D272" s="64" t="e">
        <f t="shared" si="17"/>
        <v>#VALUE!</v>
      </c>
      <c r="E272" s="64" t="e">
        <f>Tableau7[[#This Row],[Mensualité]]-Tableau7[[#This Row],[Intérêts]]</f>
        <v>#VALUE!</v>
      </c>
      <c r="F272" s="64" t="e">
        <f>$G$4-Tableau7[[#This Row],[Mensualité]]-Tableau7[[#This Row],[Intérêts]]</f>
        <v>#VALUE!</v>
      </c>
    </row>
    <row r="273" spans="2:6" x14ac:dyDescent="0.25">
      <c r="B273" s="67" t="str">
        <f t="shared" si="15"/>
        <v>NA</v>
      </c>
      <c r="C273" t="str">
        <f t="shared" si="16"/>
        <v>NA</v>
      </c>
      <c r="D273" s="64" t="e">
        <f t="shared" si="17"/>
        <v>#VALUE!</v>
      </c>
      <c r="E273" s="64" t="e">
        <f>Tableau7[[#This Row],[Mensualité]]-Tableau7[[#This Row],[Intérêts]]</f>
        <v>#VALUE!</v>
      </c>
      <c r="F273" s="64" t="e">
        <f>$G$4-Tableau7[[#This Row],[Mensualité]]-Tableau7[[#This Row],[Intérêts]]</f>
        <v>#VALUE!</v>
      </c>
    </row>
    <row r="274" spans="2:6" x14ac:dyDescent="0.25">
      <c r="B274" s="67" t="str">
        <f t="shared" si="15"/>
        <v>NA</v>
      </c>
      <c r="C274" t="str">
        <f t="shared" si="16"/>
        <v>NA</v>
      </c>
      <c r="D274" s="64" t="e">
        <f t="shared" si="17"/>
        <v>#VALUE!</v>
      </c>
      <c r="E274" s="64" t="e">
        <f>Tableau7[[#This Row],[Mensualité]]-Tableau7[[#This Row],[Intérêts]]</f>
        <v>#VALUE!</v>
      </c>
      <c r="F274" s="64" t="e">
        <f>$G$4-Tableau7[[#This Row],[Mensualité]]-Tableau7[[#This Row],[Intérêts]]</f>
        <v>#VALUE!</v>
      </c>
    </row>
    <row r="275" spans="2:6" x14ac:dyDescent="0.25">
      <c r="B275" s="67" t="str">
        <f t="shared" si="15"/>
        <v>NA</v>
      </c>
      <c r="C275" t="str">
        <f t="shared" si="16"/>
        <v>NA</v>
      </c>
      <c r="D275" s="64" t="e">
        <f t="shared" si="17"/>
        <v>#VALUE!</v>
      </c>
      <c r="E275" s="64" t="e">
        <f>Tableau7[[#This Row],[Mensualité]]-Tableau7[[#This Row],[Intérêts]]</f>
        <v>#VALUE!</v>
      </c>
      <c r="F275" s="64" t="e">
        <f>$G$4-Tableau7[[#This Row],[Mensualité]]-Tableau7[[#This Row],[Intérêts]]</f>
        <v>#VALUE!</v>
      </c>
    </row>
    <row r="276" spans="2:6" x14ac:dyDescent="0.25">
      <c r="B276" s="67" t="str">
        <f t="shared" si="15"/>
        <v>NA</v>
      </c>
      <c r="C276" t="str">
        <f t="shared" si="16"/>
        <v>NA</v>
      </c>
      <c r="D276" s="64" t="e">
        <f t="shared" si="17"/>
        <v>#VALUE!</v>
      </c>
      <c r="E276" s="64" t="e">
        <f>Tableau7[[#This Row],[Mensualité]]-Tableau7[[#This Row],[Intérêts]]</f>
        <v>#VALUE!</v>
      </c>
      <c r="F276" s="64" t="e">
        <f>$G$4-Tableau7[[#This Row],[Mensualité]]-Tableau7[[#This Row],[Intérêts]]</f>
        <v>#VALUE!</v>
      </c>
    </row>
    <row r="277" spans="2:6" x14ac:dyDescent="0.25">
      <c r="B277" s="67" t="str">
        <f t="shared" si="15"/>
        <v>NA</v>
      </c>
      <c r="C277" t="str">
        <f t="shared" si="16"/>
        <v>NA</v>
      </c>
      <c r="D277" s="64" t="e">
        <f t="shared" si="17"/>
        <v>#VALUE!</v>
      </c>
      <c r="E277" s="64" t="e">
        <f>Tableau7[[#This Row],[Mensualité]]-Tableau7[[#This Row],[Intérêts]]</f>
        <v>#VALUE!</v>
      </c>
      <c r="F277" s="64" t="e">
        <f>$G$4-Tableau7[[#This Row],[Mensualité]]-Tableau7[[#This Row],[Intérêts]]</f>
        <v>#VALUE!</v>
      </c>
    </row>
    <row r="278" spans="2:6" x14ac:dyDescent="0.25">
      <c r="B278" s="67" t="str">
        <f t="shared" si="15"/>
        <v>NA</v>
      </c>
      <c r="C278" t="str">
        <f t="shared" si="16"/>
        <v>NA</v>
      </c>
      <c r="D278" s="64" t="e">
        <f t="shared" si="17"/>
        <v>#VALUE!</v>
      </c>
      <c r="E278" s="64" t="e">
        <f>Tableau7[[#This Row],[Mensualité]]-Tableau7[[#This Row],[Intérêts]]</f>
        <v>#VALUE!</v>
      </c>
      <c r="F278" s="64" t="e">
        <f>$G$4-Tableau7[[#This Row],[Mensualité]]-Tableau7[[#This Row],[Intérêts]]</f>
        <v>#VALUE!</v>
      </c>
    </row>
    <row r="279" spans="2:6" x14ac:dyDescent="0.25">
      <c r="B279" s="67" t="str">
        <f t="shared" si="15"/>
        <v>NA</v>
      </c>
      <c r="C279" t="str">
        <f t="shared" si="16"/>
        <v>NA</v>
      </c>
      <c r="D279" s="64" t="e">
        <f t="shared" si="17"/>
        <v>#VALUE!</v>
      </c>
      <c r="E279" s="64" t="e">
        <f>Tableau7[[#This Row],[Mensualité]]-Tableau7[[#This Row],[Intérêts]]</f>
        <v>#VALUE!</v>
      </c>
      <c r="F279" s="64" t="e">
        <f>$G$4-Tableau7[[#This Row],[Mensualité]]-Tableau7[[#This Row],[Intérêts]]</f>
        <v>#VALUE!</v>
      </c>
    </row>
    <row r="280" spans="2:6" x14ac:dyDescent="0.25">
      <c r="B280" s="67" t="str">
        <f t="shared" si="15"/>
        <v>NA</v>
      </c>
      <c r="C280" t="str">
        <f t="shared" si="16"/>
        <v>NA</v>
      </c>
      <c r="D280" s="64" t="e">
        <f t="shared" si="17"/>
        <v>#VALUE!</v>
      </c>
      <c r="E280" s="64" t="e">
        <f>Tableau7[[#This Row],[Mensualité]]-Tableau7[[#This Row],[Intérêts]]</f>
        <v>#VALUE!</v>
      </c>
      <c r="F280" s="64" t="e">
        <f>$G$4-Tableau7[[#This Row],[Mensualité]]-Tableau7[[#This Row],[Intérêts]]</f>
        <v>#VALUE!</v>
      </c>
    </row>
    <row r="281" spans="2:6" x14ac:dyDescent="0.25">
      <c r="B281" s="67" t="str">
        <f t="shared" si="15"/>
        <v>NA</v>
      </c>
      <c r="C281" t="str">
        <f t="shared" si="16"/>
        <v>NA</v>
      </c>
      <c r="D281" s="64" t="e">
        <f t="shared" si="17"/>
        <v>#VALUE!</v>
      </c>
      <c r="E281" s="64" t="e">
        <f>Tableau7[[#This Row],[Mensualité]]-Tableau7[[#This Row],[Intérêts]]</f>
        <v>#VALUE!</v>
      </c>
      <c r="F281" s="64" t="e">
        <f>$G$4-Tableau7[[#This Row],[Mensualité]]-Tableau7[[#This Row],[Intérêts]]</f>
        <v>#VALUE!</v>
      </c>
    </row>
    <row r="282" spans="2:6" x14ac:dyDescent="0.25">
      <c r="B282" s="67" t="str">
        <f t="shared" si="15"/>
        <v>NA</v>
      </c>
      <c r="C282" t="str">
        <f t="shared" si="16"/>
        <v>NA</v>
      </c>
      <c r="D282" s="64" t="e">
        <f t="shared" si="17"/>
        <v>#VALUE!</v>
      </c>
      <c r="E282" s="64" t="e">
        <f>Tableau7[[#This Row],[Mensualité]]-Tableau7[[#This Row],[Intérêts]]</f>
        <v>#VALUE!</v>
      </c>
      <c r="F282" s="64" t="e">
        <f>$G$4-Tableau7[[#This Row],[Mensualité]]-Tableau7[[#This Row],[Intérêts]]</f>
        <v>#VALUE!</v>
      </c>
    </row>
    <row r="283" spans="2:6" x14ac:dyDescent="0.25">
      <c r="B283" s="67" t="str">
        <f t="shared" si="15"/>
        <v>NA</v>
      </c>
      <c r="C283" t="str">
        <f t="shared" si="16"/>
        <v>NA</v>
      </c>
      <c r="D283" s="64" t="e">
        <f t="shared" si="17"/>
        <v>#VALUE!</v>
      </c>
      <c r="E283" s="64" t="e">
        <f>Tableau7[[#This Row],[Mensualité]]-Tableau7[[#This Row],[Intérêts]]</f>
        <v>#VALUE!</v>
      </c>
      <c r="F283" s="64" t="e">
        <f>$G$4-Tableau7[[#This Row],[Mensualité]]-Tableau7[[#This Row],[Intérêts]]</f>
        <v>#VALUE!</v>
      </c>
    </row>
    <row r="284" spans="2:6" x14ac:dyDescent="0.25">
      <c r="B284" s="67" t="str">
        <f t="shared" si="15"/>
        <v>NA</v>
      </c>
      <c r="C284" t="str">
        <f t="shared" si="16"/>
        <v>NA</v>
      </c>
      <c r="D284" s="64" t="e">
        <f t="shared" si="17"/>
        <v>#VALUE!</v>
      </c>
      <c r="E284" s="64" t="e">
        <f>Tableau7[[#This Row],[Mensualité]]-Tableau7[[#This Row],[Intérêts]]</f>
        <v>#VALUE!</v>
      </c>
      <c r="F284" s="64" t="e">
        <f>$G$4-Tableau7[[#This Row],[Mensualité]]-Tableau7[[#This Row],[Intérêts]]</f>
        <v>#VALUE!</v>
      </c>
    </row>
    <row r="285" spans="2:6" x14ac:dyDescent="0.25">
      <c r="B285" s="67" t="str">
        <f t="shared" si="15"/>
        <v>NA</v>
      </c>
      <c r="C285" t="str">
        <f t="shared" si="16"/>
        <v>NA</v>
      </c>
      <c r="D285" s="64" t="e">
        <f t="shared" si="17"/>
        <v>#VALUE!</v>
      </c>
      <c r="E285" s="64" t="e">
        <f>Tableau7[[#This Row],[Mensualité]]-Tableau7[[#This Row],[Intérêts]]</f>
        <v>#VALUE!</v>
      </c>
      <c r="F285" s="64" t="e">
        <f>$G$4-Tableau7[[#This Row],[Mensualité]]-Tableau7[[#This Row],[Intérêts]]</f>
        <v>#VALUE!</v>
      </c>
    </row>
    <row r="286" spans="2:6" x14ac:dyDescent="0.25">
      <c r="B286" s="67" t="str">
        <f t="shared" si="15"/>
        <v>NA</v>
      </c>
      <c r="C286" t="str">
        <f t="shared" si="16"/>
        <v>NA</v>
      </c>
      <c r="D286" s="64" t="e">
        <f t="shared" si="17"/>
        <v>#VALUE!</v>
      </c>
      <c r="E286" s="64" t="e">
        <f>Tableau7[[#This Row],[Mensualité]]-Tableau7[[#This Row],[Intérêts]]</f>
        <v>#VALUE!</v>
      </c>
      <c r="F286" s="64" t="e">
        <f>$G$4-Tableau7[[#This Row],[Mensualité]]-Tableau7[[#This Row],[Intérêts]]</f>
        <v>#VALUE!</v>
      </c>
    </row>
    <row r="287" spans="2:6" x14ac:dyDescent="0.25">
      <c r="B287" s="67" t="str">
        <f t="shared" si="15"/>
        <v>NA</v>
      </c>
      <c r="C287" t="str">
        <f t="shared" si="16"/>
        <v>NA</v>
      </c>
      <c r="D287" s="64" t="e">
        <f t="shared" si="17"/>
        <v>#VALUE!</v>
      </c>
      <c r="E287" s="64" t="e">
        <f>Tableau7[[#This Row],[Mensualité]]-Tableau7[[#This Row],[Intérêts]]</f>
        <v>#VALUE!</v>
      </c>
      <c r="F287" s="64" t="e">
        <f>$G$4-Tableau7[[#This Row],[Mensualité]]-Tableau7[[#This Row],[Intérêts]]</f>
        <v>#VALUE!</v>
      </c>
    </row>
    <row r="288" spans="2:6" x14ac:dyDescent="0.25">
      <c r="B288" s="67" t="str">
        <f t="shared" si="15"/>
        <v>NA</v>
      </c>
      <c r="C288" t="str">
        <f t="shared" si="16"/>
        <v>NA</v>
      </c>
      <c r="D288" s="64" t="e">
        <f t="shared" si="17"/>
        <v>#VALUE!</v>
      </c>
      <c r="E288" s="64" t="e">
        <f>Tableau7[[#This Row],[Mensualité]]-Tableau7[[#This Row],[Intérêts]]</f>
        <v>#VALUE!</v>
      </c>
      <c r="F288" s="64" t="e">
        <f>$G$4-Tableau7[[#This Row],[Mensualité]]-Tableau7[[#This Row],[Intérêts]]</f>
        <v>#VALUE!</v>
      </c>
    </row>
    <row r="289" spans="2:6" x14ac:dyDescent="0.25">
      <c r="B289" s="67" t="str">
        <f t="shared" si="15"/>
        <v>NA</v>
      </c>
      <c r="C289" t="str">
        <f t="shared" si="16"/>
        <v>NA</v>
      </c>
      <c r="D289" s="64" t="e">
        <f t="shared" si="17"/>
        <v>#VALUE!</v>
      </c>
      <c r="E289" s="64" t="e">
        <f>Tableau7[[#This Row],[Mensualité]]-Tableau7[[#This Row],[Intérêts]]</f>
        <v>#VALUE!</v>
      </c>
      <c r="F289" s="64" t="e">
        <f>$G$4-Tableau7[[#This Row],[Mensualité]]-Tableau7[[#This Row],[Intérêts]]</f>
        <v>#VALUE!</v>
      </c>
    </row>
    <row r="290" spans="2:6" x14ac:dyDescent="0.25">
      <c r="B290" s="67" t="str">
        <f t="shared" si="15"/>
        <v>NA</v>
      </c>
      <c r="C290" t="str">
        <f t="shared" si="16"/>
        <v>NA</v>
      </c>
      <c r="D290" s="64" t="e">
        <f t="shared" si="17"/>
        <v>#VALUE!</v>
      </c>
      <c r="E290" s="64" t="e">
        <f>Tableau7[[#This Row],[Mensualité]]-Tableau7[[#This Row],[Intérêts]]</f>
        <v>#VALUE!</v>
      </c>
      <c r="F290" s="64" t="e">
        <f>$G$4-Tableau7[[#This Row],[Mensualité]]-Tableau7[[#This Row],[Intérêts]]</f>
        <v>#VALUE!</v>
      </c>
    </row>
    <row r="291" spans="2:6" x14ac:dyDescent="0.25">
      <c r="B291" s="67" t="str">
        <f t="shared" si="15"/>
        <v>NA</v>
      </c>
      <c r="C291" t="str">
        <f t="shared" si="16"/>
        <v>NA</v>
      </c>
      <c r="D291" s="64" t="e">
        <f t="shared" si="17"/>
        <v>#VALUE!</v>
      </c>
      <c r="E291" s="64" t="e">
        <f>Tableau7[[#This Row],[Mensualité]]-Tableau7[[#This Row],[Intérêts]]</f>
        <v>#VALUE!</v>
      </c>
      <c r="F291" s="64" t="e">
        <f>$G$4-Tableau7[[#This Row],[Mensualité]]-Tableau7[[#This Row],[Intérêts]]</f>
        <v>#VALUE!</v>
      </c>
    </row>
    <row r="292" spans="2:6" x14ac:dyDescent="0.25">
      <c r="B292" s="67" t="str">
        <f t="shared" si="15"/>
        <v>NA</v>
      </c>
      <c r="C292" t="str">
        <f t="shared" si="16"/>
        <v>NA</v>
      </c>
      <c r="D292" s="64" t="e">
        <f t="shared" si="17"/>
        <v>#VALUE!</v>
      </c>
      <c r="E292" s="64" t="e">
        <f>Tableau7[[#This Row],[Mensualité]]-Tableau7[[#This Row],[Intérêts]]</f>
        <v>#VALUE!</v>
      </c>
      <c r="F292" s="64" t="e">
        <f>$G$4-Tableau7[[#This Row],[Mensualité]]-Tableau7[[#This Row],[Intérêts]]</f>
        <v>#VALUE!</v>
      </c>
    </row>
    <row r="293" spans="2:6" x14ac:dyDescent="0.25">
      <c r="B293" s="67" t="str">
        <f t="shared" si="15"/>
        <v>NA</v>
      </c>
      <c r="C293" t="str">
        <f t="shared" si="16"/>
        <v>NA</v>
      </c>
      <c r="D293" s="64" t="e">
        <f t="shared" si="17"/>
        <v>#VALUE!</v>
      </c>
      <c r="E293" s="64" t="e">
        <f>Tableau7[[#This Row],[Mensualité]]-Tableau7[[#This Row],[Intérêts]]</f>
        <v>#VALUE!</v>
      </c>
      <c r="F293" s="64" t="e">
        <f>$G$4-Tableau7[[#This Row],[Mensualité]]-Tableau7[[#This Row],[Intérêts]]</f>
        <v>#VALUE!</v>
      </c>
    </row>
    <row r="294" spans="2:6" x14ac:dyDescent="0.25">
      <c r="B294" s="67" t="str">
        <f t="shared" si="15"/>
        <v>NA</v>
      </c>
      <c r="C294" t="str">
        <f t="shared" si="16"/>
        <v>NA</v>
      </c>
      <c r="D294" s="64" t="e">
        <f t="shared" si="17"/>
        <v>#VALUE!</v>
      </c>
      <c r="E294" s="64" t="e">
        <f>Tableau7[[#This Row],[Mensualité]]-Tableau7[[#This Row],[Intérêts]]</f>
        <v>#VALUE!</v>
      </c>
      <c r="F294" s="64" t="e">
        <f>$G$4-Tableau7[[#This Row],[Mensualité]]-Tableau7[[#This Row],[Intérêts]]</f>
        <v>#VALUE!</v>
      </c>
    </row>
    <row r="295" spans="2:6" x14ac:dyDescent="0.25">
      <c r="B295" s="67" t="str">
        <f t="shared" si="15"/>
        <v>NA</v>
      </c>
      <c r="C295" t="str">
        <f t="shared" si="16"/>
        <v>NA</v>
      </c>
      <c r="D295" s="64" t="e">
        <f t="shared" si="17"/>
        <v>#VALUE!</v>
      </c>
      <c r="E295" s="64" t="e">
        <f>Tableau7[[#This Row],[Mensualité]]-Tableau7[[#This Row],[Intérêts]]</f>
        <v>#VALUE!</v>
      </c>
      <c r="F295" s="64" t="e">
        <f>$G$4-Tableau7[[#This Row],[Mensualité]]-Tableau7[[#This Row],[Intérêts]]</f>
        <v>#VALUE!</v>
      </c>
    </row>
    <row r="296" spans="2:6" x14ac:dyDescent="0.25">
      <c r="B296" s="67" t="str">
        <f t="shared" si="15"/>
        <v>NA</v>
      </c>
      <c r="C296" t="str">
        <f t="shared" si="16"/>
        <v>NA</v>
      </c>
      <c r="D296" s="64" t="e">
        <f t="shared" si="17"/>
        <v>#VALUE!</v>
      </c>
      <c r="E296" s="64" t="e">
        <f>Tableau7[[#This Row],[Mensualité]]-Tableau7[[#This Row],[Intérêts]]</f>
        <v>#VALUE!</v>
      </c>
      <c r="F296" s="64" t="e">
        <f>$G$4-Tableau7[[#This Row],[Mensualité]]-Tableau7[[#This Row],[Intérêts]]</f>
        <v>#VALUE!</v>
      </c>
    </row>
    <row r="297" spans="2:6" x14ac:dyDescent="0.25">
      <c r="B297" s="67" t="str">
        <f t="shared" si="15"/>
        <v>NA</v>
      </c>
      <c r="C297" t="str">
        <f t="shared" si="16"/>
        <v>NA</v>
      </c>
      <c r="D297" s="64" t="e">
        <f t="shared" si="17"/>
        <v>#VALUE!</v>
      </c>
      <c r="E297" s="64" t="e">
        <f>Tableau7[[#This Row],[Mensualité]]-Tableau7[[#This Row],[Intérêts]]</f>
        <v>#VALUE!</v>
      </c>
      <c r="F297" s="64" t="e">
        <f>$G$4-Tableau7[[#This Row],[Mensualité]]-Tableau7[[#This Row],[Intérêts]]</f>
        <v>#VALUE!</v>
      </c>
    </row>
    <row r="298" spans="2:6" x14ac:dyDescent="0.25">
      <c r="B298" s="67" t="str">
        <f t="shared" si="15"/>
        <v>NA</v>
      </c>
      <c r="C298" t="str">
        <f t="shared" si="16"/>
        <v>NA</v>
      </c>
      <c r="D298" s="64" t="e">
        <f t="shared" si="17"/>
        <v>#VALUE!</v>
      </c>
      <c r="E298" s="64" t="e">
        <f>Tableau7[[#This Row],[Mensualité]]-Tableau7[[#This Row],[Intérêts]]</f>
        <v>#VALUE!</v>
      </c>
      <c r="F298" s="64" t="e">
        <f>$G$4-Tableau7[[#This Row],[Mensualité]]-Tableau7[[#This Row],[Intérêts]]</f>
        <v>#VALUE!</v>
      </c>
    </row>
    <row r="299" spans="2:6" x14ac:dyDescent="0.25">
      <c r="B299" s="67" t="str">
        <f t="shared" ref="B299:B362" si="18">$D$4</f>
        <v>NA</v>
      </c>
      <c r="C299" t="str">
        <f t="shared" ref="C299:C362" si="19">$H$4</f>
        <v>NA</v>
      </c>
      <c r="D299" s="64" t="e">
        <f t="shared" ref="D299:D362" si="20">G292*F292/12</f>
        <v>#VALUE!</v>
      </c>
      <c r="E299" s="64" t="e">
        <f>Tableau7[[#This Row],[Mensualité]]-Tableau7[[#This Row],[Intérêts]]</f>
        <v>#VALUE!</v>
      </c>
      <c r="F299" s="64" t="e">
        <f>$G$4-Tableau7[[#This Row],[Mensualité]]-Tableau7[[#This Row],[Intérêts]]</f>
        <v>#VALUE!</v>
      </c>
    </row>
    <row r="300" spans="2:6" x14ac:dyDescent="0.25">
      <c r="B300" s="67" t="str">
        <f t="shared" si="18"/>
        <v>NA</v>
      </c>
      <c r="C300" t="str">
        <f t="shared" si="19"/>
        <v>NA</v>
      </c>
      <c r="D300" s="64" t="e">
        <f t="shared" si="20"/>
        <v>#VALUE!</v>
      </c>
      <c r="E300" s="64" t="e">
        <f>Tableau7[[#This Row],[Mensualité]]-Tableau7[[#This Row],[Intérêts]]</f>
        <v>#VALUE!</v>
      </c>
      <c r="F300" s="64" t="e">
        <f>$G$4-Tableau7[[#This Row],[Mensualité]]-Tableau7[[#This Row],[Intérêts]]</f>
        <v>#VALUE!</v>
      </c>
    </row>
    <row r="301" spans="2:6" x14ac:dyDescent="0.25">
      <c r="B301" s="67" t="str">
        <f t="shared" si="18"/>
        <v>NA</v>
      </c>
      <c r="C301" t="str">
        <f t="shared" si="19"/>
        <v>NA</v>
      </c>
      <c r="D301" s="64" t="e">
        <f t="shared" si="20"/>
        <v>#VALUE!</v>
      </c>
      <c r="E301" s="64" t="e">
        <f>Tableau7[[#This Row],[Mensualité]]-Tableau7[[#This Row],[Intérêts]]</f>
        <v>#VALUE!</v>
      </c>
      <c r="F301" s="64" t="e">
        <f>$G$4-Tableau7[[#This Row],[Mensualité]]-Tableau7[[#This Row],[Intérêts]]</f>
        <v>#VALUE!</v>
      </c>
    </row>
    <row r="302" spans="2:6" x14ac:dyDescent="0.25">
      <c r="B302" s="67" t="str">
        <f t="shared" si="18"/>
        <v>NA</v>
      </c>
      <c r="C302" t="str">
        <f t="shared" si="19"/>
        <v>NA</v>
      </c>
      <c r="D302" s="64" t="e">
        <f t="shared" si="20"/>
        <v>#VALUE!</v>
      </c>
      <c r="E302" s="64" t="e">
        <f>Tableau7[[#This Row],[Mensualité]]-Tableau7[[#This Row],[Intérêts]]</f>
        <v>#VALUE!</v>
      </c>
      <c r="F302" s="64" t="e">
        <f>$G$4-Tableau7[[#This Row],[Mensualité]]-Tableau7[[#This Row],[Intérêts]]</f>
        <v>#VALUE!</v>
      </c>
    </row>
    <row r="303" spans="2:6" x14ac:dyDescent="0.25">
      <c r="B303" s="67" t="str">
        <f t="shared" si="18"/>
        <v>NA</v>
      </c>
      <c r="C303" t="str">
        <f t="shared" si="19"/>
        <v>NA</v>
      </c>
      <c r="D303" s="64" t="e">
        <f t="shared" si="20"/>
        <v>#VALUE!</v>
      </c>
      <c r="E303" s="64" t="e">
        <f>Tableau7[[#This Row],[Mensualité]]-Tableau7[[#This Row],[Intérêts]]</f>
        <v>#VALUE!</v>
      </c>
      <c r="F303" s="64" t="e">
        <f>$G$4-Tableau7[[#This Row],[Mensualité]]-Tableau7[[#This Row],[Intérêts]]</f>
        <v>#VALUE!</v>
      </c>
    </row>
    <row r="304" spans="2:6" x14ac:dyDescent="0.25">
      <c r="B304" s="67" t="str">
        <f t="shared" si="18"/>
        <v>NA</v>
      </c>
      <c r="C304" t="str">
        <f t="shared" si="19"/>
        <v>NA</v>
      </c>
      <c r="D304" s="64" t="e">
        <f t="shared" si="20"/>
        <v>#VALUE!</v>
      </c>
      <c r="E304" s="64" t="e">
        <f>Tableau7[[#This Row],[Mensualité]]-Tableau7[[#This Row],[Intérêts]]</f>
        <v>#VALUE!</v>
      </c>
      <c r="F304" s="64" t="e">
        <f>$G$4-Tableau7[[#This Row],[Mensualité]]-Tableau7[[#This Row],[Intérêts]]</f>
        <v>#VALUE!</v>
      </c>
    </row>
    <row r="305" spans="2:6" x14ac:dyDescent="0.25">
      <c r="B305" s="67" t="str">
        <f t="shared" si="18"/>
        <v>NA</v>
      </c>
      <c r="C305" t="str">
        <f t="shared" si="19"/>
        <v>NA</v>
      </c>
      <c r="D305" s="64" t="e">
        <f t="shared" si="20"/>
        <v>#VALUE!</v>
      </c>
      <c r="E305" s="64" t="e">
        <f>Tableau7[[#This Row],[Mensualité]]-Tableau7[[#This Row],[Intérêts]]</f>
        <v>#VALUE!</v>
      </c>
      <c r="F305" s="64" t="e">
        <f>$G$4-Tableau7[[#This Row],[Mensualité]]-Tableau7[[#This Row],[Intérêts]]</f>
        <v>#VALUE!</v>
      </c>
    </row>
    <row r="306" spans="2:6" x14ac:dyDescent="0.25">
      <c r="B306" s="67" t="str">
        <f t="shared" si="18"/>
        <v>NA</v>
      </c>
      <c r="C306" t="str">
        <f t="shared" si="19"/>
        <v>NA</v>
      </c>
      <c r="D306" s="64" t="e">
        <f t="shared" si="20"/>
        <v>#VALUE!</v>
      </c>
      <c r="E306" s="64" t="e">
        <f>Tableau7[[#This Row],[Mensualité]]-Tableau7[[#This Row],[Intérêts]]</f>
        <v>#VALUE!</v>
      </c>
      <c r="F306" s="64" t="e">
        <f>$G$4-Tableau7[[#This Row],[Mensualité]]-Tableau7[[#This Row],[Intérêts]]</f>
        <v>#VALUE!</v>
      </c>
    </row>
    <row r="307" spans="2:6" x14ac:dyDescent="0.25">
      <c r="B307" s="67" t="str">
        <f t="shared" si="18"/>
        <v>NA</v>
      </c>
      <c r="C307" t="str">
        <f t="shared" si="19"/>
        <v>NA</v>
      </c>
      <c r="D307" s="64" t="e">
        <f t="shared" si="20"/>
        <v>#VALUE!</v>
      </c>
      <c r="E307" s="64" t="e">
        <f>Tableau7[[#This Row],[Mensualité]]-Tableau7[[#This Row],[Intérêts]]</f>
        <v>#VALUE!</v>
      </c>
      <c r="F307" s="64" t="e">
        <f>$G$4-Tableau7[[#This Row],[Mensualité]]-Tableau7[[#This Row],[Intérêts]]</f>
        <v>#VALUE!</v>
      </c>
    </row>
    <row r="308" spans="2:6" x14ac:dyDescent="0.25">
      <c r="B308" s="67" t="str">
        <f t="shared" si="18"/>
        <v>NA</v>
      </c>
      <c r="C308" t="str">
        <f t="shared" si="19"/>
        <v>NA</v>
      </c>
      <c r="D308" s="64" t="e">
        <f t="shared" si="20"/>
        <v>#VALUE!</v>
      </c>
      <c r="E308" s="64" t="e">
        <f>Tableau7[[#This Row],[Mensualité]]-Tableau7[[#This Row],[Intérêts]]</f>
        <v>#VALUE!</v>
      </c>
      <c r="F308" s="64" t="e">
        <f>$G$4-Tableau7[[#This Row],[Mensualité]]-Tableau7[[#This Row],[Intérêts]]</f>
        <v>#VALUE!</v>
      </c>
    </row>
    <row r="309" spans="2:6" x14ac:dyDescent="0.25">
      <c r="B309" s="67" t="str">
        <f t="shared" si="18"/>
        <v>NA</v>
      </c>
      <c r="C309" t="str">
        <f t="shared" si="19"/>
        <v>NA</v>
      </c>
      <c r="D309" s="64" t="e">
        <f t="shared" si="20"/>
        <v>#VALUE!</v>
      </c>
      <c r="E309" s="64" t="e">
        <f>Tableau7[[#This Row],[Mensualité]]-Tableau7[[#This Row],[Intérêts]]</f>
        <v>#VALUE!</v>
      </c>
      <c r="F309" s="64" t="e">
        <f>$G$4-Tableau7[[#This Row],[Mensualité]]-Tableau7[[#This Row],[Intérêts]]</f>
        <v>#VALUE!</v>
      </c>
    </row>
    <row r="310" spans="2:6" x14ac:dyDescent="0.25">
      <c r="B310" s="67" t="str">
        <f t="shared" si="18"/>
        <v>NA</v>
      </c>
      <c r="C310" t="str">
        <f t="shared" si="19"/>
        <v>NA</v>
      </c>
      <c r="D310" s="64" t="e">
        <f t="shared" si="20"/>
        <v>#VALUE!</v>
      </c>
      <c r="E310" s="64" t="e">
        <f>Tableau7[[#This Row],[Mensualité]]-Tableau7[[#This Row],[Intérêts]]</f>
        <v>#VALUE!</v>
      </c>
      <c r="F310" s="64" t="e">
        <f>$G$4-Tableau7[[#This Row],[Mensualité]]-Tableau7[[#This Row],[Intérêts]]</f>
        <v>#VALUE!</v>
      </c>
    </row>
    <row r="311" spans="2:6" x14ac:dyDescent="0.25">
      <c r="B311" s="67" t="str">
        <f t="shared" si="18"/>
        <v>NA</v>
      </c>
      <c r="C311" t="str">
        <f t="shared" si="19"/>
        <v>NA</v>
      </c>
      <c r="D311" s="64" t="e">
        <f t="shared" si="20"/>
        <v>#VALUE!</v>
      </c>
      <c r="E311" s="64" t="e">
        <f>Tableau7[[#This Row],[Mensualité]]-Tableau7[[#This Row],[Intérêts]]</f>
        <v>#VALUE!</v>
      </c>
      <c r="F311" s="64" t="e">
        <f>$G$4-Tableau7[[#This Row],[Mensualité]]-Tableau7[[#This Row],[Intérêts]]</f>
        <v>#VALUE!</v>
      </c>
    </row>
    <row r="312" spans="2:6" x14ac:dyDescent="0.25">
      <c r="B312" s="67" t="str">
        <f t="shared" si="18"/>
        <v>NA</v>
      </c>
      <c r="C312" t="str">
        <f t="shared" si="19"/>
        <v>NA</v>
      </c>
      <c r="D312" s="64" t="e">
        <f t="shared" si="20"/>
        <v>#VALUE!</v>
      </c>
      <c r="E312" s="64" t="e">
        <f>Tableau7[[#This Row],[Mensualité]]-Tableau7[[#This Row],[Intérêts]]</f>
        <v>#VALUE!</v>
      </c>
      <c r="F312" s="64" t="e">
        <f>$G$4-Tableau7[[#This Row],[Mensualité]]-Tableau7[[#This Row],[Intérêts]]</f>
        <v>#VALUE!</v>
      </c>
    </row>
    <row r="313" spans="2:6" x14ac:dyDescent="0.25">
      <c r="B313" s="67" t="str">
        <f t="shared" si="18"/>
        <v>NA</v>
      </c>
      <c r="C313" t="str">
        <f t="shared" si="19"/>
        <v>NA</v>
      </c>
      <c r="D313" s="64" t="e">
        <f t="shared" si="20"/>
        <v>#VALUE!</v>
      </c>
      <c r="E313" s="64" t="e">
        <f>Tableau7[[#This Row],[Mensualité]]-Tableau7[[#This Row],[Intérêts]]</f>
        <v>#VALUE!</v>
      </c>
      <c r="F313" s="64" t="e">
        <f>$G$4-Tableau7[[#This Row],[Mensualité]]-Tableau7[[#This Row],[Intérêts]]</f>
        <v>#VALUE!</v>
      </c>
    </row>
    <row r="314" spans="2:6" x14ac:dyDescent="0.25">
      <c r="B314" s="67" t="str">
        <f t="shared" si="18"/>
        <v>NA</v>
      </c>
      <c r="C314" t="str">
        <f t="shared" si="19"/>
        <v>NA</v>
      </c>
      <c r="D314" s="64" t="e">
        <f t="shared" si="20"/>
        <v>#VALUE!</v>
      </c>
      <c r="E314" s="64" t="e">
        <f>Tableau7[[#This Row],[Mensualité]]-Tableau7[[#This Row],[Intérêts]]</f>
        <v>#VALUE!</v>
      </c>
      <c r="F314" s="64" t="e">
        <f>$G$4-Tableau7[[#This Row],[Mensualité]]-Tableau7[[#This Row],[Intérêts]]</f>
        <v>#VALUE!</v>
      </c>
    </row>
    <row r="315" spans="2:6" x14ac:dyDescent="0.25">
      <c r="B315" s="67" t="str">
        <f t="shared" si="18"/>
        <v>NA</v>
      </c>
      <c r="C315" t="str">
        <f t="shared" si="19"/>
        <v>NA</v>
      </c>
      <c r="D315" s="64" t="e">
        <f t="shared" si="20"/>
        <v>#VALUE!</v>
      </c>
      <c r="E315" s="64" t="e">
        <f>Tableau7[[#This Row],[Mensualité]]-Tableau7[[#This Row],[Intérêts]]</f>
        <v>#VALUE!</v>
      </c>
      <c r="F315" s="64" t="e">
        <f>$G$4-Tableau7[[#This Row],[Mensualité]]-Tableau7[[#This Row],[Intérêts]]</f>
        <v>#VALUE!</v>
      </c>
    </row>
    <row r="316" spans="2:6" x14ac:dyDescent="0.25">
      <c r="B316" s="67" t="str">
        <f t="shared" si="18"/>
        <v>NA</v>
      </c>
      <c r="C316" t="str">
        <f t="shared" si="19"/>
        <v>NA</v>
      </c>
      <c r="D316" s="64" t="e">
        <f t="shared" si="20"/>
        <v>#VALUE!</v>
      </c>
      <c r="E316" s="64" t="e">
        <f>Tableau7[[#This Row],[Mensualité]]-Tableau7[[#This Row],[Intérêts]]</f>
        <v>#VALUE!</v>
      </c>
      <c r="F316" s="64" t="e">
        <f>$G$4-Tableau7[[#This Row],[Mensualité]]-Tableau7[[#This Row],[Intérêts]]</f>
        <v>#VALUE!</v>
      </c>
    </row>
    <row r="317" spans="2:6" x14ac:dyDescent="0.25">
      <c r="B317" s="67" t="str">
        <f t="shared" si="18"/>
        <v>NA</v>
      </c>
      <c r="C317" t="str">
        <f t="shared" si="19"/>
        <v>NA</v>
      </c>
      <c r="D317" s="64" t="e">
        <f t="shared" si="20"/>
        <v>#VALUE!</v>
      </c>
      <c r="E317" s="64" t="e">
        <f>Tableau7[[#This Row],[Mensualité]]-Tableau7[[#This Row],[Intérêts]]</f>
        <v>#VALUE!</v>
      </c>
      <c r="F317" s="64" t="e">
        <f>$G$4-Tableau7[[#This Row],[Mensualité]]-Tableau7[[#This Row],[Intérêts]]</f>
        <v>#VALUE!</v>
      </c>
    </row>
    <row r="318" spans="2:6" x14ac:dyDescent="0.25">
      <c r="B318" s="67" t="str">
        <f t="shared" si="18"/>
        <v>NA</v>
      </c>
      <c r="C318" t="str">
        <f t="shared" si="19"/>
        <v>NA</v>
      </c>
      <c r="D318" s="64" t="e">
        <f t="shared" si="20"/>
        <v>#VALUE!</v>
      </c>
      <c r="E318" s="64" t="e">
        <f>Tableau7[[#This Row],[Mensualité]]-Tableau7[[#This Row],[Intérêts]]</f>
        <v>#VALUE!</v>
      </c>
      <c r="F318" s="64" t="e">
        <f>$G$4-Tableau7[[#This Row],[Mensualité]]-Tableau7[[#This Row],[Intérêts]]</f>
        <v>#VALUE!</v>
      </c>
    </row>
    <row r="319" spans="2:6" x14ac:dyDescent="0.25">
      <c r="B319" s="67" t="str">
        <f t="shared" si="18"/>
        <v>NA</v>
      </c>
      <c r="C319" t="str">
        <f t="shared" si="19"/>
        <v>NA</v>
      </c>
      <c r="D319" s="64" t="e">
        <f t="shared" si="20"/>
        <v>#VALUE!</v>
      </c>
      <c r="E319" s="64" t="e">
        <f>Tableau7[[#This Row],[Mensualité]]-Tableau7[[#This Row],[Intérêts]]</f>
        <v>#VALUE!</v>
      </c>
      <c r="F319" s="64" t="e">
        <f>$G$4-Tableau7[[#This Row],[Mensualité]]-Tableau7[[#This Row],[Intérêts]]</f>
        <v>#VALUE!</v>
      </c>
    </row>
    <row r="320" spans="2:6" x14ac:dyDescent="0.25">
      <c r="B320" s="67" t="str">
        <f t="shared" si="18"/>
        <v>NA</v>
      </c>
      <c r="C320" t="str">
        <f t="shared" si="19"/>
        <v>NA</v>
      </c>
      <c r="D320" s="64" t="e">
        <f t="shared" si="20"/>
        <v>#VALUE!</v>
      </c>
      <c r="E320" s="64" t="e">
        <f>Tableau7[[#This Row],[Mensualité]]-Tableau7[[#This Row],[Intérêts]]</f>
        <v>#VALUE!</v>
      </c>
      <c r="F320" s="64" t="e">
        <f>$G$4-Tableau7[[#This Row],[Mensualité]]-Tableau7[[#This Row],[Intérêts]]</f>
        <v>#VALUE!</v>
      </c>
    </row>
    <row r="321" spans="2:6" x14ac:dyDescent="0.25">
      <c r="B321" s="67" t="str">
        <f t="shared" si="18"/>
        <v>NA</v>
      </c>
      <c r="C321" t="str">
        <f t="shared" si="19"/>
        <v>NA</v>
      </c>
      <c r="D321" s="64" t="e">
        <f t="shared" si="20"/>
        <v>#VALUE!</v>
      </c>
      <c r="E321" s="64" t="e">
        <f>Tableau7[[#This Row],[Mensualité]]-Tableau7[[#This Row],[Intérêts]]</f>
        <v>#VALUE!</v>
      </c>
      <c r="F321" s="64" t="e">
        <f>$G$4-Tableau7[[#This Row],[Mensualité]]-Tableau7[[#This Row],[Intérêts]]</f>
        <v>#VALUE!</v>
      </c>
    </row>
    <row r="322" spans="2:6" x14ac:dyDescent="0.25">
      <c r="B322" s="67" t="str">
        <f t="shared" si="18"/>
        <v>NA</v>
      </c>
      <c r="C322" t="str">
        <f t="shared" si="19"/>
        <v>NA</v>
      </c>
      <c r="D322" s="64" t="e">
        <f t="shared" si="20"/>
        <v>#VALUE!</v>
      </c>
      <c r="E322" s="64" t="e">
        <f>Tableau7[[#This Row],[Mensualité]]-Tableau7[[#This Row],[Intérêts]]</f>
        <v>#VALUE!</v>
      </c>
      <c r="F322" s="64" t="e">
        <f>$G$4-Tableau7[[#This Row],[Mensualité]]-Tableau7[[#This Row],[Intérêts]]</f>
        <v>#VALUE!</v>
      </c>
    </row>
    <row r="323" spans="2:6" x14ac:dyDescent="0.25">
      <c r="B323" s="67" t="str">
        <f t="shared" si="18"/>
        <v>NA</v>
      </c>
      <c r="C323" t="str">
        <f t="shared" si="19"/>
        <v>NA</v>
      </c>
      <c r="D323" s="64" t="e">
        <f t="shared" si="20"/>
        <v>#VALUE!</v>
      </c>
      <c r="E323" s="64" t="e">
        <f>Tableau7[[#This Row],[Mensualité]]-Tableau7[[#This Row],[Intérêts]]</f>
        <v>#VALUE!</v>
      </c>
      <c r="F323" s="64" t="e">
        <f>$G$4-Tableau7[[#This Row],[Mensualité]]-Tableau7[[#This Row],[Intérêts]]</f>
        <v>#VALUE!</v>
      </c>
    </row>
    <row r="324" spans="2:6" x14ac:dyDescent="0.25">
      <c r="B324" s="67" t="str">
        <f t="shared" si="18"/>
        <v>NA</v>
      </c>
      <c r="C324" t="str">
        <f t="shared" si="19"/>
        <v>NA</v>
      </c>
      <c r="D324" s="64" t="e">
        <f t="shared" si="20"/>
        <v>#VALUE!</v>
      </c>
      <c r="E324" s="64" t="e">
        <f>Tableau7[[#This Row],[Mensualité]]-Tableau7[[#This Row],[Intérêts]]</f>
        <v>#VALUE!</v>
      </c>
      <c r="F324" s="64" t="e">
        <f>$G$4-Tableau7[[#This Row],[Mensualité]]-Tableau7[[#This Row],[Intérêts]]</f>
        <v>#VALUE!</v>
      </c>
    </row>
    <row r="325" spans="2:6" x14ac:dyDescent="0.25">
      <c r="B325" s="67" t="str">
        <f t="shared" si="18"/>
        <v>NA</v>
      </c>
      <c r="C325" t="str">
        <f t="shared" si="19"/>
        <v>NA</v>
      </c>
      <c r="D325" s="64" t="e">
        <f t="shared" si="20"/>
        <v>#VALUE!</v>
      </c>
      <c r="E325" s="64" t="e">
        <f>Tableau7[[#This Row],[Mensualité]]-Tableau7[[#This Row],[Intérêts]]</f>
        <v>#VALUE!</v>
      </c>
      <c r="F325" s="64" t="e">
        <f>$G$4-Tableau7[[#This Row],[Mensualité]]-Tableau7[[#This Row],[Intérêts]]</f>
        <v>#VALUE!</v>
      </c>
    </row>
    <row r="326" spans="2:6" x14ac:dyDescent="0.25">
      <c r="B326" s="67" t="str">
        <f t="shared" si="18"/>
        <v>NA</v>
      </c>
      <c r="C326" t="str">
        <f t="shared" si="19"/>
        <v>NA</v>
      </c>
      <c r="D326" s="64" t="e">
        <f t="shared" si="20"/>
        <v>#VALUE!</v>
      </c>
      <c r="E326" s="64" t="e">
        <f>Tableau7[[#This Row],[Mensualité]]-Tableau7[[#This Row],[Intérêts]]</f>
        <v>#VALUE!</v>
      </c>
      <c r="F326" s="64" t="e">
        <f>$G$4-Tableau7[[#This Row],[Mensualité]]-Tableau7[[#This Row],[Intérêts]]</f>
        <v>#VALUE!</v>
      </c>
    </row>
    <row r="327" spans="2:6" x14ac:dyDescent="0.25">
      <c r="B327" s="67" t="str">
        <f t="shared" si="18"/>
        <v>NA</v>
      </c>
      <c r="C327" t="str">
        <f t="shared" si="19"/>
        <v>NA</v>
      </c>
      <c r="D327" s="64" t="e">
        <f t="shared" si="20"/>
        <v>#VALUE!</v>
      </c>
      <c r="E327" s="64" t="e">
        <f>Tableau7[[#This Row],[Mensualité]]-Tableau7[[#This Row],[Intérêts]]</f>
        <v>#VALUE!</v>
      </c>
      <c r="F327" s="64" t="e">
        <f>$G$4-Tableau7[[#This Row],[Mensualité]]-Tableau7[[#This Row],[Intérêts]]</f>
        <v>#VALUE!</v>
      </c>
    </row>
    <row r="328" spans="2:6" x14ac:dyDescent="0.25">
      <c r="B328" s="67" t="str">
        <f t="shared" si="18"/>
        <v>NA</v>
      </c>
      <c r="C328" t="str">
        <f t="shared" si="19"/>
        <v>NA</v>
      </c>
      <c r="D328" s="64" t="e">
        <f t="shared" si="20"/>
        <v>#VALUE!</v>
      </c>
      <c r="E328" s="64" t="e">
        <f>Tableau7[[#This Row],[Mensualité]]-Tableau7[[#This Row],[Intérêts]]</f>
        <v>#VALUE!</v>
      </c>
      <c r="F328" s="64" t="e">
        <f>$G$4-Tableau7[[#This Row],[Mensualité]]-Tableau7[[#This Row],[Intérêts]]</f>
        <v>#VALUE!</v>
      </c>
    </row>
    <row r="329" spans="2:6" x14ac:dyDescent="0.25">
      <c r="B329" s="67" t="str">
        <f t="shared" si="18"/>
        <v>NA</v>
      </c>
      <c r="C329" t="str">
        <f t="shared" si="19"/>
        <v>NA</v>
      </c>
      <c r="D329" s="64" t="e">
        <f t="shared" si="20"/>
        <v>#VALUE!</v>
      </c>
      <c r="E329" s="64" t="e">
        <f>Tableau7[[#This Row],[Mensualité]]-Tableau7[[#This Row],[Intérêts]]</f>
        <v>#VALUE!</v>
      </c>
      <c r="F329" s="64" t="e">
        <f>$G$4-Tableau7[[#This Row],[Mensualité]]-Tableau7[[#This Row],[Intérêts]]</f>
        <v>#VALUE!</v>
      </c>
    </row>
    <row r="330" spans="2:6" x14ac:dyDescent="0.25">
      <c r="B330" s="67" t="str">
        <f t="shared" si="18"/>
        <v>NA</v>
      </c>
      <c r="C330" t="str">
        <f t="shared" si="19"/>
        <v>NA</v>
      </c>
      <c r="D330" s="64" t="e">
        <f t="shared" si="20"/>
        <v>#VALUE!</v>
      </c>
      <c r="E330" s="64" t="e">
        <f>Tableau7[[#This Row],[Mensualité]]-Tableau7[[#This Row],[Intérêts]]</f>
        <v>#VALUE!</v>
      </c>
      <c r="F330" s="64" t="e">
        <f>$G$4-Tableau7[[#This Row],[Mensualité]]-Tableau7[[#This Row],[Intérêts]]</f>
        <v>#VALUE!</v>
      </c>
    </row>
    <row r="331" spans="2:6" x14ac:dyDescent="0.25">
      <c r="B331" s="67" t="str">
        <f t="shared" si="18"/>
        <v>NA</v>
      </c>
      <c r="C331" t="str">
        <f t="shared" si="19"/>
        <v>NA</v>
      </c>
      <c r="D331" s="64" t="e">
        <f t="shared" si="20"/>
        <v>#VALUE!</v>
      </c>
      <c r="E331" s="64" t="e">
        <f>Tableau7[[#This Row],[Mensualité]]-Tableau7[[#This Row],[Intérêts]]</f>
        <v>#VALUE!</v>
      </c>
      <c r="F331" s="64" t="e">
        <f>$G$4-Tableau7[[#This Row],[Mensualité]]-Tableau7[[#This Row],[Intérêts]]</f>
        <v>#VALUE!</v>
      </c>
    </row>
    <row r="332" spans="2:6" x14ac:dyDescent="0.25">
      <c r="B332" s="67" t="str">
        <f t="shared" si="18"/>
        <v>NA</v>
      </c>
      <c r="C332" t="str">
        <f t="shared" si="19"/>
        <v>NA</v>
      </c>
      <c r="D332" s="64" t="e">
        <f t="shared" si="20"/>
        <v>#VALUE!</v>
      </c>
      <c r="E332" s="64" t="e">
        <f>Tableau7[[#This Row],[Mensualité]]-Tableau7[[#This Row],[Intérêts]]</f>
        <v>#VALUE!</v>
      </c>
      <c r="F332" s="64" t="e">
        <f>$G$4-Tableau7[[#This Row],[Mensualité]]-Tableau7[[#This Row],[Intérêts]]</f>
        <v>#VALUE!</v>
      </c>
    </row>
    <row r="333" spans="2:6" x14ac:dyDescent="0.25">
      <c r="B333" s="67" t="str">
        <f t="shared" si="18"/>
        <v>NA</v>
      </c>
      <c r="C333" t="str">
        <f t="shared" si="19"/>
        <v>NA</v>
      </c>
      <c r="D333" s="64" t="e">
        <f t="shared" si="20"/>
        <v>#VALUE!</v>
      </c>
      <c r="E333" s="64" t="e">
        <f>Tableau7[[#This Row],[Mensualité]]-Tableau7[[#This Row],[Intérêts]]</f>
        <v>#VALUE!</v>
      </c>
      <c r="F333" s="64" t="e">
        <f>$G$4-Tableau7[[#This Row],[Mensualité]]-Tableau7[[#This Row],[Intérêts]]</f>
        <v>#VALUE!</v>
      </c>
    </row>
    <row r="334" spans="2:6" x14ac:dyDescent="0.25">
      <c r="B334" s="67" t="str">
        <f t="shared" si="18"/>
        <v>NA</v>
      </c>
      <c r="C334" t="str">
        <f t="shared" si="19"/>
        <v>NA</v>
      </c>
      <c r="D334" s="64" t="e">
        <f t="shared" si="20"/>
        <v>#VALUE!</v>
      </c>
      <c r="E334" s="64" t="e">
        <f>Tableau7[[#This Row],[Mensualité]]-Tableau7[[#This Row],[Intérêts]]</f>
        <v>#VALUE!</v>
      </c>
      <c r="F334" s="64" t="e">
        <f>$G$4-Tableau7[[#This Row],[Mensualité]]-Tableau7[[#This Row],[Intérêts]]</f>
        <v>#VALUE!</v>
      </c>
    </row>
    <row r="335" spans="2:6" x14ac:dyDescent="0.25">
      <c r="B335" s="67" t="str">
        <f t="shared" si="18"/>
        <v>NA</v>
      </c>
      <c r="C335" t="str">
        <f t="shared" si="19"/>
        <v>NA</v>
      </c>
      <c r="D335" s="64" t="e">
        <f t="shared" si="20"/>
        <v>#VALUE!</v>
      </c>
      <c r="E335" s="64" t="e">
        <f>Tableau7[[#This Row],[Mensualité]]-Tableau7[[#This Row],[Intérêts]]</f>
        <v>#VALUE!</v>
      </c>
      <c r="F335" s="64" t="e">
        <f>$G$4-Tableau7[[#This Row],[Mensualité]]-Tableau7[[#This Row],[Intérêts]]</f>
        <v>#VALUE!</v>
      </c>
    </row>
    <row r="336" spans="2:6" x14ac:dyDescent="0.25">
      <c r="B336" s="67" t="str">
        <f t="shared" si="18"/>
        <v>NA</v>
      </c>
      <c r="C336" t="str">
        <f t="shared" si="19"/>
        <v>NA</v>
      </c>
      <c r="D336" s="64" t="e">
        <f t="shared" si="20"/>
        <v>#VALUE!</v>
      </c>
      <c r="E336" s="64" t="e">
        <f>Tableau7[[#This Row],[Mensualité]]-Tableau7[[#This Row],[Intérêts]]</f>
        <v>#VALUE!</v>
      </c>
      <c r="F336" s="64" t="e">
        <f>$G$4-Tableau7[[#This Row],[Mensualité]]-Tableau7[[#This Row],[Intérêts]]</f>
        <v>#VALUE!</v>
      </c>
    </row>
    <row r="337" spans="2:6" x14ac:dyDescent="0.25">
      <c r="B337" s="67" t="str">
        <f t="shared" si="18"/>
        <v>NA</v>
      </c>
      <c r="C337" t="str">
        <f t="shared" si="19"/>
        <v>NA</v>
      </c>
      <c r="D337" s="64" t="e">
        <f t="shared" si="20"/>
        <v>#VALUE!</v>
      </c>
      <c r="E337" s="64" t="e">
        <f>Tableau7[[#This Row],[Mensualité]]-Tableau7[[#This Row],[Intérêts]]</f>
        <v>#VALUE!</v>
      </c>
      <c r="F337" s="64" t="e">
        <f>$G$4-Tableau7[[#This Row],[Mensualité]]-Tableau7[[#This Row],[Intérêts]]</f>
        <v>#VALUE!</v>
      </c>
    </row>
    <row r="338" spans="2:6" x14ac:dyDescent="0.25">
      <c r="B338" s="67" t="str">
        <f t="shared" si="18"/>
        <v>NA</v>
      </c>
      <c r="C338" t="str">
        <f t="shared" si="19"/>
        <v>NA</v>
      </c>
      <c r="D338" s="64" t="e">
        <f t="shared" si="20"/>
        <v>#VALUE!</v>
      </c>
      <c r="E338" s="64" t="e">
        <f>Tableau7[[#This Row],[Mensualité]]-Tableau7[[#This Row],[Intérêts]]</f>
        <v>#VALUE!</v>
      </c>
      <c r="F338" s="64" t="e">
        <f>$G$4-Tableau7[[#This Row],[Mensualité]]-Tableau7[[#This Row],[Intérêts]]</f>
        <v>#VALUE!</v>
      </c>
    </row>
    <row r="339" spans="2:6" x14ac:dyDescent="0.25">
      <c r="B339" s="67" t="str">
        <f t="shared" si="18"/>
        <v>NA</v>
      </c>
      <c r="C339" t="str">
        <f t="shared" si="19"/>
        <v>NA</v>
      </c>
      <c r="D339" s="64" t="e">
        <f t="shared" si="20"/>
        <v>#VALUE!</v>
      </c>
      <c r="E339" s="64" t="e">
        <f>Tableau7[[#This Row],[Mensualité]]-Tableau7[[#This Row],[Intérêts]]</f>
        <v>#VALUE!</v>
      </c>
      <c r="F339" s="64" t="e">
        <f>$G$4-Tableau7[[#This Row],[Mensualité]]-Tableau7[[#This Row],[Intérêts]]</f>
        <v>#VALUE!</v>
      </c>
    </row>
    <row r="340" spans="2:6" x14ac:dyDescent="0.25">
      <c r="B340" s="67" t="str">
        <f t="shared" si="18"/>
        <v>NA</v>
      </c>
      <c r="C340" t="str">
        <f t="shared" si="19"/>
        <v>NA</v>
      </c>
      <c r="D340" s="64" t="e">
        <f t="shared" si="20"/>
        <v>#VALUE!</v>
      </c>
      <c r="E340" s="64" t="e">
        <f>Tableau7[[#This Row],[Mensualité]]-Tableau7[[#This Row],[Intérêts]]</f>
        <v>#VALUE!</v>
      </c>
      <c r="F340" s="64" t="e">
        <f>$G$4-Tableau7[[#This Row],[Mensualité]]-Tableau7[[#This Row],[Intérêts]]</f>
        <v>#VALUE!</v>
      </c>
    </row>
    <row r="341" spans="2:6" x14ac:dyDescent="0.25">
      <c r="B341" s="67" t="str">
        <f t="shared" si="18"/>
        <v>NA</v>
      </c>
      <c r="C341" t="str">
        <f t="shared" si="19"/>
        <v>NA</v>
      </c>
      <c r="D341" s="64" t="e">
        <f t="shared" si="20"/>
        <v>#VALUE!</v>
      </c>
      <c r="E341" s="64" t="e">
        <f>Tableau7[[#This Row],[Mensualité]]-Tableau7[[#This Row],[Intérêts]]</f>
        <v>#VALUE!</v>
      </c>
      <c r="F341" s="64" t="e">
        <f>$G$4-Tableau7[[#This Row],[Mensualité]]-Tableau7[[#This Row],[Intérêts]]</f>
        <v>#VALUE!</v>
      </c>
    </row>
    <row r="342" spans="2:6" x14ac:dyDescent="0.25">
      <c r="B342" s="67" t="str">
        <f t="shared" si="18"/>
        <v>NA</v>
      </c>
      <c r="C342" t="str">
        <f t="shared" si="19"/>
        <v>NA</v>
      </c>
      <c r="D342" s="64" t="e">
        <f t="shared" si="20"/>
        <v>#VALUE!</v>
      </c>
      <c r="E342" s="64" t="e">
        <f>Tableau7[[#This Row],[Mensualité]]-Tableau7[[#This Row],[Intérêts]]</f>
        <v>#VALUE!</v>
      </c>
      <c r="F342" s="64" t="e">
        <f>$G$4-Tableau7[[#This Row],[Mensualité]]-Tableau7[[#This Row],[Intérêts]]</f>
        <v>#VALUE!</v>
      </c>
    </row>
    <row r="343" spans="2:6" x14ac:dyDescent="0.25">
      <c r="B343" s="67" t="str">
        <f t="shared" si="18"/>
        <v>NA</v>
      </c>
      <c r="C343" t="str">
        <f t="shared" si="19"/>
        <v>NA</v>
      </c>
      <c r="D343" s="64" t="e">
        <f t="shared" si="20"/>
        <v>#VALUE!</v>
      </c>
      <c r="E343" s="64" t="e">
        <f>Tableau7[[#This Row],[Mensualité]]-Tableau7[[#This Row],[Intérêts]]</f>
        <v>#VALUE!</v>
      </c>
      <c r="F343" s="64" t="e">
        <f>$G$4-Tableau7[[#This Row],[Mensualité]]-Tableau7[[#This Row],[Intérêts]]</f>
        <v>#VALUE!</v>
      </c>
    </row>
    <row r="344" spans="2:6" x14ac:dyDescent="0.25">
      <c r="B344" s="67" t="str">
        <f t="shared" si="18"/>
        <v>NA</v>
      </c>
      <c r="C344" t="str">
        <f t="shared" si="19"/>
        <v>NA</v>
      </c>
      <c r="D344" s="64" t="e">
        <f t="shared" si="20"/>
        <v>#VALUE!</v>
      </c>
      <c r="E344" s="64" t="e">
        <f>Tableau7[[#This Row],[Mensualité]]-Tableau7[[#This Row],[Intérêts]]</f>
        <v>#VALUE!</v>
      </c>
      <c r="F344" s="64" t="e">
        <f>$G$4-Tableau7[[#This Row],[Mensualité]]-Tableau7[[#This Row],[Intérêts]]</f>
        <v>#VALUE!</v>
      </c>
    </row>
    <row r="345" spans="2:6" x14ac:dyDescent="0.25">
      <c r="B345" s="67" t="str">
        <f t="shared" si="18"/>
        <v>NA</v>
      </c>
      <c r="C345" t="str">
        <f t="shared" si="19"/>
        <v>NA</v>
      </c>
      <c r="D345" s="64" t="e">
        <f t="shared" si="20"/>
        <v>#VALUE!</v>
      </c>
      <c r="E345" s="64" t="e">
        <f>Tableau7[[#This Row],[Mensualité]]-Tableau7[[#This Row],[Intérêts]]</f>
        <v>#VALUE!</v>
      </c>
      <c r="F345" s="64" t="e">
        <f>$G$4-Tableau7[[#This Row],[Mensualité]]-Tableau7[[#This Row],[Intérêts]]</f>
        <v>#VALUE!</v>
      </c>
    </row>
    <row r="346" spans="2:6" x14ac:dyDescent="0.25">
      <c r="B346" s="67" t="str">
        <f t="shared" si="18"/>
        <v>NA</v>
      </c>
      <c r="C346" t="str">
        <f t="shared" si="19"/>
        <v>NA</v>
      </c>
      <c r="D346" s="64" t="e">
        <f t="shared" si="20"/>
        <v>#VALUE!</v>
      </c>
      <c r="E346" s="64" t="e">
        <f>Tableau7[[#This Row],[Mensualité]]-Tableau7[[#This Row],[Intérêts]]</f>
        <v>#VALUE!</v>
      </c>
      <c r="F346" s="64" t="e">
        <f>$G$4-Tableau7[[#This Row],[Mensualité]]-Tableau7[[#This Row],[Intérêts]]</f>
        <v>#VALUE!</v>
      </c>
    </row>
    <row r="347" spans="2:6" x14ac:dyDescent="0.25">
      <c r="B347" s="67" t="str">
        <f t="shared" si="18"/>
        <v>NA</v>
      </c>
      <c r="C347" t="str">
        <f t="shared" si="19"/>
        <v>NA</v>
      </c>
      <c r="D347" s="64" t="e">
        <f t="shared" si="20"/>
        <v>#VALUE!</v>
      </c>
      <c r="E347" s="64" t="e">
        <f>Tableau7[[#This Row],[Mensualité]]-Tableau7[[#This Row],[Intérêts]]</f>
        <v>#VALUE!</v>
      </c>
      <c r="F347" s="64" t="e">
        <f>$G$4-Tableau7[[#This Row],[Mensualité]]-Tableau7[[#This Row],[Intérêts]]</f>
        <v>#VALUE!</v>
      </c>
    </row>
    <row r="348" spans="2:6" x14ac:dyDescent="0.25">
      <c r="B348" s="67" t="str">
        <f t="shared" si="18"/>
        <v>NA</v>
      </c>
      <c r="C348" t="str">
        <f t="shared" si="19"/>
        <v>NA</v>
      </c>
      <c r="D348" s="64" t="e">
        <f t="shared" si="20"/>
        <v>#VALUE!</v>
      </c>
      <c r="E348" s="64" t="e">
        <f>Tableau7[[#This Row],[Mensualité]]-Tableau7[[#This Row],[Intérêts]]</f>
        <v>#VALUE!</v>
      </c>
      <c r="F348" s="64" t="e">
        <f>$G$4-Tableau7[[#This Row],[Mensualité]]-Tableau7[[#This Row],[Intérêts]]</f>
        <v>#VALUE!</v>
      </c>
    </row>
    <row r="349" spans="2:6" x14ac:dyDescent="0.25">
      <c r="B349" s="67" t="str">
        <f t="shared" si="18"/>
        <v>NA</v>
      </c>
      <c r="C349" t="str">
        <f t="shared" si="19"/>
        <v>NA</v>
      </c>
      <c r="D349" s="64" t="e">
        <f t="shared" si="20"/>
        <v>#VALUE!</v>
      </c>
      <c r="E349" s="64" t="e">
        <f>Tableau7[[#This Row],[Mensualité]]-Tableau7[[#This Row],[Intérêts]]</f>
        <v>#VALUE!</v>
      </c>
      <c r="F349" s="64" t="e">
        <f>$G$4-Tableau7[[#This Row],[Mensualité]]-Tableau7[[#This Row],[Intérêts]]</f>
        <v>#VALUE!</v>
      </c>
    </row>
    <row r="350" spans="2:6" x14ac:dyDescent="0.25">
      <c r="B350" s="67" t="str">
        <f t="shared" si="18"/>
        <v>NA</v>
      </c>
      <c r="C350" t="str">
        <f t="shared" si="19"/>
        <v>NA</v>
      </c>
      <c r="D350" s="64" t="e">
        <f t="shared" si="20"/>
        <v>#VALUE!</v>
      </c>
      <c r="E350" s="64" t="e">
        <f>Tableau7[[#This Row],[Mensualité]]-Tableau7[[#This Row],[Intérêts]]</f>
        <v>#VALUE!</v>
      </c>
      <c r="F350" s="64" t="e">
        <f>$G$4-Tableau7[[#This Row],[Mensualité]]-Tableau7[[#This Row],[Intérêts]]</f>
        <v>#VALUE!</v>
      </c>
    </row>
    <row r="351" spans="2:6" x14ac:dyDescent="0.25">
      <c r="B351" s="67" t="str">
        <f t="shared" si="18"/>
        <v>NA</v>
      </c>
      <c r="C351" t="str">
        <f t="shared" si="19"/>
        <v>NA</v>
      </c>
      <c r="D351" s="64" t="e">
        <f t="shared" si="20"/>
        <v>#VALUE!</v>
      </c>
      <c r="E351" s="64" t="e">
        <f>Tableau7[[#This Row],[Mensualité]]-Tableau7[[#This Row],[Intérêts]]</f>
        <v>#VALUE!</v>
      </c>
      <c r="F351" s="64" t="e">
        <f>$G$4-Tableau7[[#This Row],[Mensualité]]-Tableau7[[#This Row],[Intérêts]]</f>
        <v>#VALUE!</v>
      </c>
    </row>
    <row r="352" spans="2:6" x14ac:dyDescent="0.25">
      <c r="B352" s="67" t="str">
        <f t="shared" si="18"/>
        <v>NA</v>
      </c>
      <c r="C352" t="str">
        <f t="shared" si="19"/>
        <v>NA</v>
      </c>
      <c r="D352" s="64" t="e">
        <f t="shared" si="20"/>
        <v>#VALUE!</v>
      </c>
      <c r="E352" s="64" t="e">
        <f>Tableau7[[#This Row],[Mensualité]]-Tableau7[[#This Row],[Intérêts]]</f>
        <v>#VALUE!</v>
      </c>
      <c r="F352" s="64" t="e">
        <f>$G$4-Tableau7[[#This Row],[Mensualité]]-Tableau7[[#This Row],[Intérêts]]</f>
        <v>#VALUE!</v>
      </c>
    </row>
    <row r="353" spans="2:6" x14ac:dyDescent="0.25">
      <c r="B353" s="67" t="str">
        <f t="shared" si="18"/>
        <v>NA</v>
      </c>
      <c r="C353" t="str">
        <f t="shared" si="19"/>
        <v>NA</v>
      </c>
      <c r="D353" s="64" t="e">
        <f t="shared" si="20"/>
        <v>#VALUE!</v>
      </c>
      <c r="E353" s="64" t="e">
        <f>Tableau7[[#This Row],[Mensualité]]-Tableau7[[#This Row],[Intérêts]]</f>
        <v>#VALUE!</v>
      </c>
      <c r="F353" s="64" t="e">
        <f>$G$4-Tableau7[[#This Row],[Mensualité]]-Tableau7[[#This Row],[Intérêts]]</f>
        <v>#VALUE!</v>
      </c>
    </row>
    <row r="354" spans="2:6" x14ac:dyDescent="0.25">
      <c r="B354" s="67" t="str">
        <f t="shared" si="18"/>
        <v>NA</v>
      </c>
      <c r="C354" t="str">
        <f t="shared" si="19"/>
        <v>NA</v>
      </c>
      <c r="D354" s="64" t="e">
        <f t="shared" si="20"/>
        <v>#VALUE!</v>
      </c>
      <c r="E354" s="64" t="e">
        <f>Tableau7[[#This Row],[Mensualité]]-Tableau7[[#This Row],[Intérêts]]</f>
        <v>#VALUE!</v>
      </c>
      <c r="F354" s="64" t="e">
        <f>$G$4-Tableau7[[#This Row],[Mensualité]]-Tableau7[[#This Row],[Intérêts]]</f>
        <v>#VALUE!</v>
      </c>
    </row>
    <row r="355" spans="2:6" x14ac:dyDescent="0.25">
      <c r="B355" s="67" t="str">
        <f t="shared" si="18"/>
        <v>NA</v>
      </c>
      <c r="C355" t="str">
        <f t="shared" si="19"/>
        <v>NA</v>
      </c>
      <c r="D355" s="64" t="e">
        <f t="shared" si="20"/>
        <v>#VALUE!</v>
      </c>
      <c r="E355" s="64" t="e">
        <f>Tableau7[[#This Row],[Mensualité]]-Tableau7[[#This Row],[Intérêts]]</f>
        <v>#VALUE!</v>
      </c>
      <c r="F355" s="64" t="e">
        <f>$G$4-Tableau7[[#This Row],[Mensualité]]-Tableau7[[#This Row],[Intérêts]]</f>
        <v>#VALUE!</v>
      </c>
    </row>
    <row r="356" spans="2:6" x14ac:dyDescent="0.25">
      <c r="B356" s="67" t="str">
        <f t="shared" si="18"/>
        <v>NA</v>
      </c>
      <c r="C356" t="str">
        <f t="shared" si="19"/>
        <v>NA</v>
      </c>
      <c r="D356" s="64" t="e">
        <f t="shared" si="20"/>
        <v>#VALUE!</v>
      </c>
      <c r="E356" s="64" t="e">
        <f>Tableau7[[#This Row],[Mensualité]]-Tableau7[[#This Row],[Intérêts]]</f>
        <v>#VALUE!</v>
      </c>
      <c r="F356" s="64" t="e">
        <f>$G$4-Tableau7[[#This Row],[Mensualité]]-Tableau7[[#This Row],[Intérêts]]</f>
        <v>#VALUE!</v>
      </c>
    </row>
    <row r="357" spans="2:6" x14ac:dyDescent="0.25">
      <c r="B357" s="67" t="str">
        <f t="shared" si="18"/>
        <v>NA</v>
      </c>
      <c r="C357" t="str">
        <f t="shared" si="19"/>
        <v>NA</v>
      </c>
      <c r="D357" s="64" t="e">
        <f t="shared" si="20"/>
        <v>#VALUE!</v>
      </c>
      <c r="E357" s="64" t="e">
        <f>Tableau7[[#This Row],[Mensualité]]-Tableau7[[#This Row],[Intérêts]]</f>
        <v>#VALUE!</v>
      </c>
      <c r="F357" s="64" t="e">
        <f>$G$4-Tableau7[[#This Row],[Mensualité]]-Tableau7[[#This Row],[Intérêts]]</f>
        <v>#VALUE!</v>
      </c>
    </row>
    <row r="358" spans="2:6" x14ac:dyDescent="0.25">
      <c r="B358" s="67" t="str">
        <f t="shared" si="18"/>
        <v>NA</v>
      </c>
      <c r="C358" t="str">
        <f t="shared" si="19"/>
        <v>NA</v>
      </c>
      <c r="D358" s="64" t="e">
        <f t="shared" si="20"/>
        <v>#VALUE!</v>
      </c>
      <c r="E358" s="64" t="e">
        <f>Tableau7[[#This Row],[Mensualité]]-Tableau7[[#This Row],[Intérêts]]</f>
        <v>#VALUE!</v>
      </c>
      <c r="F358" s="64" t="e">
        <f>$G$4-Tableau7[[#This Row],[Mensualité]]-Tableau7[[#This Row],[Intérêts]]</f>
        <v>#VALUE!</v>
      </c>
    </row>
    <row r="359" spans="2:6" x14ac:dyDescent="0.25">
      <c r="B359" s="67" t="str">
        <f t="shared" si="18"/>
        <v>NA</v>
      </c>
      <c r="C359" t="str">
        <f t="shared" si="19"/>
        <v>NA</v>
      </c>
      <c r="D359" s="64" t="e">
        <f t="shared" si="20"/>
        <v>#VALUE!</v>
      </c>
      <c r="E359" s="64" t="e">
        <f>Tableau7[[#This Row],[Mensualité]]-Tableau7[[#This Row],[Intérêts]]</f>
        <v>#VALUE!</v>
      </c>
      <c r="F359" s="64" t="e">
        <f>$G$4-Tableau7[[#This Row],[Mensualité]]-Tableau7[[#This Row],[Intérêts]]</f>
        <v>#VALUE!</v>
      </c>
    </row>
    <row r="360" spans="2:6" x14ac:dyDescent="0.25">
      <c r="B360" s="67" t="str">
        <f t="shared" si="18"/>
        <v>NA</v>
      </c>
      <c r="C360" t="str">
        <f t="shared" si="19"/>
        <v>NA</v>
      </c>
      <c r="D360" s="64" t="e">
        <f t="shared" si="20"/>
        <v>#VALUE!</v>
      </c>
      <c r="E360" s="64" t="e">
        <f>Tableau7[[#This Row],[Mensualité]]-Tableau7[[#This Row],[Intérêts]]</f>
        <v>#VALUE!</v>
      </c>
      <c r="F360" s="64" t="e">
        <f>$G$4-Tableau7[[#This Row],[Mensualité]]-Tableau7[[#This Row],[Intérêts]]</f>
        <v>#VALUE!</v>
      </c>
    </row>
    <row r="361" spans="2:6" x14ac:dyDescent="0.25">
      <c r="B361" s="67" t="str">
        <f t="shared" si="18"/>
        <v>NA</v>
      </c>
      <c r="C361" t="str">
        <f t="shared" si="19"/>
        <v>NA</v>
      </c>
      <c r="D361" s="64" t="e">
        <f t="shared" si="20"/>
        <v>#VALUE!</v>
      </c>
      <c r="E361" s="64" t="e">
        <f>Tableau7[[#This Row],[Mensualité]]-Tableau7[[#This Row],[Intérêts]]</f>
        <v>#VALUE!</v>
      </c>
      <c r="F361" s="64" t="e">
        <f>$G$4-Tableau7[[#This Row],[Mensualité]]-Tableau7[[#This Row],[Intérêts]]</f>
        <v>#VALUE!</v>
      </c>
    </row>
    <row r="362" spans="2:6" x14ac:dyDescent="0.25">
      <c r="B362" s="67" t="str">
        <f t="shared" si="18"/>
        <v>NA</v>
      </c>
      <c r="C362" t="str">
        <f t="shared" si="19"/>
        <v>NA</v>
      </c>
      <c r="D362" s="64" t="e">
        <f t="shared" si="20"/>
        <v>#VALUE!</v>
      </c>
      <c r="E362" s="64" t="e">
        <f>Tableau7[[#This Row],[Mensualité]]-Tableau7[[#This Row],[Intérêts]]</f>
        <v>#VALUE!</v>
      </c>
      <c r="F362" s="64" t="e">
        <f>$G$4-Tableau7[[#This Row],[Mensualité]]-Tableau7[[#This Row],[Intérêts]]</f>
        <v>#VALUE!</v>
      </c>
    </row>
    <row r="363" spans="2:6" x14ac:dyDescent="0.25">
      <c r="B363" s="67" t="str">
        <f t="shared" ref="B363:B426" si="21">$D$4</f>
        <v>NA</v>
      </c>
      <c r="C363" t="str">
        <f t="shared" ref="C363:C426" si="22">$H$4</f>
        <v>NA</v>
      </c>
      <c r="D363" s="64" t="e">
        <f t="shared" ref="D363:D426" si="23">G356*F356/12</f>
        <v>#VALUE!</v>
      </c>
      <c r="E363" s="64" t="e">
        <f>Tableau7[[#This Row],[Mensualité]]-Tableau7[[#This Row],[Intérêts]]</f>
        <v>#VALUE!</v>
      </c>
      <c r="F363" s="64" t="e">
        <f>$G$4-Tableau7[[#This Row],[Mensualité]]-Tableau7[[#This Row],[Intérêts]]</f>
        <v>#VALUE!</v>
      </c>
    </row>
    <row r="364" spans="2:6" x14ac:dyDescent="0.25">
      <c r="B364" s="67" t="str">
        <f t="shared" si="21"/>
        <v>NA</v>
      </c>
      <c r="C364" t="str">
        <f t="shared" si="22"/>
        <v>NA</v>
      </c>
      <c r="D364" s="64" t="e">
        <f t="shared" si="23"/>
        <v>#VALUE!</v>
      </c>
      <c r="E364" s="64" t="e">
        <f>Tableau7[[#This Row],[Mensualité]]-Tableau7[[#This Row],[Intérêts]]</f>
        <v>#VALUE!</v>
      </c>
      <c r="F364" s="64" t="e">
        <f>$G$4-Tableau7[[#This Row],[Mensualité]]-Tableau7[[#This Row],[Intérêts]]</f>
        <v>#VALUE!</v>
      </c>
    </row>
    <row r="365" spans="2:6" x14ac:dyDescent="0.25">
      <c r="B365" s="67" t="str">
        <f t="shared" si="21"/>
        <v>NA</v>
      </c>
      <c r="C365" t="str">
        <f t="shared" si="22"/>
        <v>NA</v>
      </c>
      <c r="D365" s="64" t="e">
        <f t="shared" si="23"/>
        <v>#VALUE!</v>
      </c>
      <c r="E365" s="64" t="e">
        <f>Tableau7[[#This Row],[Mensualité]]-Tableau7[[#This Row],[Intérêts]]</f>
        <v>#VALUE!</v>
      </c>
      <c r="F365" s="64" t="e">
        <f>$G$4-Tableau7[[#This Row],[Mensualité]]-Tableau7[[#This Row],[Intérêts]]</f>
        <v>#VALUE!</v>
      </c>
    </row>
    <row r="366" spans="2:6" x14ac:dyDescent="0.25">
      <c r="B366" s="67" t="str">
        <f t="shared" si="21"/>
        <v>NA</v>
      </c>
      <c r="C366" t="str">
        <f t="shared" si="22"/>
        <v>NA</v>
      </c>
      <c r="D366" s="64" t="e">
        <f t="shared" si="23"/>
        <v>#VALUE!</v>
      </c>
      <c r="E366" s="64" t="e">
        <f>Tableau7[[#This Row],[Mensualité]]-Tableau7[[#This Row],[Intérêts]]</f>
        <v>#VALUE!</v>
      </c>
      <c r="F366" s="64" t="e">
        <f>$G$4-Tableau7[[#This Row],[Mensualité]]-Tableau7[[#This Row],[Intérêts]]</f>
        <v>#VALUE!</v>
      </c>
    </row>
    <row r="367" spans="2:6" x14ac:dyDescent="0.25">
      <c r="B367" s="67" t="str">
        <f t="shared" si="21"/>
        <v>NA</v>
      </c>
      <c r="C367" t="str">
        <f t="shared" si="22"/>
        <v>NA</v>
      </c>
      <c r="D367" s="64" t="e">
        <f t="shared" si="23"/>
        <v>#VALUE!</v>
      </c>
      <c r="E367" s="64" t="e">
        <f>Tableau7[[#This Row],[Mensualité]]-Tableau7[[#This Row],[Intérêts]]</f>
        <v>#VALUE!</v>
      </c>
      <c r="F367" s="64" t="e">
        <f>$G$4-Tableau7[[#This Row],[Mensualité]]-Tableau7[[#This Row],[Intérêts]]</f>
        <v>#VALUE!</v>
      </c>
    </row>
    <row r="368" spans="2:6" x14ac:dyDescent="0.25">
      <c r="B368" s="67" t="str">
        <f t="shared" si="21"/>
        <v>NA</v>
      </c>
      <c r="C368" t="str">
        <f t="shared" si="22"/>
        <v>NA</v>
      </c>
      <c r="D368" s="64" t="e">
        <f t="shared" si="23"/>
        <v>#VALUE!</v>
      </c>
      <c r="E368" s="64" t="e">
        <f>Tableau7[[#This Row],[Mensualité]]-Tableau7[[#This Row],[Intérêts]]</f>
        <v>#VALUE!</v>
      </c>
      <c r="F368" s="64" t="e">
        <f>$G$4-Tableau7[[#This Row],[Mensualité]]-Tableau7[[#This Row],[Intérêts]]</f>
        <v>#VALUE!</v>
      </c>
    </row>
    <row r="369" spans="2:6" x14ac:dyDescent="0.25">
      <c r="B369" s="67" t="str">
        <f t="shared" si="21"/>
        <v>NA</v>
      </c>
      <c r="C369" t="str">
        <f t="shared" si="22"/>
        <v>NA</v>
      </c>
      <c r="D369" s="64" t="e">
        <f t="shared" si="23"/>
        <v>#VALUE!</v>
      </c>
      <c r="E369" s="64" t="e">
        <f>Tableau7[[#This Row],[Mensualité]]-Tableau7[[#This Row],[Intérêts]]</f>
        <v>#VALUE!</v>
      </c>
      <c r="F369" s="64" t="e">
        <f>$G$4-Tableau7[[#This Row],[Mensualité]]-Tableau7[[#This Row],[Intérêts]]</f>
        <v>#VALUE!</v>
      </c>
    </row>
    <row r="370" spans="2:6" x14ac:dyDescent="0.25">
      <c r="B370" s="67" t="str">
        <f t="shared" si="21"/>
        <v>NA</v>
      </c>
      <c r="C370" t="str">
        <f t="shared" si="22"/>
        <v>NA</v>
      </c>
      <c r="D370" s="64" t="e">
        <f t="shared" si="23"/>
        <v>#VALUE!</v>
      </c>
      <c r="E370" s="64" t="e">
        <f>Tableau7[[#This Row],[Mensualité]]-Tableau7[[#This Row],[Intérêts]]</f>
        <v>#VALUE!</v>
      </c>
      <c r="F370" s="64" t="e">
        <f>$G$4-Tableau7[[#This Row],[Mensualité]]-Tableau7[[#This Row],[Intérêts]]</f>
        <v>#VALUE!</v>
      </c>
    </row>
    <row r="371" spans="2:6" x14ac:dyDescent="0.25">
      <c r="B371" s="67" t="str">
        <f t="shared" si="21"/>
        <v>NA</v>
      </c>
      <c r="C371" t="str">
        <f t="shared" si="22"/>
        <v>NA</v>
      </c>
      <c r="D371" s="64" t="e">
        <f t="shared" si="23"/>
        <v>#VALUE!</v>
      </c>
      <c r="E371" s="64" t="e">
        <f>Tableau7[[#This Row],[Mensualité]]-Tableau7[[#This Row],[Intérêts]]</f>
        <v>#VALUE!</v>
      </c>
      <c r="F371" s="64" t="e">
        <f>$G$4-Tableau7[[#This Row],[Mensualité]]-Tableau7[[#This Row],[Intérêts]]</f>
        <v>#VALUE!</v>
      </c>
    </row>
    <row r="372" spans="2:6" x14ac:dyDescent="0.25">
      <c r="B372" s="67" t="str">
        <f t="shared" si="21"/>
        <v>NA</v>
      </c>
      <c r="C372" t="str">
        <f t="shared" si="22"/>
        <v>NA</v>
      </c>
      <c r="D372" s="64" t="e">
        <f t="shared" si="23"/>
        <v>#VALUE!</v>
      </c>
      <c r="E372" s="64" t="e">
        <f>Tableau7[[#This Row],[Mensualité]]-Tableau7[[#This Row],[Intérêts]]</f>
        <v>#VALUE!</v>
      </c>
      <c r="F372" s="64" t="e">
        <f>$G$4-Tableau7[[#This Row],[Mensualité]]-Tableau7[[#This Row],[Intérêts]]</f>
        <v>#VALUE!</v>
      </c>
    </row>
    <row r="373" spans="2:6" x14ac:dyDescent="0.25">
      <c r="B373" s="67" t="str">
        <f t="shared" si="21"/>
        <v>NA</v>
      </c>
      <c r="C373" t="str">
        <f t="shared" si="22"/>
        <v>NA</v>
      </c>
      <c r="D373" s="64" t="e">
        <f t="shared" si="23"/>
        <v>#VALUE!</v>
      </c>
      <c r="E373" s="64" t="e">
        <f>Tableau7[[#This Row],[Mensualité]]-Tableau7[[#This Row],[Intérêts]]</f>
        <v>#VALUE!</v>
      </c>
      <c r="F373" s="64" t="e">
        <f>$G$4-Tableau7[[#This Row],[Mensualité]]-Tableau7[[#This Row],[Intérêts]]</f>
        <v>#VALUE!</v>
      </c>
    </row>
    <row r="374" spans="2:6" x14ac:dyDescent="0.25">
      <c r="B374" s="67" t="str">
        <f t="shared" si="21"/>
        <v>NA</v>
      </c>
      <c r="C374" t="str">
        <f t="shared" si="22"/>
        <v>NA</v>
      </c>
      <c r="D374" s="64" t="e">
        <f t="shared" si="23"/>
        <v>#VALUE!</v>
      </c>
      <c r="E374" s="64" t="e">
        <f>Tableau7[[#This Row],[Mensualité]]-Tableau7[[#This Row],[Intérêts]]</f>
        <v>#VALUE!</v>
      </c>
      <c r="F374" s="64" t="e">
        <f>$G$4-Tableau7[[#This Row],[Mensualité]]-Tableau7[[#This Row],[Intérêts]]</f>
        <v>#VALUE!</v>
      </c>
    </row>
    <row r="375" spans="2:6" x14ac:dyDescent="0.25">
      <c r="B375" s="67" t="str">
        <f t="shared" si="21"/>
        <v>NA</v>
      </c>
      <c r="C375" t="str">
        <f t="shared" si="22"/>
        <v>NA</v>
      </c>
      <c r="D375" s="64" t="e">
        <f t="shared" si="23"/>
        <v>#VALUE!</v>
      </c>
      <c r="E375" s="64" t="e">
        <f>Tableau7[[#This Row],[Mensualité]]-Tableau7[[#This Row],[Intérêts]]</f>
        <v>#VALUE!</v>
      </c>
      <c r="F375" s="64" t="e">
        <f>$G$4-Tableau7[[#This Row],[Mensualité]]-Tableau7[[#This Row],[Intérêts]]</f>
        <v>#VALUE!</v>
      </c>
    </row>
    <row r="376" spans="2:6" x14ac:dyDescent="0.25">
      <c r="B376" s="67" t="str">
        <f t="shared" si="21"/>
        <v>NA</v>
      </c>
      <c r="C376" t="str">
        <f t="shared" si="22"/>
        <v>NA</v>
      </c>
      <c r="D376" s="64" t="e">
        <f t="shared" si="23"/>
        <v>#VALUE!</v>
      </c>
      <c r="E376" s="64" t="e">
        <f>Tableau7[[#This Row],[Mensualité]]-Tableau7[[#This Row],[Intérêts]]</f>
        <v>#VALUE!</v>
      </c>
      <c r="F376" s="64" t="e">
        <f>$G$4-Tableau7[[#This Row],[Mensualité]]-Tableau7[[#This Row],[Intérêts]]</f>
        <v>#VALUE!</v>
      </c>
    </row>
    <row r="377" spans="2:6" x14ac:dyDescent="0.25">
      <c r="B377" s="67" t="str">
        <f t="shared" si="21"/>
        <v>NA</v>
      </c>
      <c r="C377" t="str">
        <f t="shared" si="22"/>
        <v>NA</v>
      </c>
      <c r="D377" s="64" t="e">
        <f t="shared" si="23"/>
        <v>#VALUE!</v>
      </c>
      <c r="E377" s="64" t="e">
        <f>Tableau7[[#This Row],[Mensualité]]-Tableau7[[#This Row],[Intérêts]]</f>
        <v>#VALUE!</v>
      </c>
      <c r="F377" s="64" t="e">
        <f>$G$4-Tableau7[[#This Row],[Mensualité]]-Tableau7[[#This Row],[Intérêts]]</f>
        <v>#VALUE!</v>
      </c>
    </row>
    <row r="378" spans="2:6" x14ac:dyDescent="0.25">
      <c r="B378" s="67" t="str">
        <f t="shared" si="21"/>
        <v>NA</v>
      </c>
      <c r="C378" t="str">
        <f t="shared" si="22"/>
        <v>NA</v>
      </c>
      <c r="D378" s="64" t="e">
        <f t="shared" si="23"/>
        <v>#VALUE!</v>
      </c>
      <c r="E378" s="64" t="e">
        <f>Tableau7[[#This Row],[Mensualité]]-Tableau7[[#This Row],[Intérêts]]</f>
        <v>#VALUE!</v>
      </c>
      <c r="F378" s="64" t="e">
        <f>$G$4-Tableau7[[#This Row],[Mensualité]]-Tableau7[[#This Row],[Intérêts]]</f>
        <v>#VALUE!</v>
      </c>
    </row>
    <row r="379" spans="2:6" x14ac:dyDescent="0.25">
      <c r="B379" s="67" t="str">
        <f t="shared" si="21"/>
        <v>NA</v>
      </c>
      <c r="C379" t="str">
        <f t="shared" si="22"/>
        <v>NA</v>
      </c>
      <c r="D379" s="64" t="e">
        <f t="shared" si="23"/>
        <v>#VALUE!</v>
      </c>
      <c r="E379" s="64" t="e">
        <f>Tableau7[[#This Row],[Mensualité]]-Tableau7[[#This Row],[Intérêts]]</f>
        <v>#VALUE!</v>
      </c>
      <c r="F379" s="64" t="e">
        <f>$G$4-Tableau7[[#This Row],[Mensualité]]-Tableau7[[#This Row],[Intérêts]]</f>
        <v>#VALUE!</v>
      </c>
    </row>
    <row r="380" spans="2:6" x14ac:dyDescent="0.25">
      <c r="B380" s="67" t="str">
        <f t="shared" si="21"/>
        <v>NA</v>
      </c>
      <c r="C380" t="str">
        <f t="shared" si="22"/>
        <v>NA</v>
      </c>
      <c r="D380" s="64" t="e">
        <f t="shared" si="23"/>
        <v>#VALUE!</v>
      </c>
      <c r="E380" s="64" t="e">
        <f>Tableau7[[#This Row],[Mensualité]]-Tableau7[[#This Row],[Intérêts]]</f>
        <v>#VALUE!</v>
      </c>
      <c r="F380" s="64" t="e">
        <f>$G$4-Tableau7[[#This Row],[Mensualité]]-Tableau7[[#This Row],[Intérêts]]</f>
        <v>#VALUE!</v>
      </c>
    </row>
    <row r="381" spans="2:6" x14ac:dyDescent="0.25">
      <c r="B381" s="67" t="str">
        <f t="shared" si="21"/>
        <v>NA</v>
      </c>
      <c r="C381" t="str">
        <f t="shared" si="22"/>
        <v>NA</v>
      </c>
      <c r="D381" s="64" t="e">
        <f t="shared" si="23"/>
        <v>#VALUE!</v>
      </c>
      <c r="E381" s="64" t="e">
        <f>Tableau7[[#This Row],[Mensualité]]-Tableau7[[#This Row],[Intérêts]]</f>
        <v>#VALUE!</v>
      </c>
      <c r="F381" s="64" t="e">
        <f>$G$4-Tableau7[[#This Row],[Mensualité]]-Tableau7[[#This Row],[Intérêts]]</f>
        <v>#VALUE!</v>
      </c>
    </row>
    <row r="382" spans="2:6" x14ac:dyDescent="0.25">
      <c r="B382" s="67" t="str">
        <f t="shared" si="21"/>
        <v>NA</v>
      </c>
      <c r="C382" t="str">
        <f t="shared" si="22"/>
        <v>NA</v>
      </c>
      <c r="D382" s="64" t="e">
        <f t="shared" si="23"/>
        <v>#VALUE!</v>
      </c>
      <c r="E382" s="64" t="e">
        <f>Tableau7[[#This Row],[Mensualité]]-Tableau7[[#This Row],[Intérêts]]</f>
        <v>#VALUE!</v>
      </c>
      <c r="F382" s="64" t="e">
        <f>$G$4-Tableau7[[#This Row],[Mensualité]]-Tableau7[[#This Row],[Intérêts]]</f>
        <v>#VALUE!</v>
      </c>
    </row>
    <row r="383" spans="2:6" x14ac:dyDescent="0.25">
      <c r="B383" s="67" t="str">
        <f t="shared" si="21"/>
        <v>NA</v>
      </c>
      <c r="C383" t="str">
        <f t="shared" si="22"/>
        <v>NA</v>
      </c>
      <c r="D383" s="64" t="e">
        <f t="shared" si="23"/>
        <v>#VALUE!</v>
      </c>
      <c r="E383" s="64" t="e">
        <f>Tableau7[[#This Row],[Mensualité]]-Tableau7[[#This Row],[Intérêts]]</f>
        <v>#VALUE!</v>
      </c>
      <c r="F383" s="64" t="e">
        <f>$G$4-Tableau7[[#This Row],[Mensualité]]-Tableau7[[#This Row],[Intérêts]]</f>
        <v>#VALUE!</v>
      </c>
    </row>
    <row r="384" spans="2:6" x14ac:dyDescent="0.25">
      <c r="B384" s="67" t="str">
        <f t="shared" si="21"/>
        <v>NA</v>
      </c>
      <c r="C384" t="str">
        <f t="shared" si="22"/>
        <v>NA</v>
      </c>
      <c r="D384" s="64" t="e">
        <f t="shared" si="23"/>
        <v>#VALUE!</v>
      </c>
      <c r="E384" s="64" t="e">
        <f>Tableau7[[#This Row],[Mensualité]]-Tableau7[[#This Row],[Intérêts]]</f>
        <v>#VALUE!</v>
      </c>
      <c r="F384" s="64" t="e">
        <f>$G$4-Tableau7[[#This Row],[Mensualité]]-Tableau7[[#This Row],[Intérêts]]</f>
        <v>#VALUE!</v>
      </c>
    </row>
    <row r="385" spans="2:6" x14ac:dyDescent="0.25">
      <c r="B385" s="67" t="str">
        <f t="shared" si="21"/>
        <v>NA</v>
      </c>
      <c r="C385" t="str">
        <f t="shared" si="22"/>
        <v>NA</v>
      </c>
      <c r="D385" s="64" t="e">
        <f t="shared" si="23"/>
        <v>#VALUE!</v>
      </c>
      <c r="E385" s="64" t="e">
        <f>Tableau7[[#This Row],[Mensualité]]-Tableau7[[#This Row],[Intérêts]]</f>
        <v>#VALUE!</v>
      </c>
      <c r="F385" s="64" t="e">
        <f>$G$4-Tableau7[[#This Row],[Mensualité]]-Tableau7[[#This Row],[Intérêts]]</f>
        <v>#VALUE!</v>
      </c>
    </row>
    <row r="386" spans="2:6" x14ac:dyDescent="0.25">
      <c r="B386" s="67" t="str">
        <f t="shared" si="21"/>
        <v>NA</v>
      </c>
      <c r="C386" t="str">
        <f t="shared" si="22"/>
        <v>NA</v>
      </c>
      <c r="D386" s="64" t="e">
        <f t="shared" si="23"/>
        <v>#VALUE!</v>
      </c>
      <c r="E386" s="64" t="e">
        <f>Tableau7[[#This Row],[Mensualité]]-Tableau7[[#This Row],[Intérêts]]</f>
        <v>#VALUE!</v>
      </c>
      <c r="F386" s="64" t="e">
        <f>$G$4-Tableau7[[#This Row],[Mensualité]]-Tableau7[[#This Row],[Intérêts]]</f>
        <v>#VALUE!</v>
      </c>
    </row>
    <row r="387" spans="2:6" x14ac:dyDescent="0.25">
      <c r="B387" s="67" t="str">
        <f t="shared" si="21"/>
        <v>NA</v>
      </c>
      <c r="C387" t="str">
        <f t="shared" si="22"/>
        <v>NA</v>
      </c>
      <c r="D387" s="64" t="e">
        <f t="shared" si="23"/>
        <v>#VALUE!</v>
      </c>
      <c r="E387" s="64" t="e">
        <f>Tableau7[[#This Row],[Mensualité]]-Tableau7[[#This Row],[Intérêts]]</f>
        <v>#VALUE!</v>
      </c>
      <c r="F387" s="64" t="e">
        <f>$G$4-Tableau7[[#This Row],[Mensualité]]-Tableau7[[#This Row],[Intérêts]]</f>
        <v>#VALUE!</v>
      </c>
    </row>
    <row r="388" spans="2:6" x14ac:dyDescent="0.25">
      <c r="B388" s="67" t="str">
        <f t="shared" si="21"/>
        <v>NA</v>
      </c>
      <c r="C388" t="str">
        <f t="shared" si="22"/>
        <v>NA</v>
      </c>
      <c r="D388" s="64" t="e">
        <f t="shared" si="23"/>
        <v>#VALUE!</v>
      </c>
      <c r="E388" s="64" t="e">
        <f>Tableau7[[#This Row],[Mensualité]]-Tableau7[[#This Row],[Intérêts]]</f>
        <v>#VALUE!</v>
      </c>
      <c r="F388" s="64" t="e">
        <f>$G$4-Tableau7[[#This Row],[Mensualité]]-Tableau7[[#This Row],[Intérêts]]</f>
        <v>#VALUE!</v>
      </c>
    </row>
    <row r="389" spans="2:6" x14ac:dyDescent="0.25">
      <c r="B389" s="67" t="str">
        <f t="shared" si="21"/>
        <v>NA</v>
      </c>
      <c r="C389" t="str">
        <f t="shared" si="22"/>
        <v>NA</v>
      </c>
      <c r="D389" s="64" t="e">
        <f t="shared" si="23"/>
        <v>#VALUE!</v>
      </c>
      <c r="E389" s="64" t="e">
        <f>Tableau7[[#This Row],[Mensualité]]-Tableau7[[#This Row],[Intérêts]]</f>
        <v>#VALUE!</v>
      </c>
      <c r="F389" s="64" t="e">
        <f>$G$4-Tableau7[[#This Row],[Mensualité]]-Tableau7[[#This Row],[Intérêts]]</f>
        <v>#VALUE!</v>
      </c>
    </row>
    <row r="390" spans="2:6" x14ac:dyDescent="0.25">
      <c r="B390" s="67" t="str">
        <f t="shared" si="21"/>
        <v>NA</v>
      </c>
      <c r="C390" t="str">
        <f t="shared" si="22"/>
        <v>NA</v>
      </c>
      <c r="D390" s="64" t="e">
        <f t="shared" si="23"/>
        <v>#VALUE!</v>
      </c>
      <c r="E390" s="64" t="e">
        <f>Tableau7[[#This Row],[Mensualité]]-Tableau7[[#This Row],[Intérêts]]</f>
        <v>#VALUE!</v>
      </c>
      <c r="F390" s="64" t="e">
        <f>$G$4-Tableau7[[#This Row],[Mensualité]]-Tableau7[[#This Row],[Intérêts]]</f>
        <v>#VALUE!</v>
      </c>
    </row>
    <row r="391" spans="2:6" x14ac:dyDescent="0.25">
      <c r="B391" s="67" t="str">
        <f t="shared" si="21"/>
        <v>NA</v>
      </c>
      <c r="C391" t="str">
        <f t="shared" si="22"/>
        <v>NA</v>
      </c>
      <c r="D391" s="64" t="e">
        <f t="shared" si="23"/>
        <v>#VALUE!</v>
      </c>
      <c r="E391" s="64" t="e">
        <f>Tableau7[[#This Row],[Mensualité]]-Tableau7[[#This Row],[Intérêts]]</f>
        <v>#VALUE!</v>
      </c>
      <c r="F391" s="64" t="e">
        <f>$G$4-Tableau7[[#This Row],[Mensualité]]-Tableau7[[#This Row],[Intérêts]]</f>
        <v>#VALUE!</v>
      </c>
    </row>
    <row r="392" spans="2:6" x14ac:dyDescent="0.25">
      <c r="B392" s="67" t="str">
        <f t="shared" si="21"/>
        <v>NA</v>
      </c>
      <c r="C392" t="str">
        <f t="shared" si="22"/>
        <v>NA</v>
      </c>
      <c r="D392" s="64" t="e">
        <f t="shared" si="23"/>
        <v>#VALUE!</v>
      </c>
      <c r="E392" s="64" t="e">
        <f>Tableau7[[#This Row],[Mensualité]]-Tableau7[[#This Row],[Intérêts]]</f>
        <v>#VALUE!</v>
      </c>
      <c r="F392" s="64" t="e">
        <f>$G$4-Tableau7[[#This Row],[Mensualité]]-Tableau7[[#This Row],[Intérêts]]</f>
        <v>#VALUE!</v>
      </c>
    </row>
    <row r="393" spans="2:6" x14ac:dyDescent="0.25">
      <c r="B393" s="67" t="str">
        <f t="shared" si="21"/>
        <v>NA</v>
      </c>
      <c r="C393" t="str">
        <f t="shared" si="22"/>
        <v>NA</v>
      </c>
      <c r="D393" s="64" t="e">
        <f t="shared" si="23"/>
        <v>#VALUE!</v>
      </c>
      <c r="E393" s="64" t="e">
        <f>Tableau7[[#This Row],[Mensualité]]-Tableau7[[#This Row],[Intérêts]]</f>
        <v>#VALUE!</v>
      </c>
      <c r="F393" s="64" t="e">
        <f>$G$4-Tableau7[[#This Row],[Mensualité]]-Tableau7[[#This Row],[Intérêts]]</f>
        <v>#VALUE!</v>
      </c>
    </row>
    <row r="394" spans="2:6" x14ac:dyDescent="0.25">
      <c r="B394" s="67" t="str">
        <f t="shared" si="21"/>
        <v>NA</v>
      </c>
      <c r="C394" t="str">
        <f t="shared" si="22"/>
        <v>NA</v>
      </c>
      <c r="D394" s="64" t="e">
        <f t="shared" si="23"/>
        <v>#VALUE!</v>
      </c>
      <c r="E394" s="64" t="e">
        <f>Tableau7[[#This Row],[Mensualité]]-Tableau7[[#This Row],[Intérêts]]</f>
        <v>#VALUE!</v>
      </c>
      <c r="F394" s="64" t="e">
        <f>$G$4-Tableau7[[#This Row],[Mensualité]]-Tableau7[[#This Row],[Intérêts]]</f>
        <v>#VALUE!</v>
      </c>
    </row>
    <row r="395" spans="2:6" x14ac:dyDescent="0.25">
      <c r="B395" s="67" t="str">
        <f t="shared" si="21"/>
        <v>NA</v>
      </c>
      <c r="C395" t="str">
        <f t="shared" si="22"/>
        <v>NA</v>
      </c>
      <c r="D395" s="64" t="e">
        <f t="shared" si="23"/>
        <v>#VALUE!</v>
      </c>
      <c r="E395" s="64" t="e">
        <f>Tableau7[[#This Row],[Mensualité]]-Tableau7[[#This Row],[Intérêts]]</f>
        <v>#VALUE!</v>
      </c>
      <c r="F395" s="64" t="e">
        <f>$G$4-Tableau7[[#This Row],[Mensualité]]-Tableau7[[#This Row],[Intérêts]]</f>
        <v>#VALUE!</v>
      </c>
    </row>
    <row r="396" spans="2:6" x14ac:dyDescent="0.25">
      <c r="B396" s="67" t="str">
        <f t="shared" si="21"/>
        <v>NA</v>
      </c>
      <c r="C396" t="str">
        <f t="shared" si="22"/>
        <v>NA</v>
      </c>
      <c r="D396" s="64" t="e">
        <f t="shared" si="23"/>
        <v>#VALUE!</v>
      </c>
      <c r="E396" s="64" t="e">
        <f>Tableau7[[#This Row],[Mensualité]]-Tableau7[[#This Row],[Intérêts]]</f>
        <v>#VALUE!</v>
      </c>
      <c r="F396" s="64" t="e">
        <f>$G$4-Tableau7[[#This Row],[Mensualité]]-Tableau7[[#This Row],[Intérêts]]</f>
        <v>#VALUE!</v>
      </c>
    </row>
    <row r="397" spans="2:6" x14ac:dyDescent="0.25">
      <c r="B397" s="67" t="str">
        <f t="shared" si="21"/>
        <v>NA</v>
      </c>
      <c r="C397" t="str">
        <f t="shared" si="22"/>
        <v>NA</v>
      </c>
      <c r="D397" s="64" t="e">
        <f t="shared" si="23"/>
        <v>#VALUE!</v>
      </c>
      <c r="E397" s="64" t="e">
        <f>Tableau7[[#This Row],[Mensualité]]-Tableau7[[#This Row],[Intérêts]]</f>
        <v>#VALUE!</v>
      </c>
      <c r="F397" s="64" t="e">
        <f>$G$4-Tableau7[[#This Row],[Mensualité]]-Tableau7[[#This Row],[Intérêts]]</f>
        <v>#VALUE!</v>
      </c>
    </row>
    <row r="398" spans="2:6" x14ac:dyDescent="0.25">
      <c r="B398" s="67" t="str">
        <f t="shared" si="21"/>
        <v>NA</v>
      </c>
      <c r="C398" t="str">
        <f t="shared" si="22"/>
        <v>NA</v>
      </c>
      <c r="D398" s="64" t="e">
        <f t="shared" si="23"/>
        <v>#VALUE!</v>
      </c>
      <c r="E398" s="64" t="e">
        <f>Tableau7[[#This Row],[Mensualité]]-Tableau7[[#This Row],[Intérêts]]</f>
        <v>#VALUE!</v>
      </c>
      <c r="F398" s="64" t="e">
        <f>$G$4-Tableau7[[#This Row],[Mensualité]]-Tableau7[[#This Row],[Intérêts]]</f>
        <v>#VALUE!</v>
      </c>
    </row>
    <row r="399" spans="2:6" x14ac:dyDescent="0.25">
      <c r="B399" s="67" t="str">
        <f t="shared" si="21"/>
        <v>NA</v>
      </c>
      <c r="C399" t="str">
        <f t="shared" si="22"/>
        <v>NA</v>
      </c>
      <c r="D399" s="64" t="e">
        <f t="shared" si="23"/>
        <v>#VALUE!</v>
      </c>
      <c r="E399" s="64" t="e">
        <f>Tableau7[[#This Row],[Mensualité]]-Tableau7[[#This Row],[Intérêts]]</f>
        <v>#VALUE!</v>
      </c>
      <c r="F399" s="64" t="e">
        <f>$G$4-Tableau7[[#This Row],[Mensualité]]-Tableau7[[#This Row],[Intérêts]]</f>
        <v>#VALUE!</v>
      </c>
    </row>
    <row r="400" spans="2:6" x14ac:dyDescent="0.25">
      <c r="B400" s="67" t="str">
        <f t="shared" si="21"/>
        <v>NA</v>
      </c>
      <c r="C400" t="str">
        <f t="shared" si="22"/>
        <v>NA</v>
      </c>
      <c r="D400" s="64" t="e">
        <f t="shared" si="23"/>
        <v>#VALUE!</v>
      </c>
      <c r="E400" s="64" t="e">
        <f>Tableau7[[#This Row],[Mensualité]]-Tableau7[[#This Row],[Intérêts]]</f>
        <v>#VALUE!</v>
      </c>
      <c r="F400" s="64" t="e">
        <f>$G$4-Tableau7[[#This Row],[Mensualité]]-Tableau7[[#This Row],[Intérêts]]</f>
        <v>#VALUE!</v>
      </c>
    </row>
    <row r="401" spans="2:6" x14ac:dyDescent="0.25">
      <c r="B401" s="67" t="str">
        <f t="shared" si="21"/>
        <v>NA</v>
      </c>
      <c r="C401" t="str">
        <f t="shared" si="22"/>
        <v>NA</v>
      </c>
      <c r="D401" s="64" t="e">
        <f t="shared" si="23"/>
        <v>#VALUE!</v>
      </c>
      <c r="E401" s="64" t="e">
        <f>Tableau7[[#This Row],[Mensualité]]-Tableau7[[#This Row],[Intérêts]]</f>
        <v>#VALUE!</v>
      </c>
      <c r="F401" s="64" t="e">
        <f>$G$4-Tableau7[[#This Row],[Mensualité]]-Tableau7[[#This Row],[Intérêts]]</f>
        <v>#VALUE!</v>
      </c>
    </row>
    <row r="402" spans="2:6" x14ac:dyDescent="0.25">
      <c r="B402" s="67" t="str">
        <f t="shared" si="21"/>
        <v>NA</v>
      </c>
      <c r="C402" t="str">
        <f t="shared" si="22"/>
        <v>NA</v>
      </c>
      <c r="D402" s="64" t="e">
        <f t="shared" si="23"/>
        <v>#VALUE!</v>
      </c>
      <c r="E402" s="64" t="e">
        <f>Tableau7[[#This Row],[Mensualité]]-Tableau7[[#This Row],[Intérêts]]</f>
        <v>#VALUE!</v>
      </c>
      <c r="F402" s="64" t="e">
        <f>$G$4-Tableau7[[#This Row],[Mensualité]]-Tableau7[[#This Row],[Intérêts]]</f>
        <v>#VALUE!</v>
      </c>
    </row>
    <row r="403" spans="2:6" x14ac:dyDescent="0.25">
      <c r="B403" s="67" t="str">
        <f t="shared" si="21"/>
        <v>NA</v>
      </c>
      <c r="C403" t="str">
        <f t="shared" si="22"/>
        <v>NA</v>
      </c>
      <c r="D403" s="64" t="e">
        <f t="shared" si="23"/>
        <v>#VALUE!</v>
      </c>
      <c r="E403" s="64" t="e">
        <f>Tableau7[[#This Row],[Mensualité]]-Tableau7[[#This Row],[Intérêts]]</f>
        <v>#VALUE!</v>
      </c>
      <c r="F403" s="64" t="e">
        <f>$G$4-Tableau7[[#This Row],[Mensualité]]-Tableau7[[#This Row],[Intérêts]]</f>
        <v>#VALUE!</v>
      </c>
    </row>
    <row r="404" spans="2:6" x14ac:dyDescent="0.25">
      <c r="B404" s="67" t="str">
        <f t="shared" si="21"/>
        <v>NA</v>
      </c>
      <c r="C404" t="str">
        <f t="shared" si="22"/>
        <v>NA</v>
      </c>
      <c r="D404" s="64" t="e">
        <f t="shared" si="23"/>
        <v>#VALUE!</v>
      </c>
      <c r="E404" s="64" t="e">
        <f>Tableau7[[#This Row],[Mensualité]]-Tableau7[[#This Row],[Intérêts]]</f>
        <v>#VALUE!</v>
      </c>
      <c r="F404" s="64" t="e">
        <f>$G$4-Tableau7[[#This Row],[Mensualité]]-Tableau7[[#This Row],[Intérêts]]</f>
        <v>#VALUE!</v>
      </c>
    </row>
    <row r="405" spans="2:6" x14ac:dyDescent="0.25">
      <c r="B405" s="67" t="str">
        <f t="shared" si="21"/>
        <v>NA</v>
      </c>
      <c r="C405" t="str">
        <f t="shared" si="22"/>
        <v>NA</v>
      </c>
      <c r="D405" s="64" t="e">
        <f t="shared" si="23"/>
        <v>#VALUE!</v>
      </c>
      <c r="E405" s="64" t="e">
        <f>Tableau7[[#This Row],[Mensualité]]-Tableau7[[#This Row],[Intérêts]]</f>
        <v>#VALUE!</v>
      </c>
      <c r="F405" s="64" t="e">
        <f>$G$4-Tableau7[[#This Row],[Mensualité]]-Tableau7[[#This Row],[Intérêts]]</f>
        <v>#VALUE!</v>
      </c>
    </row>
    <row r="406" spans="2:6" x14ac:dyDescent="0.25">
      <c r="B406" s="67" t="str">
        <f t="shared" si="21"/>
        <v>NA</v>
      </c>
      <c r="C406" t="str">
        <f t="shared" si="22"/>
        <v>NA</v>
      </c>
      <c r="D406" s="64" t="e">
        <f t="shared" si="23"/>
        <v>#VALUE!</v>
      </c>
      <c r="E406" s="64" t="e">
        <f>Tableau7[[#This Row],[Mensualité]]-Tableau7[[#This Row],[Intérêts]]</f>
        <v>#VALUE!</v>
      </c>
      <c r="F406" s="64" t="e">
        <f>$G$4-Tableau7[[#This Row],[Mensualité]]-Tableau7[[#This Row],[Intérêts]]</f>
        <v>#VALUE!</v>
      </c>
    </row>
    <row r="407" spans="2:6" x14ac:dyDescent="0.25">
      <c r="B407" s="67" t="str">
        <f t="shared" si="21"/>
        <v>NA</v>
      </c>
      <c r="C407" t="str">
        <f t="shared" si="22"/>
        <v>NA</v>
      </c>
      <c r="D407" s="64" t="e">
        <f t="shared" si="23"/>
        <v>#VALUE!</v>
      </c>
      <c r="E407" s="64" t="e">
        <f>Tableau7[[#This Row],[Mensualité]]-Tableau7[[#This Row],[Intérêts]]</f>
        <v>#VALUE!</v>
      </c>
      <c r="F407" s="64" t="e">
        <f>$G$4-Tableau7[[#This Row],[Mensualité]]-Tableau7[[#This Row],[Intérêts]]</f>
        <v>#VALUE!</v>
      </c>
    </row>
    <row r="408" spans="2:6" x14ac:dyDescent="0.25">
      <c r="B408" s="67" t="str">
        <f t="shared" si="21"/>
        <v>NA</v>
      </c>
      <c r="C408" t="str">
        <f t="shared" si="22"/>
        <v>NA</v>
      </c>
      <c r="D408" s="64" t="e">
        <f t="shared" si="23"/>
        <v>#VALUE!</v>
      </c>
      <c r="E408" s="64" t="e">
        <f>Tableau7[[#This Row],[Mensualité]]-Tableau7[[#This Row],[Intérêts]]</f>
        <v>#VALUE!</v>
      </c>
      <c r="F408" s="64" t="e">
        <f>$G$4-Tableau7[[#This Row],[Mensualité]]-Tableau7[[#This Row],[Intérêts]]</f>
        <v>#VALUE!</v>
      </c>
    </row>
    <row r="409" spans="2:6" x14ac:dyDescent="0.25">
      <c r="B409" s="67" t="str">
        <f t="shared" si="21"/>
        <v>NA</v>
      </c>
      <c r="C409" t="str">
        <f t="shared" si="22"/>
        <v>NA</v>
      </c>
      <c r="D409" s="64" t="e">
        <f t="shared" si="23"/>
        <v>#VALUE!</v>
      </c>
      <c r="E409" s="64" t="e">
        <f>Tableau7[[#This Row],[Mensualité]]-Tableau7[[#This Row],[Intérêts]]</f>
        <v>#VALUE!</v>
      </c>
      <c r="F409" s="64" t="e">
        <f>$G$4-Tableau7[[#This Row],[Mensualité]]-Tableau7[[#This Row],[Intérêts]]</f>
        <v>#VALUE!</v>
      </c>
    </row>
    <row r="410" spans="2:6" x14ac:dyDescent="0.25">
      <c r="B410" s="67" t="str">
        <f t="shared" si="21"/>
        <v>NA</v>
      </c>
      <c r="C410" t="str">
        <f t="shared" si="22"/>
        <v>NA</v>
      </c>
      <c r="D410" s="64" t="e">
        <f t="shared" si="23"/>
        <v>#VALUE!</v>
      </c>
      <c r="E410" s="64" t="e">
        <f>Tableau7[[#This Row],[Mensualité]]-Tableau7[[#This Row],[Intérêts]]</f>
        <v>#VALUE!</v>
      </c>
      <c r="F410" s="64" t="e">
        <f>$G$4-Tableau7[[#This Row],[Mensualité]]-Tableau7[[#This Row],[Intérêts]]</f>
        <v>#VALUE!</v>
      </c>
    </row>
    <row r="411" spans="2:6" x14ac:dyDescent="0.25">
      <c r="B411" s="67" t="str">
        <f t="shared" si="21"/>
        <v>NA</v>
      </c>
      <c r="C411" t="str">
        <f t="shared" si="22"/>
        <v>NA</v>
      </c>
      <c r="D411" s="64" t="e">
        <f t="shared" si="23"/>
        <v>#VALUE!</v>
      </c>
      <c r="E411" s="64" t="e">
        <f>Tableau7[[#This Row],[Mensualité]]-Tableau7[[#This Row],[Intérêts]]</f>
        <v>#VALUE!</v>
      </c>
      <c r="F411" s="64" t="e">
        <f>$G$4-Tableau7[[#This Row],[Mensualité]]-Tableau7[[#This Row],[Intérêts]]</f>
        <v>#VALUE!</v>
      </c>
    </row>
    <row r="412" spans="2:6" x14ac:dyDescent="0.25">
      <c r="B412" s="67" t="str">
        <f t="shared" si="21"/>
        <v>NA</v>
      </c>
      <c r="C412" t="str">
        <f t="shared" si="22"/>
        <v>NA</v>
      </c>
      <c r="D412" s="64" t="e">
        <f t="shared" si="23"/>
        <v>#VALUE!</v>
      </c>
      <c r="E412" s="64" t="e">
        <f>Tableau7[[#This Row],[Mensualité]]-Tableau7[[#This Row],[Intérêts]]</f>
        <v>#VALUE!</v>
      </c>
      <c r="F412" s="64" t="e">
        <f>$G$4-Tableau7[[#This Row],[Mensualité]]-Tableau7[[#This Row],[Intérêts]]</f>
        <v>#VALUE!</v>
      </c>
    </row>
    <row r="413" spans="2:6" x14ac:dyDescent="0.25">
      <c r="B413" s="67" t="str">
        <f t="shared" si="21"/>
        <v>NA</v>
      </c>
      <c r="C413" t="str">
        <f t="shared" si="22"/>
        <v>NA</v>
      </c>
      <c r="D413" s="64" t="e">
        <f t="shared" si="23"/>
        <v>#VALUE!</v>
      </c>
      <c r="E413" s="64" t="e">
        <f>Tableau7[[#This Row],[Mensualité]]-Tableau7[[#This Row],[Intérêts]]</f>
        <v>#VALUE!</v>
      </c>
      <c r="F413" s="64" t="e">
        <f>$G$4-Tableau7[[#This Row],[Mensualité]]-Tableau7[[#This Row],[Intérêts]]</f>
        <v>#VALUE!</v>
      </c>
    </row>
    <row r="414" spans="2:6" x14ac:dyDescent="0.25">
      <c r="B414" s="67" t="str">
        <f t="shared" si="21"/>
        <v>NA</v>
      </c>
      <c r="C414" t="str">
        <f t="shared" si="22"/>
        <v>NA</v>
      </c>
      <c r="D414" s="64" t="e">
        <f t="shared" si="23"/>
        <v>#VALUE!</v>
      </c>
      <c r="E414" s="64" t="e">
        <f>Tableau7[[#This Row],[Mensualité]]-Tableau7[[#This Row],[Intérêts]]</f>
        <v>#VALUE!</v>
      </c>
      <c r="F414" s="64" t="e">
        <f>$G$4-Tableau7[[#This Row],[Mensualité]]-Tableau7[[#This Row],[Intérêts]]</f>
        <v>#VALUE!</v>
      </c>
    </row>
    <row r="415" spans="2:6" x14ac:dyDescent="0.25">
      <c r="B415" s="67" t="str">
        <f t="shared" si="21"/>
        <v>NA</v>
      </c>
      <c r="C415" t="str">
        <f t="shared" si="22"/>
        <v>NA</v>
      </c>
      <c r="D415" s="64" t="e">
        <f t="shared" si="23"/>
        <v>#VALUE!</v>
      </c>
      <c r="E415" s="64" t="e">
        <f>Tableau7[[#This Row],[Mensualité]]-Tableau7[[#This Row],[Intérêts]]</f>
        <v>#VALUE!</v>
      </c>
      <c r="F415" s="64" t="e">
        <f>$G$4-Tableau7[[#This Row],[Mensualité]]-Tableau7[[#This Row],[Intérêts]]</f>
        <v>#VALUE!</v>
      </c>
    </row>
    <row r="416" spans="2:6" x14ac:dyDescent="0.25">
      <c r="B416" s="67" t="str">
        <f t="shared" si="21"/>
        <v>NA</v>
      </c>
      <c r="C416" t="str">
        <f t="shared" si="22"/>
        <v>NA</v>
      </c>
      <c r="D416" s="64" t="e">
        <f t="shared" si="23"/>
        <v>#VALUE!</v>
      </c>
      <c r="E416" s="64" t="e">
        <f>Tableau7[[#This Row],[Mensualité]]-Tableau7[[#This Row],[Intérêts]]</f>
        <v>#VALUE!</v>
      </c>
      <c r="F416" s="64" t="e">
        <f>$G$4-Tableau7[[#This Row],[Mensualité]]-Tableau7[[#This Row],[Intérêts]]</f>
        <v>#VALUE!</v>
      </c>
    </row>
    <row r="417" spans="2:6" x14ac:dyDescent="0.25">
      <c r="B417" s="67" t="str">
        <f t="shared" si="21"/>
        <v>NA</v>
      </c>
      <c r="C417" t="str">
        <f t="shared" si="22"/>
        <v>NA</v>
      </c>
      <c r="D417" s="64" t="e">
        <f t="shared" si="23"/>
        <v>#VALUE!</v>
      </c>
      <c r="E417" s="64" t="e">
        <f>Tableau7[[#This Row],[Mensualité]]-Tableau7[[#This Row],[Intérêts]]</f>
        <v>#VALUE!</v>
      </c>
      <c r="F417" s="64" t="e">
        <f>$G$4-Tableau7[[#This Row],[Mensualité]]-Tableau7[[#This Row],[Intérêts]]</f>
        <v>#VALUE!</v>
      </c>
    </row>
    <row r="418" spans="2:6" x14ac:dyDescent="0.25">
      <c r="B418" s="67" t="str">
        <f t="shared" si="21"/>
        <v>NA</v>
      </c>
      <c r="C418" t="str">
        <f t="shared" si="22"/>
        <v>NA</v>
      </c>
      <c r="D418" s="64" t="e">
        <f t="shared" si="23"/>
        <v>#VALUE!</v>
      </c>
      <c r="E418" s="64" t="e">
        <f>Tableau7[[#This Row],[Mensualité]]-Tableau7[[#This Row],[Intérêts]]</f>
        <v>#VALUE!</v>
      </c>
      <c r="F418" s="64" t="e">
        <f>$G$4-Tableau7[[#This Row],[Mensualité]]-Tableau7[[#This Row],[Intérêts]]</f>
        <v>#VALUE!</v>
      </c>
    </row>
    <row r="419" spans="2:6" x14ac:dyDescent="0.25">
      <c r="B419" s="67" t="str">
        <f t="shared" si="21"/>
        <v>NA</v>
      </c>
      <c r="C419" t="str">
        <f t="shared" si="22"/>
        <v>NA</v>
      </c>
      <c r="D419" s="64" t="e">
        <f t="shared" si="23"/>
        <v>#VALUE!</v>
      </c>
      <c r="E419" s="64" t="e">
        <f>Tableau7[[#This Row],[Mensualité]]-Tableau7[[#This Row],[Intérêts]]</f>
        <v>#VALUE!</v>
      </c>
      <c r="F419" s="64" t="e">
        <f>$G$4-Tableau7[[#This Row],[Mensualité]]-Tableau7[[#This Row],[Intérêts]]</f>
        <v>#VALUE!</v>
      </c>
    </row>
    <row r="420" spans="2:6" x14ac:dyDescent="0.25">
      <c r="B420" s="67" t="str">
        <f t="shared" si="21"/>
        <v>NA</v>
      </c>
      <c r="C420" t="str">
        <f t="shared" si="22"/>
        <v>NA</v>
      </c>
      <c r="D420" s="64" t="e">
        <f t="shared" si="23"/>
        <v>#VALUE!</v>
      </c>
      <c r="E420" s="64" t="e">
        <f>Tableau7[[#This Row],[Mensualité]]-Tableau7[[#This Row],[Intérêts]]</f>
        <v>#VALUE!</v>
      </c>
      <c r="F420" s="64" t="e">
        <f>$G$4-Tableau7[[#This Row],[Mensualité]]-Tableau7[[#This Row],[Intérêts]]</f>
        <v>#VALUE!</v>
      </c>
    </row>
    <row r="421" spans="2:6" x14ac:dyDescent="0.25">
      <c r="B421" s="67" t="str">
        <f t="shared" si="21"/>
        <v>NA</v>
      </c>
      <c r="C421" t="str">
        <f t="shared" si="22"/>
        <v>NA</v>
      </c>
      <c r="D421" s="64" t="e">
        <f t="shared" si="23"/>
        <v>#VALUE!</v>
      </c>
      <c r="E421" s="64" t="e">
        <f>Tableau7[[#This Row],[Mensualité]]-Tableau7[[#This Row],[Intérêts]]</f>
        <v>#VALUE!</v>
      </c>
      <c r="F421" s="64" t="e">
        <f>$G$4-Tableau7[[#This Row],[Mensualité]]-Tableau7[[#This Row],[Intérêts]]</f>
        <v>#VALUE!</v>
      </c>
    </row>
    <row r="422" spans="2:6" x14ac:dyDescent="0.25">
      <c r="B422" s="67" t="str">
        <f t="shared" si="21"/>
        <v>NA</v>
      </c>
      <c r="C422" t="str">
        <f t="shared" si="22"/>
        <v>NA</v>
      </c>
      <c r="D422" s="64" t="e">
        <f t="shared" si="23"/>
        <v>#VALUE!</v>
      </c>
      <c r="E422" s="64" t="e">
        <f>Tableau7[[#This Row],[Mensualité]]-Tableau7[[#This Row],[Intérêts]]</f>
        <v>#VALUE!</v>
      </c>
      <c r="F422" s="64" t="e">
        <f>$G$4-Tableau7[[#This Row],[Mensualité]]-Tableau7[[#This Row],[Intérêts]]</f>
        <v>#VALUE!</v>
      </c>
    </row>
    <row r="423" spans="2:6" x14ac:dyDescent="0.25">
      <c r="B423" s="67" t="str">
        <f t="shared" si="21"/>
        <v>NA</v>
      </c>
      <c r="C423" t="str">
        <f t="shared" si="22"/>
        <v>NA</v>
      </c>
      <c r="D423" s="64" t="e">
        <f t="shared" si="23"/>
        <v>#VALUE!</v>
      </c>
      <c r="E423" s="64" t="e">
        <f>Tableau7[[#This Row],[Mensualité]]-Tableau7[[#This Row],[Intérêts]]</f>
        <v>#VALUE!</v>
      </c>
      <c r="F423" s="64" t="e">
        <f>$G$4-Tableau7[[#This Row],[Mensualité]]-Tableau7[[#This Row],[Intérêts]]</f>
        <v>#VALUE!</v>
      </c>
    </row>
    <row r="424" spans="2:6" x14ac:dyDescent="0.25">
      <c r="B424" s="67" t="str">
        <f t="shared" si="21"/>
        <v>NA</v>
      </c>
      <c r="C424" t="str">
        <f t="shared" si="22"/>
        <v>NA</v>
      </c>
      <c r="D424" s="64" t="e">
        <f t="shared" si="23"/>
        <v>#VALUE!</v>
      </c>
      <c r="E424" s="64" t="e">
        <f>Tableau7[[#This Row],[Mensualité]]-Tableau7[[#This Row],[Intérêts]]</f>
        <v>#VALUE!</v>
      </c>
      <c r="F424" s="64" t="e">
        <f>$G$4-Tableau7[[#This Row],[Mensualité]]-Tableau7[[#This Row],[Intérêts]]</f>
        <v>#VALUE!</v>
      </c>
    </row>
    <row r="425" spans="2:6" x14ac:dyDescent="0.25">
      <c r="B425" s="67" t="str">
        <f t="shared" si="21"/>
        <v>NA</v>
      </c>
      <c r="C425" t="str">
        <f t="shared" si="22"/>
        <v>NA</v>
      </c>
      <c r="D425" s="64" t="e">
        <f t="shared" si="23"/>
        <v>#VALUE!</v>
      </c>
      <c r="E425" s="64" t="e">
        <f>Tableau7[[#This Row],[Mensualité]]-Tableau7[[#This Row],[Intérêts]]</f>
        <v>#VALUE!</v>
      </c>
      <c r="F425" s="64" t="e">
        <f>$G$4-Tableau7[[#This Row],[Mensualité]]-Tableau7[[#This Row],[Intérêts]]</f>
        <v>#VALUE!</v>
      </c>
    </row>
    <row r="426" spans="2:6" x14ac:dyDescent="0.25">
      <c r="B426" s="67" t="str">
        <f t="shared" si="21"/>
        <v>NA</v>
      </c>
      <c r="C426" t="str">
        <f t="shared" si="22"/>
        <v>NA</v>
      </c>
      <c r="D426" s="64" t="e">
        <f t="shared" si="23"/>
        <v>#VALUE!</v>
      </c>
      <c r="E426" s="64" t="e">
        <f>Tableau7[[#This Row],[Mensualité]]-Tableau7[[#This Row],[Intérêts]]</f>
        <v>#VALUE!</v>
      </c>
      <c r="F426" s="64" t="e">
        <f>$G$4-Tableau7[[#This Row],[Mensualité]]-Tableau7[[#This Row],[Intérêts]]</f>
        <v>#VALUE!</v>
      </c>
    </row>
    <row r="427" spans="2:6" x14ac:dyDescent="0.25">
      <c r="B427" s="67" t="str">
        <f t="shared" ref="B427:B490" si="24">$D$4</f>
        <v>NA</v>
      </c>
      <c r="C427" t="str">
        <f t="shared" ref="C427:C490" si="25">$H$4</f>
        <v>NA</v>
      </c>
      <c r="D427" s="64" t="e">
        <f t="shared" ref="D427:D490" si="26">G420*F420/12</f>
        <v>#VALUE!</v>
      </c>
      <c r="E427" s="64" t="e">
        <f>Tableau7[[#This Row],[Mensualité]]-Tableau7[[#This Row],[Intérêts]]</f>
        <v>#VALUE!</v>
      </c>
      <c r="F427" s="64" t="e">
        <f>$G$4-Tableau7[[#This Row],[Mensualité]]-Tableau7[[#This Row],[Intérêts]]</f>
        <v>#VALUE!</v>
      </c>
    </row>
    <row r="428" spans="2:6" x14ac:dyDescent="0.25">
      <c r="B428" s="67" t="str">
        <f t="shared" si="24"/>
        <v>NA</v>
      </c>
      <c r="C428" t="str">
        <f t="shared" si="25"/>
        <v>NA</v>
      </c>
      <c r="D428" s="64" t="e">
        <f t="shared" si="26"/>
        <v>#VALUE!</v>
      </c>
      <c r="E428" s="64" t="e">
        <f>Tableau7[[#This Row],[Mensualité]]-Tableau7[[#This Row],[Intérêts]]</f>
        <v>#VALUE!</v>
      </c>
      <c r="F428" s="64" t="e">
        <f>$G$4-Tableau7[[#This Row],[Mensualité]]-Tableau7[[#This Row],[Intérêts]]</f>
        <v>#VALUE!</v>
      </c>
    </row>
    <row r="429" spans="2:6" x14ac:dyDescent="0.25">
      <c r="B429" s="67" t="str">
        <f t="shared" si="24"/>
        <v>NA</v>
      </c>
      <c r="C429" t="str">
        <f t="shared" si="25"/>
        <v>NA</v>
      </c>
      <c r="D429" s="64" t="e">
        <f t="shared" si="26"/>
        <v>#VALUE!</v>
      </c>
      <c r="E429" s="64" t="e">
        <f>Tableau7[[#This Row],[Mensualité]]-Tableau7[[#This Row],[Intérêts]]</f>
        <v>#VALUE!</v>
      </c>
      <c r="F429" s="64" t="e">
        <f>$G$4-Tableau7[[#This Row],[Mensualité]]-Tableau7[[#This Row],[Intérêts]]</f>
        <v>#VALUE!</v>
      </c>
    </row>
    <row r="430" spans="2:6" x14ac:dyDescent="0.25">
      <c r="B430" s="67" t="str">
        <f t="shared" si="24"/>
        <v>NA</v>
      </c>
      <c r="C430" t="str">
        <f t="shared" si="25"/>
        <v>NA</v>
      </c>
      <c r="D430" s="64" t="e">
        <f t="shared" si="26"/>
        <v>#VALUE!</v>
      </c>
      <c r="E430" s="64" t="e">
        <f>Tableau7[[#This Row],[Mensualité]]-Tableau7[[#This Row],[Intérêts]]</f>
        <v>#VALUE!</v>
      </c>
      <c r="F430" s="64" t="e">
        <f>$G$4-Tableau7[[#This Row],[Mensualité]]-Tableau7[[#This Row],[Intérêts]]</f>
        <v>#VALUE!</v>
      </c>
    </row>
    <row r="431" spans="2:6" x14ac:dyDescent="0.25">
      <c r="B431" s="67" t="str">
        <f t="shared" si="24"/>
        <v>NA</v>
      </c>
      <c r="C431" t="str">
        <f t="shared" si="25"/>
        <v>NA</v>
      </c>
      <c r="D431" s="64" t="e">
        <f t="shared" si="26"/>
        <v>#VALUE!</v>
      </c>
      <c r="E431" s="64" t="e">
        <f>Tableau7[[#This Row],[Mensualité]]-Tableau7[[#This Row],[Intérêts]]</f>
        <v>#VALUE!</v>
      </c>
      <c r="F431" s="64" t="e">
        <f>$G$4-Tableau7[[#This Row],[Mensualité]]-Tableau7[[#This Row],[Intérêts]]</f>
        <v>#VALUE!</v>
      </c>
    </row>
    <row r="432" spans="2:6" x14ac:dyDescent="0.25">
      <c r="B432" s="67" t="str">
        <f t="shared" si="24"/>
        <v>NA</v>
      </c>
      <c r="C432" t="str">
        <f t="shared" si="25"/>
        <v>NA</v>
      </c>
      <c r="D432" s="64" t="e">
        <f t="shared" si="26"/>
        <v>#VALUE!</v>
      </c>
      <c r="E432" s="64" t="e">
        <f>Tableau7[[#This Row],[Mensualité]]-Tableau7[[#This Row],[Intérêts]]</f>
        <v>#VALUE!</v>
      </c>
      <c r="F432" s="64" t="e">
        <f>$G$4-Tableau7[[#This Row],[Mensualité]]-Tableau7[[#This Row],[Intérêts]]</f>
        <v>#VALUE!</v>
      </c>
    </row>
    <row r="433" spans="2:6" x14ac:dyDescent="0.25">
      <c r="B433" s="67" t="str">
        <f t="shared" si="24"/>
        <v>NA</v>
      </c>
      <c r="C433" t="str">
        <f t="shared" si="25"/>
        <v>NA</v>
      </c>
      <c r="D433" s="64" t="e">
        <f t="shared" si="26"/>
        <v>#VALUE!</v>
      </c>
      <c r="E433" s="64" t="e">
        <f>Tableau7[[#This Row],[Mensualité]]-Tableau7[[#This Row],[Intérêts]]</f>
        <v>#VALUE!</v>
      </c>
      <c r="F433" s="64" t="e">
        <f>$G$4-Tableau7[[#This Row],[Mensualité]]-Tableau7[[#This Row],[Intérêts]]</f>
        <v>#VALUE!</v>
      </c>
    </row>
    <row r="434" spans="2:6" x14ac:dyDescent="0.25">
      <c r="B434" s="67" t="str">
        <f t="shared" si="24"/>
        <v>NA</v>
      </c>
      <c r="C434" t="str">
        <f t="shared" si="25"/>
        <v>NA</v>
      </c>
      <c r="D434" s="64" t="e">
        <f t="shared" si="26"/>
        <v>#VALUE!</v>
      </c>
      <c r="E434" s="64" t="e">
        <f>Tableau7[[#This Row],[Mensualité]]-Tableau7[[#This Row],[Intérêts]]</f>
        <v>#VALUE!</v>
      </c>
      <c r="F434" s="64" t="e">
        <f>$G$4-Tableau7[[#This Row],[Mensualité]]-Tableau7[[#This Row],[Intérêts]]</f>
        <v>#VALUE!</v>
      </c>
    </row>
    <row r="435" spans="2:6" x14ac:dyDescent="0.25">
      <c r="B435" s="67" t="str">
        <f t="shared" si="24"/>
        <v>NA</v>
      </c>
      <c r="C435" t="str">
        <f t="shared" si="25"/>
        <v>NA</v>
      </c>
      <c r="D435" s="64" t="e">
        <f t="shared" si="26"/>
        <v>#VALUE!</v>
      </c>
      <c r="E435" s="64" t="e">
        <f>Tableau7[[#This Row],[Mensualité]]-Tableau7[[#This Row],[Intérêts]]</f>
        <v>#VALUE!</v>
      </c>
      <c r="F435" s="64" t="e">
        <f>$G$4-Tableau7[[#This Row],[Mensualité]]-Tableau7[[#This Row],[Intérêts]]</f>
        <v>#VALUE!</v>
      </c>
    </row>
    <row r="436" spans="2:6" x14ac:dyDescent="0.25">
      <c r="B436" s="67" t="str">
        <f t="shared" si="24"/>
        <v>NA</v>
      </c>
      <c r="C436" t="str">
        <f t="shared" si="25"/>
        <v>NA</v>
      </c>
      <c r="D436" s="64" t="e">
        <f t="shared" si="26"/>
        <v>#VALUE!</v>
      </c>
      <c r="E436" s="64" t="e">
        <f>Tableau7[[#This Row],[Mensualité]]-Tableau7[[#This Row],[Intérêts]]</f>
        <v>#VALUE!</v>
      </c>
      <c r="F436" s="64" t="e">
        <f>$G$4-Tableau7[[#This Row],[Mensualité]]-Tableau7[[#This Row],[Intérêts]]</f>
        <v>#VALUE!</v>
      </c>
    </row>
    <row r="437" spans="2:6" x14ac:dyDescent="0.25">
      <c r="B437" s="67" t="str">
        <f t="shared" si="24"/>
        <v>NA</v>
      </c>
      <c r="C437" t="str">
        <f t="shared" si="25"/>
        <v>NA</v>
      </c>
      <c r="D437" s="64" t="e">
        <f t="shared" si="26"/>
        <v>#VALUE!</v>
      </c>
      <c r="E437" s="64" t="e">
        <f>Tableau7[[#This Row],[Mensualité]]-Tableau7[[#This Row],[Intérêts]]</f>
        <v>#VALUE!</v>
      </c>
      <c r="F437" s="64" t="e">
        <f>$G$4-Tableau7[[#This Row],[Mensualité]]-Tableau7[[#This Row],[Intérêts]]</f>
        <v>#VALUE!</v>
      </c>
    </row>
    <row r="438" spans="2:6" x14ac:dyDescent="0.25">
      <c r="B438" s="67" t="str">
        <f t="shared" si="24"/>
        <v>NA</v>
      </c>
      <c r="C438" t="str">
        <f t="shared" si="25"/>
        <v>NA</v>
      </c>
      <c r="D438" s="64" t="e">
        <f t="shared" si="26"/>
        <v>#VALUE!</v>
      </c>
      <c r="E438" s="64" t="e">
        <f>Tableau7[[#This Row],[Mensualité]]-Tableau7[[#This Row],[Intérêts]]</f>
        <v>#VALUE!</v>
      </c>
      <c r="F438" s="64" t="e">
        <f>$G$4-Tableau7[[#This Row],[Mensualité]]-Tableau7[[#This Row],[Intérêts]]</f>
        <v>#VALUE!</v>
      </c>
    </row>
    <row r="439" spans="2:6" x14ac:dyDescent="0.25">
      <c r="B439" s="67" t="str">
        <f t="shared" si="24"/>
        <v>NA</v>
      </c>
      <c r="C439" t="str">
        <f t="shared" si="25"/>
        <v>NA</v>
      </c>
      <c r="D439" s="64" t="e">
        <f t="shared" si="26"/>
        <v>#VALUE!</v>
      </c>
      <c r="E439" s="64" t="e">
        <f>Tableau7[[#This Row],[Mensualité]]-Tableau7[[#This Row],[Intérêts]]</f>
        <v>#VALUE!</v>
      </c>
      <c r="F439" s="64" t="e">
        <f>$G$4-Tableau7[[#This Row],[Mensualité]]-Tableau7[[#This Row],[Intérêts]]</f>
        <v>#VALUE!</v>
      </c>
    </row>
    <row r="440" spans="2:6" x14ac:dyDescent="0.25">
      <c r="B440" s="67" t="str">
        <f t="shared" si="24"/>
        <v>NA</v>
      </c>
      <c r="C440" t="str">
        <f t="shared" si="25"/>
        <v>NA</v>
      </c>
      <c r="D440" s="64" t="e">
        <f t="shared" si="26"/>
        <v>#VALUE!</v>
      </c>
      <c r="E440" s="64" t="e">
        <f>Tableau7[[#This Row],[Mensualité]]-Tableau7[[#This Row],[Intérêts]]</f>
        <v>#VALUE!</v>
      </c>
      <c r="F440" s="64" t="e">
        <f>$G$4-Tableau7[[#This Row],[Mensualité]]-Tableau7[[#This Row],[Intérêts]]</f>
        <v>#VALUE!</v>
      </c>
    </row>
    <row r="441" spans="2:6" x14ac:dyDescent="0.25">
      <c r="B441" s="67" t="str">
        <f t="shared" si="24"/>
        <v>NA</v>
      </c>
      <c r="C441" t="str">
        <f t="shared" si="25"/>
        <v>NA</v>
      </c>
      <c r="D441" s="64" t="e">
        <f t="shared" si="26"/>
        <v>#VALUE!</v>
      </c>
      <c r="E441" s="64" t="e">
        <f>Tableau7[[#This Row],[Mensualité]]-Tableau7[[#This Row],[Intérêts]]</f>
        <v>#VALUE!</v>
      </c>
      <c r="F441" s="64" t="e">
        <f>$G$4-Tableau7[[#This Row],[Mensualité]]-Tableau7[[#This Row],[Intérêts]]</f>
        <v>#VALUE!</v>
      </c>
    </row>
    <row r="442" spans="2:6" x14ac:dyDescent="0.25">
      <c r="B442" s="67" t="str">
        <f t="shared" si="24"/>
        <v>NA</v>
      </c>
      <c r="C442" t="str">
        <f t="shared" si="25"/>
        <v>NA</v>
      </c>
      <c r="D442" s="64" t="e">
        <f t="shared" si="26"/>
        <v>#VALUE!</v>
      </c>
      <c r="E442" s="64" t="e">
        <f>Tableau7[[#This Row],[Mensualité]]-Tableau7[[#This Row],[Intérêts]]</f>
        <v>#VALUE!</v>
      </c>
      <c r="F442" s="64" t="e">
        <f>$G$4-Tableau7[[#This Row],[Mensualité]]-Tableau7[[#This Row],[Intérêts]]</f>
        <v>#VALUE!</v>
      </c>
    </row>
    <row r="443" spans="2:6" x14ac:dyDescent="0.25">
      <c r="B443" s="67" t="str">
        <f t="shared" si="24"/>
        <v>NA</v>
      </c>
      <c r="C443" t="str">
        <f t="shared" si="25"/>
        <v>NA</v>
      </c>
      <c r="D443" s="64" t="e">
        <f t="shared" si="26"/>
        <v>#VALUE!</v>
      </c>
      <c r="E443" s="64" t="e">
        <f>Tableau7[[#This Row],[Mensualité]]-Tableau7[[#This Row],[Intérêts]]</f>
        <v>#VALUE!</v>
      </c>
      <c r="F443" s="64" t="e">
        <f>$G$4-Tableau7[[#This Row],[Mensualité]]-Tableau7[[#This Row],[Intérêts]]</f>
        <v>#VALUE!</v>
      </c>
    </row>
    <row r="444" spans="2:6" x14ac:dyDescent="0.25">
      <c r="B444" s="67" t="str">
        <f t="shared" si="24"/>
        <v>NA</v>
      </c>
      <c r="C444" t="str">
        <f t="shared" si="25"/>
        <v>NA</v>
      </c>
      <c r="D444" s="64" t="e">
        <f t="shared" si="26"/>
        <v>#VALUE!</v>
      </c>
      <c r="E444" s="64" t="e">
        <f>Tableau7[[#This Row],[Mensualité]]-Tableau7[[#This Row],[Intérêts]]</f>
        <v>#VALUE!</v>
      </c>
      <c r="F444" s="64" t="e">
        <f>$G$4-Tableau7[[#This Row],[Mensualité]]-Tableau7[[#This Row],[Intérêts]]</f>
        <v>#VALUE!</v>
      </c>
    </row>
    <row r="445" spans="2:6" x14ac:dyDescent="0.25">
      <c r="B445" s="67" t="str">
        <f t="shared" si="24"/>
        <v>NA</v>
      </c>
      <c r="C445" t="str">
        <f t="shared" si="25"/>
        <v>NA</v>
      </c>
      <c r="D445" s="64" t="e">
        <f t="shared" si="26"/>
        <v>#VALUE!</v>
      </c>
      <c r="E445" s="64" t="e">
        <f>Tableau7[[#This Row],[Mensualité]]-Tableau7[[#This Row],[Intérêts]]</f>
        <v>#VALUE!</v>
      </c>
      <c r="F445" s="64" t="e">
        <f>$G$4-Tableau7[[#This Row],[Mensualité]]-Tableau7[[#This Row],[Intérêts]]</f>
        <v>#VALUE!</v>
      </c>
    </row>
    <row r="446" spans="2:6" x14ac:dyDescent="0.25">
      <c r="B446" s="67" t="str">
        <f t="shared" si="24"/>
        <v>NA</v>
      </c>
      <c r="C446" t="str">
        <f t="shared" si="25"/>
        <v>NA</v>
      </c>
      <c r="D446" s="64" t="e">
        <f t="shared" si="26"/>
        <v>#VALUE!</v>
      </c>
      <c r="E446" s="64" t="e">
        <f>Tableau7[[#This Row],[Mensualité]]-Tableau7[[#This Row],[Intérêts]]</f>
        <v>#VALUE!</v>
      </c>
      <c r="F446" s="64" t="e">
        <f>$G$4-Tableau7[[#This Row],[Mensualité]]-Tableau7[[#This Row],[Intérêts]]</f>
        <v>#VALUE!</v>
      </c>
    </row>
    <row r="447" spans="2:6" x14ac:dyDescent="0.25">
      <c r="B447" s="67" t="str">
        <f t="shared" si="24"/>
        <v>NA</v>
      </c>
      <c r="C447" t="str">
        <f t="shared" si="25"/>
        <v>NA</v>
      </c>
      <c r="D447" s="64" t="e">
        <f t="shared" si="26"/>
        <v>#VALUE!</v>
      </c>
      <c r="E447" s="64" t="e">
        <f>Tableau7[[#This Row],[Mensualité]]-Tableau7[[#This Row],[Intérêts]]</f>
        <v>#VALUE!</v>
      </c>
      <c r="F447" s="64" t="e">
        <f>$G$4-Tableau7[[#This Row],[Mensualité]]-Tableau7[[#This Row],[Intérêts]]</f>
        <v>#VALUE!</v>
      </c>
    </row>
    <row r="448" spans="2:6" x14ac:dyDescent="0.25">
      <c r="B448" s="67" t="str">
        <f t="shared" si="24"/>
        <v>NA</v>
      </c>
      <c r="C448" t="str">
        <f t="shared" si="25"/>
        <v>NA</v>
      </c>
      <c r="D448" s="64" t="e">
        <f t="shared" si="26"/>
        <v>#VALUE!</v>
      </c>
      <c r="E448" s="64" t="e">
        <f>Tableau7[[#This Row],[Mensualité]]-Tableau7[[#This Row],[Intérêts]]</f>
        <v>#VALUE!</v>
      </c>
      <c r="F448" s="64" t="e">
        <f>$G$4-Tableau7[[#This Row],[Mensualité]]-Tableau7[[#This Row],[Intérêts]]</f>
        <v>#VALUE!</v>
      </c>
    </row>
    <row r="449" spans="2:6" x14ac:dyDescent="0.25">
      <c r="B449" s="67" t="str">
        <f t="shared" si="24"/>
        <v>NA</v>
      </c>
      <c r="C449" t="str">
        <f t="shared" si="25"/>
        <v>NA</v>
      </c>
      <c r="D449" s="64" t="e">
        <f t="shared" si="26"/>
        <v>#VALUE!</v>
      </c>
      <c r="E449" s="64" t="e">
        <f>Tableau7[[#This Row],[Mensualité]]-Tableau7[[#This Row],[Intérêts]]</f>
        <v>#VALUE!</v>
      </c>
      <c r="F449" s="64" t="e">
        <f>$G$4-Tableau7[[#This Row],[Mensualité]]-Tableau7[[#This Row],[Intérêts]]</f>
        <v>#VALUE!</v>
      </c>
    </row>
    <row r="450" spans="2:6" x14ac:dyDescent="0.25">
      <c r="B450" s="67" t="str">
        <f t="shared" si="24"/>
        <v>NA</v>
      </c>
      <c r="C450" t="str">
        <f t="shared" si="25"/>
        <v>NA</v>
      </c>
      <c r="D450" s="64" t="e">
        <f t="shared" si="26"/>
        <v>#VALUE!</v>
      </c>
      <c r="E450" s="64" t="e">
        <f>Tableau7[[#This Row],[Mensualité]]-Tableau7[[#This Row],[Intérêts]]</f>
        <v>#VALUE!</v>
      </c>
      <c r="F450" s="64" t="e">
        <f>$G$4-Tableau7[[#This Row],[Mensualité]]-Tableau7[[#This Row],[Intérêts]]</f>
        <v>#VALUE!</v>
      </c>
    </row>
    <row r="451" spans="2:6" x14ac:dyDescent="0.25">
      <c r="B451" s="67" t="str">
        <f t="shared" si="24"/>
        <v>NA</v>
      </c>
      <c r="C451" t="str">
        <f t="shared" si="25"/>
        <v>NA</v>
      </c>
      <c r="D451" s="64" t="e">
        <f t="shared" si="26"/>
        <v>#VALUE!</v>
      </c>
      <c r="E451" s="64" t="e">
        <f>Tableau7[[#This Row],[Mensualité]]-Tableau7[[#This Row],[Intérêts]]</f>
        <v>#VALUE!</v>
      </c>
      <c r="F451" s="64" t="e">
        <f>$G$4-Tableau7[[#This Row],[Mensualité]]-Tableau7[[#This Row],[Intérêts]]</f>
        <v>#VALUE!</v>
      </c>
    </row>
    <row r="452" spans="2:6" x14ac:dyDescent="0.25">
      <c r="B452" s="67" t="str">
        <f t="shared" si="24"/>
        <v>NA</v>
      </c>
      <c r="C452" t="str">
        <f t="shared" si="25"/>
        <v>NA</v>
      </c>
      <c r="D452" s="64" t="e">
        <f t="shared" si="26"/>
        <v>#VALUE!</v>
      </c>
      <c r="E452" s="64" t="e">
        <f>Tableau7[[#This Row],[Mensualité]]-Tableau7[[#This Row],[Intérêts]]</f>
        <v>#VALUE!</v>
      </c>
      <c r="F452" s="64" t="e">
        <f>$G$4-Tableau7[[#This Row],[Mensualité]]-Tableau7[[#This Row],[Intérêts]]</f>
        <v>#VALUE!</v>
      </c>
    </row>
    <row r="453" spans="2:6" x14ac:dyDescent="0.25">
      <c r="B453" s="67" t="str">
        <f t="shared" si="24"/>
        <v>NA</v>
      </c>
      <c r="C453" t="str">
        <f t="shared" si="25"/>
        <v>NA</v>
      </c>
      <c r="D453" s="64" t="e">
        <f t="shared" si="26"/>
        <v>#VALUE!</v>
      </c>
      <c r="E453" s="64" t="e">
        <f>Tableau7[[#This Row],[Mensualité]]-Tableau7[[#This Row],[Intérêts]]</f>
        <v>#VALUE!</v>
      </c>
      <c r="F453" s="64" t="e">
        <f>$G$4-Tableau7[[#This Row],[Mensualité]]-Tableau7[[#This Row],[Intérêts]]</f>
        <v>#VALUE!</v>
      </c>
    </row>
    <row r="454" spans="2:6" x14ac:dyDescent="0.25">
      <c r="B454" s="67" t="str">
        <f t="shared" si="24"/>
        <v>NA</v>
      </c>
      <c r="C454" t="str">
        <f t="shared" si="25"/>
        <v>NA</v>
      </c>
      <c r="D454" s="64" t="e">
        <f t="shared" si="26"/>
        <v>#VALUE!</v>
      </c>
      <c r="E454" s="64" t="e">
        <f>Tableau7[[#This Row],[Mensualité]]-Tableau7[[#This Row],[Intérêts]]</f>
        <v>#VALUE!</v>
      </c>
      <c r="F454" s="64" t="e">
        <f>$G$4-Tableau7[[#This Row],[Mensualité]]-Tableau7[[#This Row],[Intérêts]]</f>
        <v>#VALUE!</v>
      </c>
    </row>
    <row r="455" spans="2:6" x14ac:dyDescent="0.25">
      <c r="B455" s="67" t="str">
        <f t="shared" si="24"/>
        <v>NA</v>
      </c>
      <c r="C455" t="str">
        <f t="shared" si="25"/>
        <v>NA</v>
      </c>
      <c r="D455" s="64" t="e">
        <f t="shared" si="26"/>
        <v>#VALUE!</v>
      </c>
      <c r="E455" s="64" t="e">
        <f>Tableau7[[#This Row],[Mensualité]]-Tableau7[[#This Row],[Intérêts]]</f>
        <v>#VALUE!</v>
      </c>
      <c r="F455" s="64" t="e">
        <f>$G$4-Tableau7[[#This Row],[Mensualité]]-Tableau7[[#This Row],[Intérêts]]</f>
        <v>#VALUE!</v>
      </c>
    </row>
    <row r="456" spans="2:6" x14ac:dyDescent="0.25">
      <c r="B456" s="67" t="str">
        <f t="shared" si="24"/>
        <v>NA</v>
      </c>
      <c r="C456" t="str">
        <f t="shared" si="25"/>
        <v>NA</v>
      </c>
      <c r="D456" s="64" t="e">
        <f t="shared" si="26"/>
        <v>#VALUE!</v>
      </c>
      <c r="E456" s="64" t="e">
        <f>Tableau7[[#This Row],[Mensualité]]-Tableau7[[#This Row],[Intérêts]]</f>
        <v>#VALUE!</v>
      </c>
      <c r="F456" s="64" t="e">
        <f>$G$4-Tableau7[[#This Row],[Mensualité]]-Tableau7[[#This Row],[Intérêts]]</f>
        <v>#VALUE!</v>
      </c>
    </row>
    <row r="457" spans="2:6" x14ac:dyDescent="0.25">
      <c r="B457" s="67" t="str">
        <f t="shared" si="24"/>
        <v>NA</v>
      </c>
      <c r="C457" t="str">
        <f t="shared" si="25"/>
        <v>NA</v>
      </c>
      <c r="D457" s="64" t="e">
        <f t="shared" si="26"/>
        <v>#VALUE!</v>
      </c>
      <c r="E457" s="64" t="e">
        <f>Tableau7[[#This Row],[Mensualité]]-Tableau7[[#This Row],[Intérêts]]</f>
        <v>#VALUE!</v>
      </c>
      <c r="F457" s="64" t="e">
        <f>$G$4-Tableau7[[#This Row],[Mensualité]]-Tableau7[[#This Row],[Intérêts]]</f>
        <v>#VALUE!</v>
      </c>
    </row>
    <row r="458" spans="2:6" x14ac:dyDescent="0.25">
      <c r="B458" s="67" t="str">
        <f t="shared" si="24"/>
        <v>NA</v>
      </c>
      <c r="C458" t="str">
        <f t="shared" si="25"/>
        <v>NA</v>
      </c>
      <c r="D458" s="64" t="e">
        <f t="shared" si="26"/>
        <v>#VALUE!</v>
      </c>
      <c r="E458" s="64" t="e">
        <f>Tableau7[[#This Row],[Mensualité]]-Tableau7[[#This Row],[Intérêts]]</f>
        <v>#VALUE!</v>
      </c>
      <c r="F458" s="64" t="e">
        <f>$G$4-Tableau7[[#This Row],[Mensualité]]-Tableau7[[#This Row],[Intérêts]]</f>
        <v>#VALUE!</v>
      </c>
    </row>
    <row r="459" spans="2:6" x14ac:dyDescent="0.25">
      <c r="B459" s="67" t="str">
        <f t="shared" si="24"/>
        <v>NA</v>
      </c>
      <c r="C459" t="str">
        <f t="shared" si="25"/>
        <v>NA</v>
      </c>
      <c r="D459" s="64" t="e">
        <f t="shared" si="26"/>
        <v>#VALUE!</v>
      </c>
      <c r="E459" s="64" t="e">
        <f>Tableau7[[#This Row],[Mensualité]]-Tableau7[[#This Row],[Intérêts]]</f>
        <v>#VALUE!</v>
      </c>
      <c r="F459" s="64" t="e">
        <f>$G$4-Tableau7[[#This Row],[Mensualité]]-Tableau7[[#This Row],[Intérêts]]</f>
        <v>#VALUE!</v>
      </c>
    </row>
    <row r="460" spans="2:6" x14ac:dyDescent="0.25">
      <c r="B460" s="67" t="str">
        <f t="shared" si="24"/>
        <v>NA</v>
      </c>
      <c r="C460" t="str">
        <f t="shared" si="25"/>
        <v>NA</v>
      </c>
      <c r="D460" s="64" t="e">
        <f t="shared" si="26"/>
        <v>#VALUE!</v>
      </c>
      <c r="E460" s="64" t="e">
        <f>Tableau7[[#This Row],[Mensualité]]-Tableau7[[#This Row],[Intérêts]]</f>
        <v>#VALUE!</v>
      </c>
      <c r="F460" s="64" t="e">
        <f>$G$4-Tableau7[[#This Row],[Mensualité]]-Tableau7[[#This Row],[Intérêts]]</f>
        <v>#VALUE!</v>
      </c>
    </row>
    <row r="461" spans="2:6" x14ac:dyDescent="0.25">
      <c r="B461" s="67" t="str">
        <f t="shared" si="24"/>
        <v>NA</v>
      </c>
      <c r="C461" t="str">
        <f t="shared" si="25"/>
        <v>NA</v>
      </c>
      <c r="D461" s="64" t="e">
        <f t="shared" si="26"/>
        <v>#VALUE!</v>
      </c>
      <c r="E461" s="64" t="e">
        <f>Tableau7[[#This Row],[Mensualité]]-Tableau7[[#This Row],[Intérêts]]</f>
        <v>#VALUE!</v>
      </c>
      <c r="F461" s="64" t="e">
        <f>$G$4-Tableau7[[#This Row],[Mensualité]]-Tableau7[[#This Row],[Intérêts]]</f>
        <v>#VALUE!</v>
      </c>
    </row>
    <row r="462" spans="2:6" x14ac:dyDescent="0.25">
      <c r="B462" s="67" t="str">
        <f t="shared" si="24"/>
        <v>NA</v>
      </c>
      <c r="C462" t="str">
        <f t="shared" si="25"/>
        <v>NA</v>
      </c>
      <c r="D462" s="64" t="e">
        <f t="shared" si="26"/>
        <v>#VALUE!</v>
      </c>
      <c r="E462" s="64" t="e">
        <f>Tableau7[[#This Row],[Mensualité]]-Tableau7[[#This Row],[Intérêts]]</f>
        <v>#VALUE!</v>
      </c>
      <c r="F462" s="64" t="e">
        <f>$G$4-Tableau7[[#This Row],[Mensualité]]-Tableau7[[#This Row],[Intérêts]]</f>
        <v>#VALUE!</v>
      </c>
    </row>
    <row r="463" spans="2:6" x14ac:dyDescent="0.25">
      <c r="B463" s="67" t="str">
        <f t="shared" si="24"/>
        <v>NA</v>
      </c>
      <c r="C463" t="str">
        <f t="shared" si="25"/>
        <v>NA</v>
      </c>
      <c r="D463" s="64" t="e">
        <f t="shared" si="26"/>
        <v>#VALUE!</v>
      </c>
      <c r="E463" s="64" t="e">
        <f>Tableau7[[#This Row],[Mensualité]]-Tableau7[[#This Row],[Intérêts]]</f>
        <v>#VALUE!</v>
      </c>
      <c r="F463" s="64" t="e">
        <f>$G$4-Tableau7[[#This Row],[Mensualité]]-Tableau7[[#This Row],[Intérêts]]</f>
        <v>#VALUE!</v>
      </c>
    </row>
    <row r="464" spans="2:6" x14ac:dyDescent="0.25">
      <c r="B464" s="67" t="str">
        <f t="shared" si="24"/>
        <v>NA</v>
      </c>
      <c r="C464" t="str">
        <f t="shared" si="25"/>
        <v>NA</v>
      </c>
      <c r="D464" s="64" t="e">
        <f t="shared" si="26"/>
        <v>#VALUE!</v>
      </c>
      <c r="E464" s="64" t="e">
        <f>Tableau7[[#This Row],[Mensualité]]-Tableau7[[#This Row],[Intérêts]]</f>
        <v>#VALUE!</v>
      </c>
      <c r="F464" s="64" t="e">
        <f>$G$4-Tableau7[[#This Row],[Mensualité]]-Tableau7[[#This Row],[Intérêts]]</f>
        <v>#VALUE!</v>
      </c>
    </row>
    <row r="465" spans="2:6" x14ac:dyDescent="0.25">
      <c r="B465" s="67" t="str">
        <f t="shared" si="24"/>
        <v>NA</v>
      </c>
      <c r="C465" t="str">
        <f t="shared" si="25"/>
        <v>NA</v>
      </c>
      <c r="D465" s="64" t="e">
        <f t="shared" si="26"/>
        <v>#VALUE!</v>
      </c>
      <c r="E465" s="64" t="e">
        <f>Tableau7[[#This Row],[Mensualité]]-Tableau7[[#This Row],[Intérêts]]</f>
        <v>#VALUE!</v>
      </c>
      <c r="F465" s="64" t="e">
        <f>$G$4-Tableau7[[#This Row],[Mensualité]]-Tableau7[[#This Row],[Intérêts]]</f>
        <v>#VALUE!</v>
      </c>
    </row>
    <row r="466" spans="2:6" x14ac:dyDescent="0.25">
      <c r="B466" s="67" t="str">
        <f t="shared" si="24"/>
        <v>NA</v>
      </c>
      <c r="C466" t="str">
        <f t="shared" si="25"/>
        <v>NA</v>
      </c>
      <c r="D466" s="64" t="e">
        <f t="shared" si="26"/>
        <v>#VALUE!</v>
      </c>
      <c r="E466" s="64" t="e">
        <f>Tableau7[[#This Row],[Mensualité]]-Tableau7[[#This Row],[Intérêts]]</f>
        <v>#VALUE!</v>
      </c>
      <c r="F466" s="64" t="e">
        <f>$G$4-Tableau7[[#This Row],[Mensualité]]-Tableau7[[#This Row],[Intérêts]]</f>
        <v>#VALUE!</v>
      </c>
    </row>
    <row r="467" spans="2:6" x14ac:dyDescent="0.25">
      <c r="B467" s="67" t="str">
        <f t="shared" si="24"/>
        <v>NA</v>
      </c>
      <c r="C467" t="str">
        <f t="shared" si="25"/>
        <v>NA</v>
      </c>
      <c r="D467" s="64" t="e">
        <f t="shared" si="26"/>
        <v>#VALUE!</v>
      </c>
      <c r="E467" s="64" t="e">
        <f>Tableau7[[#This Row],[Mensualité]]-Tableau7[[#This Row],[Intérêts]]</f>
        <v>#VALUE!</v>
      </c>
      <c r="F467" s="64" t="e">
        <f>$G$4-Tableau7[[#This Row],[Mensualité]]-Tableau7[[#This Row],[Intérêts]]</f>
        <v>#VALUE!</v>
      </c>
    </row>
    <row r="468" spans="2:6" x14ac:dyDescent="0.25">
      <c r="B468" s="67" t="str">
        <f t="shared" si="24"/>
        <v>NA</v>
      </c>
      <c r="C468" t="str">
        <f t="shared" si="25"/>
        <v>NA</v>
      </c>
      <c r="D468" s="64" t="e">
        <f t="shared" si="26"/>
        <v>#VALUE!</v>
      </c>
      <c r="E468" s="64" t="e">
        <f>Tableau7[[#This Row],[Mensualité]]-Tableau7[[#This Row],[Intérêts]]</f>
        <v>#VALUE!</v>
      </c>
      <c r="F468" s="64" t="e">
        <f>$G$4-Tableau7[[#This Row],[Mensualité]]-Tableau7[[#This Row],[Intérêts]]</f>
        <v>#VALUE!</v>
      </c>
    </row>
    <row r="469" spans="2:6" x14ac:dyDescent="0.25">
      <c r="B469" s="67" t="str">
        <f t="shared" si="24"/>
        <v>NA</v>
      </c>
      <c r="C469" t="str">
        <f t="shared" si="25"/>
        <v>NA</v>
      </c>
      <c r="D469" s="64" t="e">
        <f t="shared" si="26"/>
        <v>#VALUE!</v>
      </c>
      <c r="E469" s="64" t="e">
        <f>Tableau7[[#This Row],[Mensualité]]-Tableau7[[#This Row],[Intérêts]]</f>
        <v>#VALUE!</v>
      </c>
      <c r="F469" s="64" t="e">
        <f>$G$4-Tableau7[[#This Row],[Mensualité]]-Tableau7[[#This Row],[Intérêts]]</f>
        <v>#VALUE!</v>
      </c>
    </row>
    <row r="470" spans="2:6" x14ac:dyDescent="0.25">
      <c r="B470" s="67" t="str">
        <f t="shared" si="24"/>
        <v>NA</v>
      </c>
      <c r="C470" t="str">
        <f t="shared" si="25"/>
        <v>NA</v>
      </c>
      <c r="D470" s="64" t="e">
        <f t="shared" si="26"/>
        <v>#VALUE!</v>
      </c>
      <c r="E470" s="64" t="e">
        <f>Tableau7[[#This Row],[Mensualité]]-Tableau7[[#This Row],[Intérêts]]</f>
        <v>#VALUE!</v>
      </c>
      <c r="F470" s="64" t="e">
        <f>$G$4-Tableau7[[#This Row],[Mensualité]]-Tableau7[[#This Row],[Intérêts]]</f>
        <v>#VALUE!</v>
      </c>
    </row>
    <row r="471" spans="2:6" x14ac:dyDescent="0.25">
      <c r="B471" s="67" t="str">
        <f t="shared" si="24"/>
        <v>NA</v>
      </c>
      <c r="C471" t="str">
        <f t="shared" si="25"/>
        <v>NA</v>
      </c>
      <c r="D471" s="64" t="e">
        <f t="shared" si="26"/>
        <v>#VALUE!</v>
      </c>
      <c r="E471" s="64" t="e">
        <f>Tableau7[[#This Row],[Mensualité]]-Tableau7[[#This Row],[Intérêts]]</f>
        <v>#VALUE!</v>
      </c>
      <c r="F471" s="64" t="e">
        <f>$G$4-Tableau7[[#This Row],[Mensualité]]-Tableau7[[#This Row],[Intérêts]]</f>
        <v>#VALUE!</v>
      </c>
    </row>
    <row r="472" spans="2:6" x14ac:dyDescent="0.25">
      <c r="B472" s="67" t="str">
        <f t="shared" si="24"/>
        <v>NA</v>
      </c>
      <c r="C472" t="str">
        <f t="shared" si="25"/>
        <v>NA</v>
      </c>
      <c r="D472" s="64" t="e">
        <f t="shared" si="26"/>
        <v>#VALUE!</v>
      </c>
      <c r="E472" s="64" t="e">
        <f>Tableau7[[#This Row],[Mensualité]]-Tableau7[[#This Row],[Intérêts]]</f>
        <v>#VALUE!</v>
      </c>
      <c r="F472" s="64" t="e">
        <f>$G$4-Tableau7[[#This Row],[Mensualité]]-Tableau7[[#This Row],[Intérêts]]</f>
        <v>#VALUE!</v>
      </c>
    </row>
    <row r="473" spans="2:6" x14ac:dyDescent="0.25">
      <c r="B473" s="67" t="str">
        <f t="shared" si="24"/>
        <v>NA</v>
      </c>
      <c r="C473" t="str">
        <f t="shared" si="25"/>
        <v>NA</v>
      </c>
      <c r="D473" s="64" t="e">
        <f t="shared" si="26"/>
        <v>#VALUE!</v>
      </c>
      <c r="E473" s="64" t="e">
        <f>Tableau7[[#This Row],[Mensualité]]-Tableau7[[#This Row],[Intérêts]]</f>
        <v>#VALUE!</v>
      </c>
      <c r="F473" s="64" t="e">
        <f>$G$4-Tableau7[[#This Row],[Mensualité]]-Tableau7[[#This Row],[Intérêts]]</f>
        <v>#VALUE!</v>
      </c>
    </row>
    <row r="474" spans="2:6" x14ac:dyDescent="0.25">
      <c r="B474" s="67" t="str">
        <f t="shared" si="24"/>
        <v>NA</v>
      </c>
      <c r="C474" t="str">
        <f t="shared" si="25"/>
        <v>NA</v>
      </c>
      <c r="D474" s="64" t="e">
        <f t="shared" si="26"/>
        <v>#VALUE!</v>
      </c>
      <c r="E474" s="64" t="e">
        <f>Tableau7[[#This Row],[Mensualité]]-Tableau7[[#This Row],[Intérêts]]</f>
        <v>#VALUE!</v>
      </c>
      <c r="F474" s="64" t="e">
        <f>$G$4-Tableau7[[#This Row],[Mensualité]]-Tableau7[[#This Row],[Intérêts]]</f>
        <v>#VALUE!</v>
      </c>
    </row>
    <row r="475" spans="2:6" x14ac:dyDescent="0.25">
      <c r="B475" s="67" t="str">
        <f t="shared" si="24"/>
        <v>NA</v>
      </c>
      <c r="C475" t="str">
        <f t="shared" si="25"/>
        <v>NA</v>
      </c>
      <c r="D475" s="64" t="e">
        <f t="shared" si="26"/>
        <v>#VALUE!</v>
      </c>
      <c r="E475" s="64" t="e">
        <f>Tableau7[[#This Row],[Mensualité]]-Tableau7[[#This Row],[Intérêts]]</f>
        <v>#VALUE!</v>
      </c>
      <c r="F475" s="64" t="e">
        <f>$G$4-Tableau7[[#This Row],[Mensualité]]-Tableau7[[#This Row],[Intérêts]]</f>
        <v>#VALUE!</v>
      </c>
    </row>
    <row r="476" spans="2:6" x14ac:dyDescent="0.25">
      <c r="B476" s="67" t="str">
        <f t="shared" si="24"/>
        <v>NA</v>
      </c>
      <c r="C476" t="str">
        <f t="shared" si="25"/>
        <v>NA</v>
      </c>
      <c r="D476" s="64" t="e">
        <f t="shared" si="26"/>
        <v>#VALUE!</v>
      </c>
      <c r="E476" s="64" t="e">
        <f>Tableau7[[#This Row],[Mensualité]]-Tableau7[[#This Row],[Intérêts]]</f>
        <v>#VALUE!</v>
      </c>
      <c r="F476" s="64" t="e">
        <f>$G$4-Tableau7[[#This Row],[Mensualité]]-Tableau7[[#This Row],[Intérêts]]</f>
        <v>#VALUE!</v>
      </c>
    </row>
    <row r="477" spans="2:6" x14ac:dyDescent="0.25">
      <c r="B477" s="67" t="str">
        <f t="shared" si="24"/>
        <v>NA</v>
      </c>
      <c r="C477" t="str">
        <f t="shared" si="25"/>
        <v>NA</v>
      </c>
      <c r="D477" s="64" t="e">
        <f t="shared" si="26"/>
        <v>#VALUE!</v>
      </c>
      <c r="E477" s="64" t="e">
        <f>Tableau7[[#This Row],[Mensualité]]-Tableau7[[#This Row],[Intérêts]]</f>
        <v>#VALUE!</v>
      </c>
      <c r="F477" s="64" t="e">
        <f>$G$4-Tableau7[[#This Row],[Mensualité]]-Tableau7[[#This Row],[Intérêts]]</f>
        <v>#VALUE!</v>
      </c>
    </row>
    <row r="478" spans="2:6" x14ac:dyDescent="0.25">
      <c r="B478" s="67" t="str">
        <f t="shared" si="24"/>
        <v>NA</v>
      </c>
      <c r="C478" t="str">
        <f t="shared" si="25"/>
        <v>NA</v>
      </c>
      <c r="D478" s="64" t="e">
        <f t="shared" si="26"/>
        <v>#VALUE!</v>
      </c>
      <c r="E478" s="64" t="e">
        <f>Tableau7[[#This Row],[Mensualité]]-Tableau7[[#This Row],[Intérêts]]</f>
        <v>#VALUE!</v>
      </c>
      <c r="F478" s="64" t="e">
        <f>$G$4-Tableau7[[#This Row],[Mensualité]]-Tableau7[[#This Row],[Intérêts]]</f>
        <v>#VALUE!</v>
      </c>
    </row>
    <row r="479" spans="2:6" x14ac:dyDescent="0.25">
      <c r="B479" s="67" t="str">
        <f t="shared" si="24"/>
        <v>NA</v>
      </c>
      <c r="C479" t="str">
        <f t="shared" si="25"/>
        <v>NA</v>
      </c>
      <c r="D479" s="64" t="e">
        <f t="shared" si="26"/>
        <v>#VALUE!</v>
      </c>
      <c r="E479" s="64" t="e">
        <f>Tableau7[[#This Row],[Mensualité]]-Tableau7[[#This Row],[Intérêts]]</f>
        <v>#VALUE!</v>
      </c>
      <c r="F479" s="64" t="e">
        <f>$G$4-Tableau7[[#This Row],[Mensualité]]-Tableau7[[#This Row],[Intérêts]]</f>
        <v>#VALUE!</v>
      </c>
    </row>
    <row r="480" spans="2:6" x14ac:dyDescent="0.25">
      <c r="B480" s="67" t="str">
        <f t="shared" si="24"/>
        <v>NA</v>
      </c>
      <c r="C480" t="str">
        <f t="shared" si="25"/>
        <v>NA</v>
      </c>
      <c r="D480" s="64" t="e">
        <f t="shared" si="26"/>
        <v>#VALUE!</v>
      </c>
      <c r="E480" s="64" t="e">
        <f>Tableau7[[#This Row],[Mensualité]]-Tableau7[[#This Row],[Intérêts]]</f>
        <v>#VALUE!</v>
      </c>
      <c r="F480" s="64" t="e">
        <f>$G$4-Tableau7[[#This Row],[Mensualité]]-Tableau7[[#This Row],[Intérêts]]</f>
        <v>#VALUE!</v>
      </c>
    </row>
    <row r="481" spans="2:6" x14ac:dyDescent="0.25">
      <c r="B481" s="67" t="str">
        <f t="shared" si="24"/>
        <v>NA</v>
      </c>
      <c r="C481" t="str">
        <f t="shared" si="25"/>
        <v>NA</v>
      </c>
      <c r="D481" s="64" t="e">
        <f t="shared" si="26"/>
        <v>#VALUE!</v>
      </c>
      <c r="E481" s="64" t="e">
        <f>Tableau7[[#This Row],[Mensualité]]-Tableau7[[#This Row],[Intérêts]]</f>
        <v>#VALUE!</v>
      </c>
      <c r="F481" s="64" t="e">
        <f>$G$4-Tableau7[[#This Row],[Mensualité]]-Tableau7[[#This Row],[Intérêts]]</f>
        <v>#VALUE!</v>
      </c>
    </row>
    <row r="482" spans="2:6" x14ac:dyDescent="0.25">
      <c r="B482" s="67" t="str">
        <f t="shared" si="24"/>
        <v>NA</v>
      </c>
      <c r="C482" t="str">
        <f t="shared" si="25"/>
        <v>NA</v>
      </c>
      <c r="D482" s="64" t="e">
        <f t="shared" si="26"/>
        <v>#VALUE!</v>
      </c>
      <c r="E482" s="64" t="e">
        <f>Tableau7[[#This Row],[Mensualité]]-Tableau7[[#This Row],[Intérêts]]</f>
        <v>#VALUE!</v>
      </c>
      <c r="F482" s="64" t="e">
        <f>$G$4-Tableau7[[#This Row],[Mensualité]]-Tableau7[[#This Row],[Intérêts]]</f>
        <v>#VALUE!</v>
      </c>
    </row>
    <row r="483" spans="2:6" x14ac:dyDescent="0.25">
      <c r="B483" s="67" t="str">
        <f t="shared" si="24"/>
        <v>NA</v>
      </c>
      <c r="C483" t="str">
        <f t="shared" si="25"/>
        <v>NA</v>
      </c>
      <c r="D483" s="64" t="e">
        <f t="shared" si="26"/>
        <v>#VALUE!</v>
      </c>
      <c r="E483" s="64" t="e">
        <f>Tableau7[[#This Row],[Mensualité]]-Tableau7[[#This Row],[Intérêts]]</f>
        <v>#VALUE!</v>
      </c>
      <c r="F483" s="64" t="e">
        <f>$G$4-Tableau7[[#This Row],[Mensualité]]-Tableau7[[#This Row],[Intérêts]]</f>
        <v>#VALUE!</v>
      </c>
    </row>
    <row r="484" spans="2:6" x14ac:dyDescent="0.25">
      <c r="B484" s="67" t="str">
        <f t="shared" si="24"/>
        <v>NA</v>
      </c>
      <c r="C484" t="str">
        <f t="shared" si="25"/>
        <v>NA</v>
      </c>
      <c r="D484" s="64" t="e">
        <f t="shared" si="26"/>
        <v>#VALUE!</v>
      </c>
      <c r="E484" s="64" t="e">
        <f>Tableau7[[#This Row],[Mensualité]]-Tableau7[[#This Row],[Intérêts]]</f>
        <v>#VALUE!</v>
      </c>
      <c r="F484" s="64" t="e">
        <f>$G$4-Tableau7[[#This Row],[Mensualité]]-Tableau7[[#This Row],[Intérêts]]</f>
        <v>#VALUE!</v>
      </c>
    </row>
    <row r="485" spans="2:6" x14ac:dyDescent="0.25">
      <c r="B485" s="67" t="str">
        <f t="shared" si="24"/>
        <v>NA</v>
      </c>
      <c r="C485" t="str">
        <f t="shared" si="25"/>
        <v>NA</v>
      </c>
      <c r="D485" s="64" t="e">
        <f t="shared" si="26"/>
        <v>#VALUE!</v>
      </c>
      <c r="E485" s="64" t="e">
        <f>Tableau7[[#This Row],[Mensualité]]-Tableau7[[#This Row],[Intérêts]]</f>
        <v>#VALUE!</v>
      </c>
      <c r="F485" s="64" t="e">
        <f>$G$4-Tableau7[[#This Row],[Mensualité]]-Tableau7[[#This Row],[Intérêts]]</f>
        <v>#VALUE!</v>
      </c>
    </row>
    <row r="486" spans="2:6" x14ac:dyDescent="0.25">
      <c r="B486" s="67" t="str">
        <f t="shared" si="24"/>
        <v>NA</v>
      </c>
      <c r="C486" t="str">
        <f t="shared" si="25"/>
        <v>NA</v>
      </c>
      <c r="D486" s="64" t="e">
        <f t="shared" si="26"/>
        <v>#VALUE!</v>
      </c>
      <c r="E486" s="64" t="e">
        <f>Tableau7[[#This Row],[Mensualité]]-Tableau7[[#This Row],[Intérêts]]</f>
        <v>#VALUE!</v>
      </c>
      <c r="F486" s="64" t="e">
        <f>$G$4-Tableau7[[#This Row],[Mensualité]]-Tableau7[[#This Row],[Intérêts]]</f>
        <v>#VALUE!</v>
      </c>
    </row>
    <row r="487" spans="2:6" x14ac:dyDescent="0.25">
      <c r="B487" s="67" t="str">
        <f t="shared" si="24"/>
        <v>NA</v>
      </c>
      <c r="C487" t="str">
        <f t="shared" si="25"/>
        <v>NA</v>
      </c>
      <c r="D487" s="64" t="e">
        <f t="shared" si="26"/>
        <v>#VALUE!</v>
      </c>
      <c r="E487" s="64" t="e">
        <f>Tableau7[[#This Row],[Mensualité]]-Tableau7[[#This Row],[Intérêts]]</f>
        <v>#VALUE!</v>
      </c>
      <c r="F487" s="64" t="e">
        <f>$G$4-Tableau7[[#This Row],[Mensualité]]-Tableau7[[#This Row],[Intérêts]]</f>
        <v>#VALUE!</v>
      </c>
    </row>
    <row r="488" spans="2:6" x14ac:dyDescent="0.25">
      <c r="B488" s="67" t="str">
        <f t="shared" si="24"/>
        <v>NA</v>
      </c>
      <c r="C488" t="str">
        <f t="shared" si="25"/>
        <v>NA</v>
      </c>
      <c r="D488" s="64" t="e">
        <f t="shared" si="26"/>
        <v>#VALUE!</v>
      </c>
      <c r="E488" s="64" t="e">
        <f>Tableau7[[#This Row],[Mensualité]]-Tableau7[[#This Row],[Intérêts]]</f>
        <v>#VALUE!</v>
      </c>
      <c r="F488" s="64" t="e">
        <f>$G$4-Tableau7[[#This Row],[Mensualité]]-Tableau7[[#This Row],[Intérêts]]</f>
        <v>#VALUE!</v>
      </c>
    </row>
    <row r="489" spans="2:6" x14ac:dyDescent="0.25">
      <c r="B489" s="67" t="str">
        <f t="shared" si="24"/>
        <v>NA</v>
      </c>
      <c r="C489" t="str">
        <f t="shared" si="25"/>
        <v>NA</v>
      </c>
      <c r="D489" s="64" t="e">
        <f t="shared" si="26"/>
        <v>#VALUE!</v>
      </c>
      <c r="E489" s="64" t="e">
        <f>Tableau7[[#This Row],[Mensualité]]-Tableau7[[#This Row],[Intérêts]]</f>
        <v>#VALUE!</v>
      </c>
      <c r="F489" s="64" t="e">
        <f>$G$4-Tableau7[[#This Row],[Mensualité]]-Tableau7[[#This Row],[Intérêts]]</f>
        <v>#VALUE!</v>
      </c>
    </row>
    <row r="490" spans="2:6" x14ac:dyDescent="0.25">
      <c r="B490" s="67" t="str">
        <f t="shared" si="24"/>
        <v>NA</v>
      </c>
      <c r="C490" t="str">
        <f t="shared" si="25"/>
        <v>NA</v>
      </c>
      <c r="D490" s="64" t="e">
        <f t="shared" si="26"/>
        <v>#VALUE!</v>
      </c>
      <c r="E490" s="64" t="e">
        <f>Tableau7[[#This Row],[Mensualité]]-Tableau7[[#This Row],[Intérêts]]</f>
        <v>#VALUE!</v>
      </c>
      <c r="F490" s="64" t="e">
        <f>$G$4-Tableau7[[#This Row],[Mensualité]]-Tableau7[[#This Row],[Intérêts]]</f>
        <v>#VALUE!</v>
      </c>
    </row>
    <row r="491" spans="2:6" x14ac:dyDescent="0.25">
      <c r="B491" s="67" t="str">
        <f t="shared" ref="B491:B554" si="27">$D$4</f>
        <v>NA</v>
      </c>
      <c r="C491" t="str">
        <f t="shared" ref="C491:C554" si="28">$H$4</f>
        <v>NA</v>
      </c>
      <c r="D491" s="64" t="e">
        <f t="shared" ref="D491:D554" si="29">G484*F484/12</f>
        <v>#VALUE!</v>
      </c>
      <c r="E491" s="64" t="e">
        <f>Tableau7[[#This Row],[Mensualité]]-Tableau7[[#This Row],[Intérêts]]</f>
        <v>#VALUE!</v>
      </c>
      <c r="F491" s="64" t="e">
        <f>$G$4-Tableau7[[#This Row],[Mensualité]]-Tableau7[[#This Row],[Intérêts]]</f>
        <v>#VALUE!</v>
      </c>
    </row>
    <row r="492" spans="2:6" x14ac:dyDescent="0.25">
      <c r="B492" s="67" t="str">
        <f t="shared" si="27"/>
        <v>NA</v>
      </c>
      <c r="C492" t="str">
        <f t="shared" si="28"/>
        <v>NA</v>
      </c>
      <c r="D492" s="64" t="e">
        <f t="shared" si="29"/>
        <v>#VALUE!</v>
      </c>
      <c r="E492" s="64" t="e">
        <f>Tableau7[[#This Row],[Mensualité]]-Tableau7[[#This Row],[Intérêts]]</f>
        <v>#VALUE!</v>
      </c>
      <c r="F492" s="64" t="e">
        <f>$G$4-Tableau7[[#This Row],[Mensualité]]-Tableau7[[#This Row],[Intérêts]]</f>
        <v>#VALUE!</v>
      </c>
    </row>
    <row r="493" spans="2:6" x14ac:dyDescent="0.25">
      <c r="B493" s="67" t="str">
        <f t="shared" si="27"/>
        <v>NA</v>
      </c>
      <c r="C493" t="str">
        <f t="shared" si="28"/>
        <v>NA</v>
      </c>
      <c r="D493" s="64" t="e">
        <f t="shared" si="29"/>
        <v>#VALUE!</v>
      </c>
      <c r="E493" s="64" t="e">
        <f>Tableau7[[#This Row],[Mensualité]]-Tableau7[[#This Row],[Intérêts]]</f>
        <v>#VALUE!</v>
      </c>
      <c r="F493" s="64" t="e">
        <f>$G$4-Tableau7[[#This Row],[Mensualité]]-Tableau7[[#This Row],[Intérêts]]</f>
        <v>#VALUE!</v>
      </c>
    </row>
    <row r="494" spans="2:6" x14ac:dyDescent="0.25">
      <c r="B494" s="67" t="str">
        <f t="shared" si="27"/>
        <v>NA</v>
      </c>
      <c r="C494" t="str">
        <f t="shared" si="28"/>
        <v>NA</v>
      </c>
      <c r="D494" s="64" t="e">
        <f t="shared" si="29"/>
        <v>#VALUE!</v>
      </c>
      <c r="E494" s="64" t="e">
        <f>Tableau7[[#This Row],[Mensualité]]-Tableau7[[#This Row],[Intérêts]]</f>
        <v>#VALUE!</v>
      </c>
      <c r="F494" s="64" t="e">
        <f>$G$4-Tableau7[[#This Row],[Mensualité]]-Tableau7[[#This Row],[Intérêts]]</f>
        <v>#VALUE!</v>
      </c>
    </row>
    <row r="495" spans="2:6" x14ac:dyDescent="0.25">
      <c r="B495" s="67" t="str">
        <f t="shared" si="27"/>
        <v>NA</v>
      </c>
      <c r="C495" t="str">
        <f t="shared" si="28"/>
        <v>NA</v>
      </c>
      <c r="D495" s="64" t="e">
        <f t="shared" si="29"/>
        <v>#VALUE!</v>
      </c>
      <c r="E495" s="64" t="e">
        <f>Tableau7[[#This Row],[Mensualité]]-Tableau7[[#This Row],[Intérêts]]</f>
        <v>#VALUE!</v>
      </c>
      <c r="F495" s="64" t="e">
        <f>$G$4-Tableau7[[#This Row],[Mensualité]]-Tableau7[[#This Row],[Intérêts]]</f>
        <v>#VALUE!</v>
      </c>
    </row>
    <row r="496" spans="2:6" x14ac:dyDescent="0.25">
      <c r="B496" s="67" t="str">
        <f t="shared" si="27"/>
        <v>NA</v>
      </c>
      <c r="C496" t="str">
        <f t="shared" si="28"/>
        <v>NA</v>
      </c>
      <c r="D496" s="64" t="e">
        <f t="shared" si="29"/>
        <v>#VALUE!</v>
      </c>
      <c r="E496" s="64" t="e">
        <f>Tableau7[[#This Row],[Mensualité]]-Tableau7[[#This Row],[Intérêts]]</f>
        <v>#VALUE!</v>
      </c>
      <c r="F496" s="64" t="e">
        <f>$G$4-Tableau7[[#This Row],[Mensualité]]-Tableau7[[#This Row],[Intérêts]]</f>
        <v>#VALUE!</v>
      </c>
    </row>
    <row r="497" spans="2:6" x14ac:dyDescent="0.25">
      <c r="B497" s="67" t="str">
        <f t="shared" si="27"/>
        <v>NA</v>
      </c>
      <c r="C497" t="str">
        <f t="shared" si="28"/>
        <v>NA</v>
      </c>
      <c r="D497" s="64" t="e">
        <f t="shared" si="29"/>
        <v>#VALUE!</v>
      </c>
      <c r="E497" s="64" t="e">
        <f>Tableau7[[#This Row],[Mensualité]]-Tableau7[[#This Row],[Intérêts]]</f>
        <v>#VALUE!</v>
      </c>
      <c r="F497" s="64" t="e">
        <f>$G$4-Tableau7[[#This Row],[Mensualité]]-Tableau7[[#This Row],[Intérêts]]</f>
        <v>#VALUE!</v>
      </c>
    </row>
    <row r="498" spans="2:6" x14ac:dyDescent="0.25">
      <c r="B498" s="67" t="str">
        <f t="shared" si="27"/>
        <v>NA</v>
      </c>
      <c r="C498" t="str">
        <f t="shared" si="28"/>
        <v>NA</v>
      </c>
      <c r="D498" s="64" t="e">
        <f t="shared" si="29"/>
        <v>#VALUE!</v>
      </c>
      <c r="E498" s="64" t="e">
        <f>Tableau7[[#This Row],[Mensualité]]-Tableau7[[#This Row],[Intérêts]]</f>
        <v>#VALUE!</v>
      </c>
      <c r="F498" s="64" t="e">
        <f>$G$4-Tableau7[[#This Row],[Mensualité]]-Tableau7[[#This Row],[Intérêts]]</f>
        <v>#VALUE!</v>
      </c>
    </row>
    <row r="499" spans="2:6" x14ac:dyDescent="0.25">
      <c r="B499" s="67" t="str">
        <f t="shared" si="27"/>
        <v>NA</v>
      </c>
      <c r="C499" t="str">
        <f t="shared" si="28"/>
        <v>NA</v>
      </c>
      <c r="D499" s="64" t="e">
        <f t="shared" si="29"/>
        <v>#VALUE!</v>
      </c>
      <c r="E499" s="64" t="e">
        <f>Tableau7[[#This Row],[Mensualité]]-Tableau7[[#This Row],[Intérêts]]</f>
        <v>#VALUE!</v>
      </c>
      <c r="F499" s="64" t="e">
        <f>$G$4-Tableau7[[#This Row],[Mensualité]]-Tableau7[[#This Row],[Intérêts]]</f>
        <v>#VALUE!</v>
      </c>
    </row>
    <row r="500" spans="2:6" x14ac:dyDescent="0.25">
      <c r="B500" s="67" t="str">
        <f t="shared" si="27"/>
        <v>NA</v>
      </c>
      <c r="C500" t="str">
        <f t="shared" si="28"/>
        <v>NA</v>
      </c>
      <c r="D500" s="64" t="e">
        <f t="shared" si="29"/>
        <v>#VALUE!</v>
      </c>
      <c r="E500" s="64" t="e">
        <f>Tableau7[[#This Row],[Mensualité]]-Tableau7[[#This Row],[Intérêts]]</f>
        <v>#VALUE!</v>
      </c>
      <c r="F500" s="64" t="e">
        <f>$G$4-Tableau7[[#This Row],[Mensualité]]-Tableau7[[#This Row],[Intérêts]]</f>
        <v>#VALUE!</v>
      </c>
    </row>
    <row r="501" spans="2:6" x14ac:dyDescent="0.25">
      <c r="B501" s="67" t="str">
        <f t="shared" si="27"/>
        <v>NA</v>
      </c>
      <c r="C501" t="str">
        <f t="shared" si="28"/>
        <v>NA</v>
      </c>
      <c r="D501" s="64" t="e">
        <f t="shared" si="29"/>
        <v>#VALUE!</v>
      </c>
      <c r="E501" s="64" t="e">
        <f>Tableau7[[#This Row],[Mensualité]]-Tableau7[[#This Row],[Intérêts]]</f>
        <v>#VALUE!</v>
      </c>
      <c r="F501" s="64" t="e">
        <f>$G$4-Tableau7[[#This Row],[Mensualité]]-Tableau7[[#This Row],[Intérêts]]</f>
        <v>#VALUE!</v>
      </c>
    </row>
    <row r="502" spans="2:6" x14ac:dyDescent="0.25">
      <c r="B502" s="67" t="str">
        <f t="shared" si="27"/>
        <v>NA</v>
      </c>
      <c r="C502" t="str">
        <f t="shared" si="28"/>
        <v>NA</v>
      </c>
      <c r="D502" s="64" t="e">
        <f t="shared" si="29"/>
        <v>#VALUE!</v>
      </c>
      <c r="E502" s="64" t="e">
        <f>Tableau7[[#This Row],[Mensualité]]-Tableau7[[#This Row],[Intérêts]]</f>
        <v>#VALUE!</v>
      </c>
      <c r="F502" s="64" t="e">
        <f>$G$4-Tableau7[[#This Row],[Mensualité]]-Tableau7[[#This Row],[Intérêts]]</f>
        <v>#VALUE!</v>
      </c>
    </row>
    <row r="503" spans="2:6" x14ac:dyDescent="0.25">
      <c r="B503" s="67" t="str">
        <f t="shared" si="27"/>
        <v>NA</v>
      </c>
      <c r="C503" t="str">
        <f t="shared" si="28"/>
        <v>NA</v>
      </c>
      <c r="D503" s="64" t="e">
        <f t="shared" si="29"/>
        <v>#VALUE!</v>
      </c>
      <c r="E503" s="64" t="e">
        <f>Tableau7[[#This Row],[Mensualité]]-Tableau7[[#This Row],[Intérêts]]</f>
        <v>#VALUE!</v>
      </c>
      <c r="F503" s="64" t="e">
        <f>$G$4-Tableau7[[#This Row],[Mensualité]]-Tableau7[[#This Row],[Intérêts]]</f>
        <v>#VALUE!</v>
      </c>
    </row>
    <row r="504" spans="2:6" x14ac:dyDescent="0.25">
      <c r="B504" s="67" t="str">
        <f t="shared" si="27"/>
        <v>NA</v>
      </c>
      <c r="C504" t="str">
        <f t="shared" si="28"/>
        <v>NA</v>
      </c>
      <c r="D504" s="64" t="e">
        <f t="shared" si="29"/>
        <v>#VALUE!</v>
      </c>
      <c r="E504" s="64" t="e">
        <f>Tableau7[[#This Row],[Mensualité]]-Tableau7[[#This Row],[Intérêts]]</f>
        <v>#VALUE!</v>
      </c>
      <c r="F504" s="64" t="e">
        <f>$G$4-Tableau7[[#This Row],[Mensualité]]-Tableau7[[#This Row],[Intérêts]]</f>
        <v>#VALUE!</v>
      </c>
    </row>
    <row r="505" spans="2:6" x14ac:dyDescent="0.25">
      <c r="B505" s="67" t="str">
        <f t="shared" si="27"/>
        <v>NA</v>
      </c>
      <c r="C505" t="str">
        <f t="shared" si="28"/>
        <v>NA</v>
      </c>
      <c r="D505" s="64" t="e">
        <f t="shared" si="29"/>
        <v>#VALUE!</v>
      </c>
      <c r="E505" s="64" t="e">
        <f>Tableau7[[#This Row],[Mensualité]]-Tableau7[[#This Row],[Intérêts]]</f>
        <v>#VALUE!</v>
      </c>
      <c r="F505" s="64" t="e">
        <f>$G$4-Tableau7[[#This Row],[Mensualité]]-Tableau7[[#This Row],[Intérêts]]</f>
        <v>#VALUE!</v>
      </c>
    </row>
    <row r="506" spans="2:6" x14ac:dyDescent="0.25">
      <c r="B506" s="67" t="str">
        <f t="shared" si="27"/>
        <v>NA</v>
      </c>
      <c r="C506" t="str">
        <f t="shared" si="28"/>
        <v>NA</v>
      </c>
      <c r="D506" s="64" t="e">
        <f t="shared" si="29"/>
        <v>#VALUE!</v>
      </c>
      <c r="E506" s="64" t="e">
        <f>Tableau7[[#This Row],[Mensualité]]-Tableau7[[#This Row],[Intérêts]]</f>
        <v>#VALUE!</v>
      </c>
      <c r="F506" s="64" t="e">
        <f>$G$4-Tableau7[[#This Row],[Mensualité]]-Tableau7[[#This Row],[Intérêts]]</f>
        <v>#VALUE!</v>
      </c>
    </row>
    <row r="507" spans="2:6" x14ac:dyDescent="0.25">
      <c r="B507" s="67" t="str">
        <f t="shared" si="27"/>
        <v>NA</v>
      </c>
      <c r="C507" t="str">
        <f t="shared" si="28"/>
        <v>NA</v>
      </c>
      <c r="D507" s="64" t="e">
        <f t="shared" si="29"/>
        <v>#VALUE!</v>
      </c>
      <c r="E507" s="64" t="e">
        <f>Tableau7[[#This Row],[Mensualité]]-Tableau7[[#This Row],[Intérêts]]</f>
        <v>#VALUE!</v>
      </c>
      <c r="F507" s="64" t="e">
        <f>$G$4-Tableau7[[#This Row],[Mensualité]]-Tableau7[[#This Row],[Intérêts]]</f>
        <v>#VALUE!</v>
      </c>
    </row>
    <row r="508" spans="2:6" x14ac:dyDescent="0.25">
      <c r="B508" s="67" t="str">
        <f t="shared" si="27"/>
        <v>NA</v>
      </c>
      <c r="C508" t="str">
        <f t="shared" si="28"/>
        <v>NA</v>
      </c>
      <c r="D508" s="64" t="e">
        <f t="shared" si="29"/>
        <v>#VALUE!</v>
      </c>
      <c r="E508" s="64" t="e">
        <f>Tableau7[[#This Row],[Mensualité]]-Tableau7[[#This Row],[Intérêts]]</f>
        <v>#VALUE!</v>
      </c>
      <c r="F508" s="64" t="e">
        <f>$G$4-Tableau7[[#This Row],[Mensualité]]-Tableau7[[#This Row],[Intérêts]]</f>
        <v>#VALUE!</v>
      </c>
    </row>
    <row r="509" spans="2:6" x14ac:dyDescent="0.25">
      <c r="B509" s="67" t="str">
        <f t="shared" si="27"/>
        <v>NA</v>
      </c>
      <c r="C509" t="str">
        <f t="shared" si="28"/>
        <v>NA</v>
      </c>
      <c r="D509" s="64" t="e">
        <f t="shared" si="29"/>
        <v>#VALUE!</v>
      </c>
      <c r="E509" s="64" t="e">
        <f>Tableau7[[#This Row],[Mensualité]]-Tableau7[[#This Row],[Intérêts]]</f>
        <v>#VALUE!</v>
      </c>
      <c r="F509" s="64" t="e">
        <f>$G$4-Tableau7[[#This Row],[Mensualité]]-Tableau7[[#This Row],[Intérêts]]</f>
        <v>#VALUE!</v>
      </c>
    </row>
    <row r="510" spans="2:6" x14ac:dyDescent="0.25">
      <c r="B510" s="67" t="str">
        <f t="shared" si="27"/>
        <v>NA</v>
      </c>
      <c r="C510" t="str">
        <f t="shared" si="28"/>
        <v>NA</v>
      </c>
      <c r="D510" s="64" t="e">
        <f t="shared" si="29"/>
        <v>#VALUE!</v>
      </c>
      <c r="E510" s="64" t="e">
        <f>Tableau7[[#This Row],[Mensualité]]-Tableau7[[#This Row],[Intérêts]]</f>
        <v>#VALUE!</v>
      </c>
      <c r="F510" s="64" t="e">
        <f>$G$4-Tableau7[[#This Row],[Mensualité]]-Tableau7[[#This Row],[Intérêts]]</f>
        <v>#VALUE!</v>
      </c>
    </row>
    <row r="511" spans="2:6" x14ac:dyDescent="0.25">
      <c r="B511" s="67" t="str">
        <f t="shared" si="27"/>
        <v>NA</v>
      </c>
      <c r="C511" t="str">
        <f t="shared" si="28"/>
        <v>NA</v>
      </c>
      <c r="D511" s="64" t="e">
        <f t="shared" si="29"/>
        <v>#VALUE!</v>
      </c>
      <c r="E511" s="64" t="e">
        <f>Tableau7[[#This Row],[Mensualité]]-Tableau7[[#This Row],[Intérêts]]</f>
        <v>#VALUE!</v>
      </c>
      <c r="F511" s="64" t="e">
        <f>$G$4-Tableau7[[#This Row],[Mensualité]]-Tableau7[[#This Row],[Intérêts]]</f>
        <v>#VALUE!</v>
      </c>
    </row>
    <row r="512" spans="2:6" x14ac:dyDescent="0.25">
      <c r="B512" s="67" t="str">
        <f t="shared" si="27"/>
        <v>NA</v>
      </c>
      <c r="C512" t="str">
        <f t="shared" si="28"/>
        <v>NA</v>
      </c>
      <c r="D512" s="64" t="e">
        <f t="shared" si="29"/>
        <v>#VALUE!</v>
      </c>
      <c r="E512" s="64" t="e">
        <f>Tableau7[[#This Row],[Mensualité]]-Tableau7[[#This Row],[Intérêts]]</f>
        <v>#VALUE!</v>
      </c>
      <c r="F512" s="64" t="e">
        <f>$G$4-Tableau7[[#This Row],[Mensualité]]-Tableau7[[#This Row],[Intérêts]]</f>
        <v>#VALUE!</v>
      </c>
    </row>
    <row r="513" spans="2:6" x14ac:dyDescent="0.25">
      <c r="B513" s="67" t="str">
        <f t="shared" si="27"/>
        <v>NA</v>
      </c>
      <c r="C513" t="str">
        <f t="shared" si="28"/>
        <v>NA</v>
      </c>
      <c r="D513" s="64" t="e">
        <f t="shared" si="29"/>
        <v>#VALUE!</v>
      </c>
      <c r="E513" s="64" t="e">
        <f>Tableau7[[#This Row],[Mensualité]]-Tableau7[[#This Row],[Intérêts]]</f>
        <v>#VALUE!</v>
      </c>
      <c r="F513" s="64" t="e">
        <f>$G$4-Tableau7[[#This Row],[Mensualité]]-Tableau7[[#This Row],[Intérêts]]</f>
        <v>#VALUE!</v>
      </c>
    </row>
    <row r="514" spans="2:6" x14ac:dyDescent="0.25">
      <c r="B514" s="67" t="str">
        <f t="shared" si="27"/>
        <v>NA</v>
      </c>
      <c r="C514" t="str">
        <f t="shared" si="28"/>
        <v>NA</v>
      </c>
      <c r="D514" s="64" t="e">
        <f t="shared" si="29"/>
        <v>#VALUE!</v>
      </c>
      <c r="E514" s="64" t="e">
        <f>Tableau7[[#This Row],[Mensualité]]-Tableau7[[#This Row],[Intérêts]]</f>
        <v>#VALUE!</v>
      </c>
      <c r="F514" s="64" t="e">
        <f>$G$4-Tableau7[[#This Row],[Mensualité]]-Tableau7[[#This Row],[Intérêts]]</f>
        <v>#VALUE!</v>
      </c>
    </row>
    <row r="515" spans="2:6" x14ac:dyDescent="0.25">
      <c r="B515" s="67" t="str">
        <f t="shared" si="27"/>
        <v>NA</v>
      </c>
      <c r="C515" t="str">
        <f t="shared" si="28"/>
        <v>NA</v>
      </c>
      <c r="D515" s="64" t="e">
        <f t="shared" si="29"/>
        <v>#VALUE!</v>
      </c>
      <c r="E515" s="64" t="e">
        <f>Tableau7[[#This Row],[Mensualité]]-Tableau7[[#This Row],[Intérêts]]</f>
        <v>#VALUE!</v>
      </c>
      <c r="F515" s="64" t="e">
        <f>$G$4-Tableau7[[#This Row],[Mensualité]]-Tableau7[[#This Row],[Intérêts]]</f>
        <v>#VALUE!</v>
      </c>
    </row>
    <row r="516" spans="2:6" x14ac:dyDescent="0.25">
      <c r="B516" s="67" t="str">
        <f t="shared" si="27"/>
        <v>NA</v>
      </c>
      <c r="C516" t="str">
        <f t="shared" si="28"/>
        <v>NA</v>
      </c>
      <c r="D516" s="64" t="e">
        <f t="shared" si="29"/>
        <v>#VALUE!</v>
      </c>
      <c r="E516" s="64" t="e">
        <f>Tableau7[[#This Row],[Mensualité]]-Tableau7[[#This Row],[Intérêts]]</f>
        <v>#VALUE!</v>
      </c>
      <c r="F516" s="64" t="e">
        <f>$G$4-Tableau7[[#This Row],[Mensualité]]-Tableau7[[#This Row],[Intérêts]]</f>
        <v>#VALUE!</v>
      </c>
    </row>
    <row r="517" spans="2:6" x14ac:dyDescent="0.25">
      <c r="B517" s="67" t="str">
        <f t="shared" si="27"/>
        <v>NA</v>
      </c>
      <c r="C517" t="str">
        <f t="shared" si="28"/>
        <v>NA</v>
      </c>
      <c r="D517" s="64" t="e">
        <f t="shared" si="29"/>
        <v>#VALUE!</v>
      </c>
      <c r="E517" s="64" t="e">
        <f>Tableau7[[#This Row],[Mensualité]]-Tableau7[[#This Row],[Intérêts]]</f>
        <v>#VALUE!</v>
      </c>
      <c r="F517" s="64" t="e">
        <f>$G$4-Tableau7[[#This Row],[Mensualité]]-Tableau7[[#This Row],[Intérêts]]</f>
        <v>#VALUE!</v>
      </c>
    </row>
    <row r="518" spans="2:6" x14ac:dyDescent="0.25">
      <c r="B518" s="67" t="str">
        <f t="shared" si="27"/>
        <v>NA</v>
      </c>
      <c r="C518" t="str">
        <f t="shared" si="28"/>
        <v>NA</v>
      </c>
      <c r="D518" s="64" t="e">
        <f t="shared" si="29"/>
        <v>#VALUE!</v>
      </c>
      <c r="E518" s="64" t="e">
        <f>Tableau7[[#This Row],[Mensualité]]-Tableau7[[#This Row],[Intérêts]]</f>
        <v>#VALUE!</v>
      </c>
      <c r="F518" s="64" t="e">
        <f>$G$4-Tableau7[[#This Row],[Mensualité]]-Tableau7[[#This Row],[Intérêts]]</f>
        <v>#VALUE!</v>
      </c>
    </row>
    <row r="519" spans="2:6" x14ac:dyDescent="0.25">
      <c r="B519" s="67" t="str">
        <f t="shared" si="27"/>
        <v>NA</v>
      </c>
      <c r="C519" t="str">
        <f t="shared" si="28"/>
        <v>NA</v>
      </c>
      <c r="D519" s="64" t="e">
        <f t="shared" si="29"/>
        <v>#VALUE!</v>
      </c>
      <c r="E519" s="64" t="e">
        <f>Tableau7[[#This Row],[Mensualité]]-Tableau7[[#This Row],[Intérêts]]</f>
        <v>#VALUE!</v>
      </c>
      <c r="F519" s="64" t="e">
        <f>$G$4-Tableau7[[#This Row],[Mensualité]]-Tableau7[[#This Row],[Intérêts]]</f>
        <v>#VALUE!</v>
      </c>
    </row>
    <row r="520" spans="2:6" x14ac:dyDescent="0.25">
      <c r="B520" s="67" t="str">
        <f t="shared" si="27"/>
        <v>NA</v>
      </c>
      <c r="C520" t="str">
        <f t="shared" si="28"/>
        <v>NA</v>
      </c>
      <c r="D520" s="64" t="e">
        <f t="shared" si="29"/>
        <v>#VALUE!</v>
      </c>
      <c r="E520" s="64" t="e">
        <f>Tableau7[[#This Row],[Mensualité]]-Tableau7[[#This Row],[Intérêts]]</f>
        <v>#VALUE!</v>
      </c>
      <c r="F520" s="64" t="e">
        <f>$G$4-Tableau7[[#This Row],[Mensualité]]-Tableau7[[#This Row],[Intérêts]]</f>
        <v>#VALUE!</v>
      </c>
    </row>
    <row r="521" spans="2:6" x14ac:dyDescent="0.25">
      <c r="B521" s="67" t="str">
        <f t="shared" si="27"/>
        <v>NA</v>
      </c>
      <c r="C521" t="str">
        <f t="shared" si="28"/>
        <v>NA</v>
      </c>
      <c r="D521" s="64" t="e">
        <f t="shared" si="29"/>
        <v>#VALUE!</v>
      </c>
      <c r="E521" s="64" t="e">
        <f>Tableau7[[#This Row],[Mensualité]]-Tableau7[[#This Row],[Intérêts]]</f>
        <v>#VALUE!</v>
      </c>
      <c r="F521" s="64" t="e">
        <f>$G$4-Tableau7[[#This Row],[Mensualité]]-Tableau7[[#This Row],[Intérêts]]</f>
        <v>#VALUE!</v>
      </c>
    </row>
    <row r="522" spans="2:6" x14ac:dyDescent="0.25">
      <c r="B522" s="67" t="str">
        <f t="shared" si="27"/>
        <v>NA</v>
      </c>
      <c r="C522" t="str">
        <f t="shared" si="28"/>
        <v>NA</v>
      </c>
      <c r="D522" s="64" t="e">
        <f t="shared" si="29"/>
        <v>#VALUE!</v>
      </c>
      <c r="E522" s="64" t="e">
        <f>Tableau7[[#This Row],[Mensualité]]-Tableau7[[#This Row],[Intérêts]]</f>
        <v>#VALUE!</v>
      </c>
      <c r="F522" s="64" t="e">
        <f>$G$4-Tableau7[[#This Row],[Mensualité]]-Tableau7[[#This Row],[Intérêts]]</f>
        <v>#VALUE!</v>
      </c>
    </row>
    <row r="523" spans="2:6" x14ac:dyDescent="0.25">
      <c r="B523" s="67" t="str">
        <f t="shared" si="27"/>
        <v>NA</v>
      </c>
      <c r="C523" t="str">
        <f t="shared" si="28"/>
        <v>NA</v>
      </c>
      <c r="D523" s="64" t="e">
        <f t="shared" si="29"/>
        <v>#VALUE!</v>
      </c>
      <c r="E523" s="64" t="e">
        <f>Tableau7[[#This Row],[Mensualité]]-Tableau7[[#This Row],[Intérêts]]</f>
        <v>#VALUE!</v>
      </c>
      <c r="F523" s="64" t="e">
        <f>$G$4-Tableau7[[#This Row],[Mensualité]]-Tableau7[[#This Row],[Intérêts]]</f>
        <v>#VALUE!</v>
      </c>
    </row>
    <row r="524" spans="2:6" x14ac:dyDescent="0.25">
      <c r="B524" s="67" t="str">
        <f t="shared" si="27"/>
        <v>NA</v>
      </c>
      <c r="C524" t="str">
        <f t="shared" si="28"/>
        <v>NA</v>
      </c>
      <c r="D524" s="64" t="e">
        <f t="shared" si="29"/>
        <v>#VALUE!</v>
      </c>
      <c r="E524" s="64" t="e">
        <f>Tableau7[[#This Row],[Mensualité]]-Tableau7[[#This Row],[Intérêts]]</f>
        <v>#VALUE!</v>
      </c>
      <c r="F524" s="64" t="e">
        <f>$G$4-Tableau7[[#This Row],[Mensualité]]-Tableau7[[#This Row],[Intérêts]]</f>
        <v>#VALUE!</v>
      </c>
    </row>
    <row r="525" spans="2:6" x14ac:dyDescent="0.25">
      <c r="B525" s="67" t="str">
        <f t="shared" si="27"/>
        <v>NA</v>
      </c>
      <c r="C525" t="str">
        <f t="shared" si="28"/>
        <v>NA</v>
      </c>
      <c r="D525" s="64" t="e">
        <f t="shared" si="29"/>
        <v>#VALUE!</v>
      </c>
      <c r="E525" s="64" t="e">
        <f>Tableau7[[#This Row],[Mensualité]]-Tableau7[[#This Row],[Intérêts]]</f>
        <v>#VALUE!</v>
      </c>
      <c r="F525" s="64" t="e">
        <f>$G$4-Tableau7[[#This Row],[Mensualité]]-Tableau7[[#This Row],[Intérêts]]</f>
        <v>#VALUE!</v>
      </c>
    </row>
    <row r="526" spans="2:6" x14ac:dyDescent="0.25">
      <c r="B526" s="67" t="str">
        <f t="shared" si="27"/>
        <v>NA</v>
      </c>
      <c r="C526" t="str">
        <f t="shared" si="28"/>
        <v>NA</v>
      </c>
      <c r="D526" s="64" t="e">
        <f t="shared" si="29"/>
        <v>#VALUE!</v>
      </c>
      <c r="E526" s="64" t="e">
        <f>Tableau7[[#This Row],[Mensualité]]-Tableau7[[#This Row],[Intérêts]]</f>
        <v>#VALUE!</v>
      </c>
      <c r="F526" s="64" t="e">
        <f>$G$4-Tableau7[[#This Row],[Mensualité]]-Tableau7[[#This Row],[Intérêts]]</f>
        <v>#VALUE!</v>
      </c>
    </row>
    <row r="527" spans="2:6" x14ac:dyDescent="0.25">
      <c r="B527" s="67" t="str">
        <f t="shared" si="27"/>
        <v>NA</v>
      </c>
      <c r="C527" t="str">
        <f t="shared" si="28"/>
        <v>NA</v>
      </c>
      <c r="D527" s="64" t="e">
        <f t="shared" si="29"/>
        <v>#VALUE!</v>
      </c>
      <c r="E527" s="64" t="e">
        <f>Tableau7[[#This Row],[Mensualité]]-Tableau7[[#This Row],[Intérêts]]</f>
        <v>#VALUE!</v>
      </c>
      <c r="F527" s="64" t="e">
        <f>$G$4-Tableau7[[#This Row],[Mensualité]]-Tableau7[[#This Row],[Intérêts]]</f>
        <v>#VALUE!</v>
      </c>
    </row>
    <row r="528" spans="2:6" x14ac:dyDescent="0.25">
      <c r="B528" s="67" t="str">
        <f t="shared" si="27"/>
        <v>NA</v>
      </c>
      <c r="C528" t="str">
        <f t="shared" si="28"/>
        <v>NA</v>
      </c>
      <c r="D528" s="64" t="e">
        <f t="shared" si="29"/>
        <v>#VALUE!</v>
      </c>
      <c r="E528" s="64" t="e">
        <f>Tableau7[[#This Row],[Mensualité]]-Tableau7[[#This Row],[Intérêts]]</f>
        <v>#VALUE!</v>
      </c>
      <c r="F528" s="64" t="e">
        <f>$G$4-Tableau7[[#This Row],[Mensualité]]-Tableau7[[#This Row],[Intérêts]]</f>
        <v>#VALUE!</v>
      </c>
    </row>
    <row r="529" spans="2:6" x14ac:dyDescent="0.25">
      <c r="B529" s="67" t="str">
        <f t="shared" si="27"/>
        <v>NA</v>
      </c>
      <c r="C529" t="str">
        <f t="shared" si="28"/>
        <v>NA</v>
      </c>
      <c r="D529" s="64" t="e">
        <f t="shared" si="29"/>
        <v>#VALUE!</v>
      </c>
      <c r="E529" s="64" t="e">
        <f>Tableau7[[#This Row],[Mensualité]]-Tableau7[[#This Row],[Intérêts]]</f>
        <v>#VALUE!</v>
      </c>
      <c r="F529" s="64" t="e">
        <f>$G$4-Tableau7[[#This Row],[Mensualité]]-Tableau7[[#This Row],[Intérêts]]</f>
        <v>#VALUE!</v>
      </c>
    </row>
    <row r="530" spans="2:6" x14ac:dyDescent="0.25">
      <c r="B530" s="67" t="str">
        <f t="shared" si="27"/>
        <v>NA</v>
      </c>
      <c r="C530" t="str">
        <f t="shared" si="28"/>
        <v>NA</v>
      </c>
      <c r="D530" s="64" t="e">
        <f t="shared" si="29"/>
        <v>#VALUE!</v>
      </c>
      <c r="E530" s="64" t="e">
        <f>Tableau7[[#This Row],[Mensualité]]-Tableau7[[#This Row],[Intérêts]]</f>
        <v>#VALUE!</v>
      </c>
      <c r="F530" s="64" t="e">
        <f>$G$4-Tableau7[[#This Row],[Mensualité]]-Tableau7[[#This Row],[Intérêts]]</f>
        <v>#VALUE!</v>
      </c>
    </row>
    <row r="531" spans="2:6" x14ac:dyDescent="0.25">
      <c r="B531" s="67" t="str">
        <f t="shared" si="27"/>
        <v>NA</v>
      </c>
      <c r="C531" t="str">
        <f t="shared" si="28"/>
        <v>NA</v>
      </c>
      <c r="D531" s="64" t="e">
        <f t="shared" si="29"/>
        <v>#VALUE!</v>
      </c>
      <c r="E531" s="64" t="e">
        <f>Tableau7[[#This Row],[Mensualité]]-Tableau7[[#This Row],[Intérêts]]</f>
        <v>#VALUE!</v>
      </c>
      <c r="F531" s="64" t="e">
        <f>$G$4-Tableau7[[#This Row],[Mensualité]]-Tableau7[[#This Row],[Intérêts]]</f>
        <v>#VALUE!</v>
      </c>
    </row>
    <row r="532" spans="2:6" x14ac:dyDescent="0.25">
      <c r="B532" s="67" t="str">
        <f t="shared" si="27"/>
        <v>NA</v>
      </c>
      <c r="C532" t="str">
        <f t="shared" si="28"/>
        <v>NA</v>
      </c>
      <c r="D532" s="64" t="e">
        <f t="shared" si="29"/>
        <v>#VALUE!</v>
      </c>
      <c r="E532" s="64" t="e">
        <f>Tableau7[[#This Row],[Mensualité]]-Tableau7[[#This Row],[Intérêts]]</f>
        <v>#VALUE!</v>
      </c>
      <c r="F532" s="64" t="e">
        <f>$G$4-Tableau7[[#This Row],[Mensualité]]-Tableau7[[#This Row],[Intérêts]]</f>
        <v>#VALUE!</v>
      </c>
    </row>
    <row r="533" spans="2:6" x14ac:dyDescent="0.25">
      <c r="B533" s="67" t="str">
        <f t="shared" si="27"/>
        <v>NA</v>
      </c>
      <c r="C533" t="str">
        <f t="shared" si="28"/>
        <v>NA</v>
      </c>
      <c r="D533" s="64" t="e">
        <f t="shared" si="29"/>
        <v>#VALUE!</v>
      </c>
      <c r="E533" s="64" t="e">
        <f>Tableau7[[#This Row],[Mensualité]]-Tableau7[[#This Row],[Intérêts]]</f>
        <v>#VALUE!</v>
      </c>
      <c r="F533" s="64" t="e">
        <f>$G$4-Tableau7[[#This Row],[Mensualité]]-Tableau7[[#This Row],[Intérêts]]</f>
        <v>#VALUE!</v>
      </c>
    </row>
    <row r="534" spans="2:6" x14ac:dyDescent="0.25">
      <c r="B534" s="67" t="str">
        <f t="shared" si="27"/>
        <v>NA</v>
      </c>
      <c r="C534" t="str">
        <f t="shared" si="28"/>
        <v>NA</v>
      </c>
      <c r="D534" s="64" t="e">
        <f t="shared" si="29"/>
        <v>#VALUE!</v>
      </c>
      <c r="E534" s="64" t="e">
        <f>Tableau7[[#This Row],[Mensualité]]-Tableau7[[#This Row],[Intérêts]]</f>
        <v>#VALUE!</v>
      </c>
      <c r="F534" s="64" t="e">
        <f>$G$4-Tableau7[[#This Row],[Mensualité]]-Tableau7[[#This Row],[Intérêts]]</f>
        <v>#VALUE!</v>
      </c>
    </row>
    <row r="535" spans="2:6" x14ac:dyDescent="0.25">
      <c r="B535" s="67" t="str">
        <f t="shared" si="27"/>
        <v>NA</v>
      </c>
      <c r="C535" t="str">
        <f t="shared" si="28"/>
        <v>NA</v>
      </c>
      <c r="D535" s="64" t="e">
        <f t="shared" si="29"/>
        <v>#VALUE!</v>
      </c>
      <c r="E535" s="64" t="e">
        <f>Tableau7[[#This Row],[Mensualité]]-Tableau7[[#This Row],[Intérêts]]</f>
        <v>#VALUE!</v>
      </c>
      <c r="F535" s="64" t="e">
        <f>$G$4-Tableau7[[#This Row],[Mensualité]]-Tableau7[[#This Row],[Intérêts]]</f>
        <v>#VALUE!</v>
      </c>
    </row>
    <row r="536" spans="2:6" x14ac:dyDescent="0.25">
      <c r="B536" s="67" t="str">
        <f t="shared" si="27"/>
        <v>NA</v>
      </c>
      <c r="C536" t="str">
        <f t="shared" si="28"/>
        <v>NA</v>
      </c>
      <c r="D536" s="64" t="e">
        <f t="shared" si="29"/>
        <v>#VALUE!</v>
      </c>
      <c r="E536" s="64" t="e">
        <f>Tableau7[[#This Row],[Mensualité]]-Tableau7[[#This Row],[Intérêts]]</f>
        <v>#VALUE!</v>
      </c>
      <c r="F536" s="64" t="e">
        <f>$G$4-Tableau7[[#This Row],[Mensualité]]-Tableau7[[#This Row],[Intérêts]]</f>
        <v>#VALUE!</v>
      </c>
    </row>
    <row r="537" spans="2:6" x14ac:dyDescent="0.25">
      <c r="B537" s="67" t="str">
        <f t="shared" si="27"/>
        <v>NA</v>
      </c>
      <c r="C537" t="str">
        <f t="shared" si="28"/>
        <v>NA</v>
      </c>
      <c r="D537" s="64" t="e">
        <f t="shared" si="29"/>
        <v>#VALUE!</v>
      </c>
      <c r="E537" s="64" t="e">
        <f>Tableau7[[#This Row],[Mensualité]]-Tableau7[[#This Row],[Intérêts]]</f>
        <v>#VALUE!</v>
      </c>
      <c r="F537" s="64" t="e">
        <f>$G$4-Tableau7[[#This Row],[Mensualité]]-Tableau7[[#This Row],[Intérêts]]</f>
        <v>#VALUE!</v>
      </c>
    </row>
    <row r="538" spans="2:6" x14ac:dyDescent="0.25">
      <c r="B538" s="67" t="str">
        <f t="shared" si="27"/>
        <v>NA</v>
      </c>
      <c r="C538" t="str">
        <f t="shared" si="28"/>
        <v>NA</v>
      </c>
      <c r="D538" s="64" t="e">
        <f t="shared" si="29"/>
        <v>#VALUE!</v>
      </c>
      <c r="E538" s="64" t="e">
        <f>Tableau7[[#This Row],[Mensualité]]-Tableau7[[#This Row],[Intérêts]]</f>
        <v>#VALUE!</v>
      </c>
      <c r="F538" s="64" t="e">
        <f>$G$4-Tableau7[[#This Row],[Mensualité]]-Tableau7[[#This Row],[Intérêts]]</f>
        <v>#VALUE!</v>
      </c>
    </row>
    <row r="539" spans="2:6" x14ac:dyDescent="0.25">
      <c r="B539" s="67" t="str">
        <f t="shared" si="27"/>
        <v>NA</v>
      </c>
      <c r="C539" t="str">
        <f t="shared" si="28"/>
        <v>NA</v>
      </c>
      <c r="D539" s="64" t="e">
        <f t="shared" si="29"/>
        <v>#VALUE!</v>
      </c>
      <c r="E539" s="64" t="e">
        <f>Tableau7[[#This Row],[Mensualité]]-Tableau7[[#This Row],[Intérêts]]</f>
        <v>#VALUE!</v>
      </c>
      <c r="F539" s="64" t="e">
        <f>$G$4-Tableau7[[#This Row],[Mensualité]]-Tableau7[[#This Row],[Intérêts]]</f>
        <v>#VALUE!</v>
      </c>
    </row>
    <row r="540" spans="2:6" x14ac:dyDescent="0.25">
      <c r="B540" s="67" t="str">
        <f t="shared" si="27"/>
        <v>NA</v>
      </c>
      <c r="C540" t="str">
        <f t="shared" si="28"/>
        <v>NA</v>
      </c>
      <c r="D540" s="64" t="e">
        <f t="shared" si="29"/>
        <v>#VALUE!</v>
      </c>
      <c r="E540" s="64" t="e">
        <f>Tableau7[[#This Row],[Mensualité]]-Tableau7[[#This Row],[Intérêts]]</f>
        <v>#VALUE!</v>
      </c>
      <c r="F540" s="64" t="e">
        <f>$G$4-Tableau7[[#This Row],[Mensualité]]-Tableau7[[#This Row],[Intérêts]]</f>
        <v>#VALUE!</v>
      </c>
    </row>
    <row r="541" spans="2:6" x14ac:dyDescent="0.25">
      <c r="B541" s="67" t="str">
        <f t="shared" si="27"/>
        <v>NA</v>
      </c>
      <c r="C541" t="str">
        <f t="shared" si="28"/>
        <v>NA</v>
      </c>
      <c r="D541" s="64" t="e">
        <f t="shared" si="29"/>
        <v>#VALUE!</v>
      </c>
      <c r="E541" s="64" t="e">
        <f>Tableau7[[#This Row],[Mensualité]]-Tableau7[[#This Row],[Intérêts]]</f>
        <v>#VALUE!</v>
      </c>
      <c r="F541" s="64" t="e">
        <f>$G$4-Tableau7[[#This Row],[Mensualité]]-Tableau7[[#This Row],[Intérêts]]</f>
        <v>#VALUE!</v>
      </c>
    </row>
    <row r="542" spans="2:6" x14ac:dyDescent="0.25">
      <c r="B542" s="67" t="str">
        <f t="shared" si="27"/>
        <v>NA</v>
      </c>
      <c r="C542" t="str">
        <f t="shared" si="28"/>
        <v>NA</v>
      </c>
      <c r="D542" s="64" t="e">
        <f t="shared" si="29"/>
        <v>#VALUE!</v>
      </c>
      <c r="E542" s="64" t="e">
        <f>Tableau7[[#This Row],[Mensualité]]-Tableau7[[#This Row],[Intérêts]]</f>
        <v>#VALUE!</v>
      </c>
      <c r="F542" s="64" t="e">
        <f>$G$4-Tableau7[[#This Row],[Mensualité]]-Tableau7[[#This Row],[Intérêts]]</f>
        <v>#VALUE!</v>
      </c>
    </row>
    <row r="543" spans="2:6" x14ac:dyDescent="0.25">
      <c r="B543" s="67" t="str">
        <f t="shared" si="27"/>
        <v>NA</v>
      </c>
      <c r="C543" t="str">
        <f t="shared" si="28"/>
        <v>NA</v>
      </c>
      <c r="D543" s="64" t="e">
        <f t="shared" si="29"/>
        <v>#VALUE!</v>
      </c>
      <c r="E543" s="64" t="e">
        <f>Tableau7[[#This Row],[Mensualité]]-Tableau7[[#This Row],[Intérêts]]</f>
        <v>#VALUE!</v>
      </c>
      <c r="F543" s="64" t="e">
        <f>$G$4-Tableau7[[#This Row],[Mensualité]]-Tableau7[[#This Row],[Intérêts]]</f>
        <v>#VALUE!</v>
      </c>
    </row>
    <row r="544" spans="2:6" x14ac:dyDescent="0.25">
      <c r="B544" s="67" t="str">
        <f t="shared" si="27"/>
        <v>NA</v>
      </c>
      <c r="C544" t="str">
        <f t="shared" si="28"/>
        <v>NA</v>
      </c>
      <c r="D544" s="64" t="e">
        <f t="shared" si="29"/>
        <v>#VALUE!</v>
      </c>
      <c r="E544" s="64" t="e">
        <f>Tableau7[[#This Row],[Mensualité]]-Tableau7[[#This Row],[Intérêts]]</f>
        <v>#VALUE!</v>
      </c>
      <c r="F544" s="64" t="e">
        <f>$G$4-Tableau7[[#This Row],[Mensualité]]-Tableau7[[#This Row],[Intérêts]]</f>
        <v>#VALUE!</v>
      </c>
    </row>
    <row r="545" spans="2:6" x14ac:dyDescent="0.25">
      <c r="B545" s="67" t="str">
        <f t="shared" si="27"/>
        <v>NA</v>
      </c>
      <c r="C545" t="str">
        <f t="shared" si="28"/>
        <v>NA</v>
      </c>
      <c r="D545" s="64" t="e">
        <f t="shared" si="29"/>
        <v>#VALUE!</v>
      </c>
      <c r="E545" s="64" t="e">
        <f>Tableau7[[#This Row],[Mensualité]]-Tableau7[[#This Row],[Intérêts]]</f>
        <v>#VALUE!</v>
      </c>
      <c r="F545" s="64" t="e">
        <f>$G$4-Tableau7[[#This Row],[Mensualité]]-Tableau7[[#This Row],[Intérêts]]</f>
        <v>#VALUE!</v>
      </c>
    </row>
    <row r="546" spans="2:6" x14ac:dyDescent="0.25">
      <c r="B546" s="67" t="str">
        <f t="shared" si="27"/>
        <v>NA</v>
      </c>
      <c r="C546" t="str">
        <f t="shared" si="28"/>
        <v>NA</v>
      </c>
      <c r="D546" s="64" t="e">
        <f t="shared" si="29"/>
        <v>#VALUE!</v>
      </c>
      <c r="E546" s="64" t="e">
        <f>Tableau7[[#This Row],[Mensualité]]-Tableau7[[#This Row],[Intérêts]]</f>
        <v>#VALUE!</v>
      </c>
      <c r="F546" s="64" t="e">
        <f>$G$4-Tableau7[[#This Row],[Mensualité]]-Tableau7[[#This Row],[Intérêts]]</f>
        <v>#VALUE!</v>
      </c>
    </row>
    <row r="547" spans="2:6" x14ac:dyDescent="0.25">
      <c r="B547" s="67" t="str">
        <f t="shared" si="27"/>
        <v>NA</v>
      </c>
      <c r="C547" t="str">
        <f t="shared" si="28"/>
        <v>NA</v>
      </c>
      <c r="D547" s="64" t="e">
        <f t="shared" si="29"/>
        <v>#VALUE!</v>
      </c>
      <c r="E547" s="64" t="e">
        <f>Tableau7[[#This Row],[Mensualité]]-Tableau7[[#This Row],[Intérêts]]</f>
        <v>#VALUE!</v>
      </c>
      <c r="F547" s="64" t="e">
        <f>$G$4-Tableau7[[#This Row],[Mensualité]]-Tableau7[[#This Row],[Intérêts]]</f>
        <v>#VALUE!</v>
      </c>
    </row>
    <row r="548" spans="2:6" x14ac:dyDescent="0.25">
      <c r="B548" s="67" t="str">
        <f t="shared" si="27"/>
        <v>NA</v>
      </c>
      <c r="C548" t="str">
        <f t="shared" si="28"/>
        <v>NA</v>
      </c>
      <c r="D548" s="64" t="e">
        <f t="shared" si="29"/>
        <v>#VALUE!</v>
      </c>
      <c r="E548" s="64" t="e">
        <f>Tableau7[[#This Row],[Mensualité]]-Tableau7[[#This Row],[Intérêts]]</f>
        <v>#VALUE!</v>
      </c>
      <c r="F548" s="64" t="e">
        <f>$G$4-Tableau7[[#This Row],[Mensualité]]-Tableau7[[#This Row],[Intérêts]]</f>
        <v>#VALUE!</v>
      </c>
    </row>
    <row r="549" spans="2:6" x14ac:dyDescent="0.25">
      <c r="B549" s="67" t="str">
        <f t="shared" si="27"/>
        <v>NA</v>
      </c>
      <c r="C549" t="str">
        <f t="shared" si="28"/>
        <v>NA</v>
      </c>
      <c r="D549" s="64" t="e">
        <f t="shared" si="29"/>
        <v>#VALUE!</v>
      </c>
      <c r="E549" s="64" t="e">
        <f>Tableau7[[#This Row],[Mensualité]]-Tableau7[[#This Row],[Intérêts]]</f>
        <v>#VALUE!</v>
      </c>
      <c r="F549" s="64" t="e">
        <f>$G$4-Tableau7[[#This Row],[Mensualité]]-Tableau7[[#This Row],[Intérêts]]</f>
        <v>#VALUE!</v>
      </c>
    </row>
    <row r="550" spans="2:6" x14ac:dyDescent="0.25">
      <c r="B550" s="67" t="str">
        <f t="shared" si="27"/>
        <v>NA</v>
      </c>
      <c r="C550" t="str">
        <f t="shared" si="28"/>
        <v>NA</v>
      </c>
      <c r="D550" s="64" t="e">
        <f t="shared" si="29"/>
        <v>#VALUE!</v>
      </c>
      <c r="E550" s="64" t="e">
        <f>Tableau7[[#This Row],[Mensualité]]-Tableau7[[#This Row],[Intérêts]]</f>
        <v>#VALUE!</v>
      </c>
      <c r="F550" s="64" t="e">
        <f>$G$4-Tableau7[[#This Row],[Mensualité]]-Tableau7[[#This Row],[Intérêts]]</f>
        <v>#VALUE!</v>
      </c>
    </row>
    <row r="551" spans="2:6" x14ac:dyDescent="0.25">
      <c r="B551" s="67" t="str">
        <f t="shared" si="27"/>
        <v>NA</v>
      </c>
      <c r="C551" t="str">
        <f t="shared" si="28"/>
        <v>NA</v>
      </c>
      <c r="D551" s="64" t="e">
        <f t="shared" si="29"/>
        <v>#VALUE!</v>
      </c>
      <c r="E551" s="64" t="e">
        <f>Tableau7[[#This Row],[Mensualité]]-Tableau7[[#This Row],[Intérêts]]</f>
        <v>#VALUE!</v>
      </c>
      <c r="F551" s="64" t="e">
        <f>$G$4-Tableau7[[#This Row],[Mensualité]]-Tableau7[[#This Row],[Intérêts]]</f>
        <v>#VALUE!</v>
      </c>
    </row>
    <row r="552" spans="2:6" x14ac:dyDescent="0.25">
      <c r="B552" s="67" t="str">
        <f t="shared" si="27"/>
        <v>NA</v>
      </c>
      <c r="C552" t="str">
        <f t="shared" si="28"/>
        <v>NA</v>
      </c>
      <c r="D552" s="64" t="e">
        <f t="shared" si="29"/>
        <v>#VALUE!</v>
      </c>
      <c r="E552" s="64" t="e">
        <f>Tableau7[[#This Row],[Mensualité]]-Tableau7[[#This Row],[Intérêts]]</f>
        <v>#VALUE!</v>
      </c>
      <c r="F552" s="64" t="e">
        <f>$G$4-Tableau7[[#This Row],[Mensualité]]-Tableau7[[#This Row],[Intérêts]]</f>
        <v>#VALUE!</v>
      </c>
    </row>
    <row r="553" spans="2:6" x14ac:dyDescent="0.25">
      <c r="B553" s="67" t="str">
        <f t="shared" si="27"/>
        <v>NA</v>
      </c>
      <c r="C553" t="str">
        <f t="shared" si="28"/>
        <v>NA</v>
      </c>
      <c r="D553" s="64" t="e">
        <f t="shared" si="29"/>
        <v>#VALUE!</v>
      </c>
      <c r="E553" s="64" t="e">
        <f>Tableau7[[#This Row],[Mensualité]]-Tableau7[[#This Row],[Intérêts]]</f>
        <v>#VALUE!</v>
      </c>
      <c r="F553" s="64" t="e">
        <f>$G$4-Tableau7[[#This Row],[Mensualité]]-Tableau7[[#This Row],[Intérêts]]</f>
        <v>#VALUE!</v>
      </c>
    </row>
    <row r="554" spans="2:6" x14ac:dyDescent="0.25">
      <c r="B554" s="67" t="str">
        <f t="shared" si="27"/>
        <v>NA</v>
      </c>
      <c r="C554" t="str">
        <f t="shared" si="28"/>
        <v>NA</v>
      </c>
      <c r="D554" s="64" t="e">
        <f t="shared" si="29"/>
        <v>#VALUE!</v>
      </c>
      <c r="E554" s="64" t="e">
        <f>Tableau7[[#This Row],[Mensualité]]-Tableau7[[#This Row],[Intérêts]]</f>
        <v>#VALUE!</v>
      </c>
      <c r="F554" s="64" t="e">
        <f>$G$4-Tableau7[[#This Row],[Mensualité]]-Tableau7[[#This Row],[Intérêts]]</f>
        <v>#VALUE!</v>
      </c>
    </row>
    <row r="555" spans="2:6" x14ac:dyDescent="0.25">
      <c r="B555" s="67" t="str">
        <f t="shared" ref="B555:B618" si="30">$D$4</f>
        <v>NA</v>
      </c>
      <c r="C555" t="str">
        <f t="shared" ref="C555:C618" si="31">$H$4</f>
        <v>NA</v>
      </c>
      <c r="D555" s="64" t="e">
        <f t="shared" ref="D555:D618" si="32">G548*F548/12</f>
        <v>#VALUE!</v>
      </c>
      <c r="E555" s="64" t="e">
        <f>Tableau7[[#This Row],[Mensualité]]-Tableau7[[#This Row],[Intérêts]]</f>
        <v>#VALUE!</v>
      </c>
      <c r="F555" s="64" t="e">
        <f>$G$4-Tableau7[[#This Row],[Mensualité]]-Tableau7[[#This Row],[Intérêts]]</f>
        <v>#VALUE!</v>
      </c>
    </row>
    <row r="556" spans="2:6" x14ac:dyDescent="0.25">
      <c r="B556" s="67" t="str">
        <f t="shared" si="30"/>
        <v>NA</v>
      </c>
      <c r="C556" t="str">
        <f t="shared" si="31"/>
        <v>NA</v>
      </c>
      <c r="D556" s="64" t="e">
        <f t="shared" si="32"/>
        <v>#VALUE!</v>
      </c>
      <c r="E556" s="64" t="e">
        <f>Tableau7[[#This Row],[Mensualité]]-Tableau7[[#This Row],[Intérêts]]</f>
        <v>#VALUE!</v>
      </c>
      <c r="F556" s="64" t="e">
        <f>$G$4-Tableau7[[#This Row],[Mensualité]]-Tableau7[[#This Row],[Intérêts]]</f>
        <v>#VALUE!</v>
      </c>
    </row>
    <row r="557" spans="2:6" x14ac:dyDescent="0.25">
      <c r="B557" s="67" t="str">
        <f t="shared" si="30"/>
        <v>NA</v>
      </c>
      <c r="C557" t="str">
        <f t="shared" si="31"/>
        <v>NA</v>
      </c>
      <c r="D557" s="64" t="e">
        <f t="shared" si="32"/>
        <v>#VALUE!</v>
      </c>
      <c r="E557" s="64" t="e">
        <f>Tableau7[[#This Row],[Mensualité]]-Tableau7[[#This Row],[Intérêts]]</f>
        <v>#VALUE!</v>
      </c>
      <c r="F557" s="64" t="e">
        <f>$G$4-Tableau7[[#This Row],[Mensualité]]-Tableau7[[#This Row],[Intérêts]]</f>
        <v>#VALUE!</v>
      </c>
    </row>
    <row r="558" spans="2:6" x14ac:dyDescent="0.25">
      <c r="B558" s="67" t="str">
        <f t="shared" si="30"/>
        <v>NA</v>
      </c>
      <c r="C558" t="str">
        <f t="shared" si="31"/>
        <v>NA</v>
      </c>
      <c r="D558" s="64" t="e">
        <f t="shared" si="32"/>
        <v>#VALUE!</v>
      </c>
      <c r="E558" s="64" t="e">
        <f>Tableau7[[#This Row],[Mensualité]]-Tableau7[[#This Row],[Intérêts]]</f>
        <v>#VALUE!</v>
      </c>
      <c r="F558" s="64" t="e">
        <f>$G$4-Tableau7[[#This Row],[Mensualité]]-Tableau7[[#This Row],[Intérêts]]</f>
        <v>#VALUE!</v>
      </c>
    </row>
    <row r="559" spans="2:6" x14ac:dyDescent="0.25">
      <c r="B559" s="67" t="str">
        <f t="shared" si="30"/>
        <v>NA</v>
      </c>
      <c r="C559" t="str">
        <f t="shared" si="31"/>
        <v>NA</v>
      </c>
      <c r="D559" s="64" t="e">
        <f t="shared" si="32"/>
        <v>#VALUE!</v>
      </c>
      <c r="E559" s="64" t="e">
        <f>Tableau7[[#This Row],[Mensualité]]-Tableau7[[#This Row],[Intérêts]]</f>
        <v>#VALUE!</v>
      </c>
      <c r="F559" s="64" t="e">
        <f>$G$4-Tableau7[[#This Row],[Mensualité]]-Tableau7[[#This Row],[Intérêts]]</f>
        <v>#VALUE!</v>
      </c>
    </row>
    <row r="560" spans="2:6" x14ac:dyDescent="0.25">
      <c r="B560" s="67" t="str">
        <f t="shared" si="30"/>
        <v>NA</v>
      </c>
      <c r="C560" t="str">
        <f t="shared" si="31"/>
        <v>NA</v>
      </c>
      <c r="D560" s="64" t="e">
        <f t="shared" si="32"/>
        <v>#VALUE!</v>
      </c>
      <c r="E560" s="64" t="e">
        <f>Tableau7[[#This Row],[Mensualité]]-Tableau7[[#This Row],[Intérêts]]</f>
        <v>#VALUE!</v>
      </c>
      <c r="F560" s="64" t="e">
        <f>$G$4-Tableau7[[#This Row],[Mensualité]]-Tableau7[[#This Row],[Intérêts]]</f>
        <v>#VALUE!</v>
      </c>
    </row>
    <row r="561" spans="2:6" x14ac:dyDescent="0.25">
      <c r="B561" s="67" t="str">
        <f t="shared" si="30"/>
        <v>NA</v>
      </c>
      <c r="C561" t="str">
        <f t="shared" si="31"/>
        <v>NA</v>
      </c>
      <c r="D561" s="64" t="e">
        <f t="shared" si="32"/>
        <v>#VALUE!</v>
      </c>
      <c r="E561" s="64" t="e">
        <f>Tableau7[[#This Row],[Mensualité]]-Tableau7[[#This Row],[Intérêts]]</f>
        <v>#VALUE!</v>
      </c>
      <c r="F561" s="64" t="e">
        <f>$G$4-Tableau7[[#This Row],[Mensualité]]-Tableau7[[#This Row],[Intérêts]]</f>
        <v>#VALUE!</v>
      </c>
    </row>
    <row r="562" spans="2:6" x14ac:dyDescent="0.25">
      <c r="B562" s="67" t="str">
        <f t="shared" si="30"/>
        <v>NA</v>
      </c>
      <c r="C562" t="str">
        <f t="shared" si="31"/>
        <v>NA</v>
      </c>
      <c r="D562" s="64" t="e">
        <f t="shared" si="32"/>
        <v>#VALUE!</v>
      </c>
      <c r="E562" s="64" t="e">
        <f>Tableau7[[#This Row],[Mensualité]]-Tableau7[[#This Row],[Intérêts]]</f>
        <v>#VALUE!</v>
      </c>
      <c r="F562" s="64" t="e">
        <f>$G$4-Tableau7[[#This Row],[Mensualité]]-Tableau7[[#This Row],[Intérêts]]</f>
        <v>#VALUE!</v>
      </c>
    </row>
    <row r="563" spans="2:6" x14ac:dyDescent="0.25">
      <c r="B563" s="67" t="str">
        <f t="shared" si="30"/>
        <v>NA</v>
      </c>
      <c r="C563" t="str">
        <f t="shared" si="31"/>
        <v>NA</v>
      </c>
      <c r="D563" s="64" t="e">
        <f t="shared" si="32"/>
        <v>#VALUE!</v>
      </c>
      <c r="E563" s="64" t="e">
        <f>Tableau7[[#This Row],[Mensualité]]-Tableau7[[#This Row],[Intérêts]]</f>
        <v>#VALUE!</v>
      </c>
      <c r="F563" s="64" t="e">
        <f>$G$4-Tableau7[[#This Row],[Mensualité]]-Tableau7[[#This Row],[Intérêts]]</f>
        <v>#VALUE!</v>
      </c>
    </row>
    <row r="564" spans="2:6" x14ac:dyDescent="0.25">
      <c r="B564" s="67" t="str">
        <f t="shared" si="30"/>
        <v>NA</v>
      </c>
      <c r="C564" t="str">
        <f t="shared" si="31"/>
        <v>NA</v>
      </c>
      <c r="D564" s="64" t="e">
        <f t="shared" si="32"/>
        <v>#VALUE!</v>
      </c>
      <c r="E564" s="64" t="e">
        <f>Tableau7[[#This Row],[Mensualité]]-Tableau7[[#This Row],[Intérêts]]</f>
        <v>#VALUE!</v>
      </c>
      <c r="F564" s="64" t="e">
        <f>$G$4-Tableau7[[#This Row],[Mensualité]]-Tableau7[[#This Row],[Intérêts]]</f>
        <v>#VALUE!</v>
      </c>
    </row>
    <row r="565" spans="2:6" x14ac:dyDescent="0.25">
      <c r="B565" s="67" t="str">
        <f t="shared" si="30"/>
        <v>NA</v>
      </c>
      <c r="C565" t="str">
        <f t="shared" si="31"/>
        <v>NA</v>
      </c>
      <c r="D565" s="64" t="e">
        <f t="shared" si="32"/>
        <v>#VALUE!</v>
      </c>
      <c r="E565" s="64" t="e">
        <f>Tableau7[[#This Row],[Mensualité]]-Tableau7[[#This Row],[Intérêts]]</f>
        <v>#VALUE!</v>
      </c>
      <c r="F565" s="64" t="e">
        <f>$G$4-Tableau7[[#This Row],[Mensualité]]-Tableau7[[#This Row],[Intérêts]]</f>
        <v>#VALUE!</v>
      </c>
    </row>
    <row r="566" spans="2:6" x14ac:dyDescent="0.25">
      <c r="B566" s="67" t="str">
        <f t="shared" si="30"/>
        <v>NA</v>
      </c>
      <c r="C566" t="str">
        <f t="shared" si="31"/>
        <v>NA</v>
      </c>
      <c r="D566" s="64" t="e">
        <f t="shared" si="32"/>
        <v>#VALUE!</v>
      </c>
      <c r="E566" s="64" t="e">
        <f>Tableau7[[#This Row],[Mensualité]]-Tableau7[[#This Row],[Intérêts]]</f>
        <v>#VALUE!</v>
      </c>
      <c r="F566" s="64" t="e">
        <f>$G$4-Tableau7[[#This Row],[Mensualité]]-Tableau7[[#This Row],[Intérêts]]</f>
        <v>#VALUE!</v>
      </c>
    </row>
    <row r="567" spans="2:6" x14ac:dyDescent="0.25">
      <c r="B567" s="67" t="str">
        <f t="shared" si="30"/>
        <v>NA</v>
      </c>
      <c r="C567" t="str">
        <f t="shared" si="31"/>
        <v>NA</v>
      </c>
      <c r="D567" s="64" t="e">
        <f t="shared" si="32"/>
        <v>#VALUE!</v>
      </c>
      <c r="E567" s="64" t="e">
        <f>Tableau7[[#This Row],[Mensualité]]-Tableau7[[#This Row],[Intérêts]]</f>
        <v>#VALUE!</v>
      </c>
      <c r="F567" s="64" t="e">
        <f>$G$4-Tableau7[[#This Row],[Mensualité]]-Tableau7[[#This Row],[Intérêts]]</f>
        <v>#VALUE!</v>
      </c>
    </row>
    <row r="568" spans="2:6" x14ac:dyDescent="0.25">
      <c r="B568" s="67" t="str">
        <f t="shared" si="30"/>
        <v>NA</v>
      </c>
      <c r="C568" t="str">
        <f t="shared" si="31"/>
        <v>NA</v>
      </c>
      <c r="D568" s="64" t="e">
        <f t="shared" si="32"/>
        <v>#VALUE!</v>
      </c>
      <c r="E568" s="64" t="e">
        <f>Tableau7[[#This Row],[Mensualité]]-Tableau7[[#This Row],[Intérêts]]</f>
        <v>#VALUE!</v>
      </c>
      <c r="F568" s="64" t="e">
        <f>$G$4-Tableau7[[#This Row],[Mensualité]]-Tableau7[[#This Row],[Intérêts]]</f>
        <v>#VALUE!</v>
      </c>
    </row>
    <row r="569" spans="2:6" x14ac:dyDescent="0.25">
      <c r="B569" s="67" t="str">
        <f t="shared" si="30"/>
        <v>NA</v>
      </c>
      <c r="C569" t="str">
        <f t="shared" si="31"/>
        <v>NA</v>
      </c>
      <c r="D569" s="64" t="e">
        <f t="shared" si="32"/>
        <v>#VALUE!</v>
      </c>
      <c r="E569" s="64" t="e">
        <f>Tableau7[[#This Row],[Mensualité]]-Tableau7[[#This Row],[Intérêts]]</f>
        <v>#VALUE!</v>
      </c>
      <c r="F569" s="64" t="e">
        <f>$G$4-Tableau7[[#This Row],[Mensualité]]-Tableau7[[#This Row],[Intérêts]]</f>
        <v>#VALUE!</v>
      </c>
    </row>
    <row r="570" spans="2:6" x14ac:dyDescent="0.25">
      <c r="B570" s="67" t="str">
        <f t="shared" si="30"/>
        <v>NA</v>
      </c>
      <c r="C570" t="str">
        <f t="shared" si="31"/>
        <v>NA</v>
      </c>
      <c r="D570" s="64" t="e">
        <f t="shared" si="32"/>
        <v>#VALUE!</v>
      </c>
      <c r="E570" s="64" t="e">
        <f>Tableau7[[#This Row],[Mensualité]]-Tableau7[[#This Row],[Intérêts]]</f>
        <v>#VALUE!</v>
      </c>
      <c r="F570" s="64" t="e">
        <f>$G$4-Tableau7[[#This Row],[Mensualité]]-Tableau7[[#This Row],[Intérêts]]</f>
        <v>#VALUE!</v>
      </c>
    </row>
    <row r="571" spans="2:6" x14ac:dyDescent="0.25">
      <c r="B571" s="67" t="str">
        <f t="shared" si="30"/>
        <v>NA</v>
      </c>
      <c r="C571" t="str">
        <f t="shared" si="31"/>
        <v>NA</v>
      </c>
      <c r="D571" s="64" t="e">
        <f t="shared" si="32"/>
        <v>#VALUE!</v>
      </c>
      <c r="E571" s="64" t="e">
        <f>Tableau7[[#This Row],[Mensualité]]-Tableau7[[#This Row],[Intérêts]]</f>
        <v>#VALUE!</v>
      </c>
      <c r="F571" s="64" t="e">
        <f>$G$4-Tableau7[[#This Row],[Mensualité]]-Tableau7[[#This Row],[Intérêts]]</f>
        <v>#VALUE!</v>
      </c>
    </row>
    <row r="572" spans="2:6" x14ac:dyDescent="0.25">
      <c r="B572" s="67" t="str">
        <f t="shared" si="30"/>
        <v>NA</v>
      </c>
      <c r="C572" t="str">
        <f t="shared" si="31"/>
        <v>NA</v>
      </c>
      <c r="D572" s="64" t="e">
        <f t="shared" si="32"/>
        <v>#VALUE!</v>
      </c>
      <c r="E572" s="64" t="e">
        <f>Tableau7[[#This Row],[Mensualité]]-Tableau7[[#This Row],[Intérêts]]</f>
        <v>#VALUE!</v>
      </c>
      <c r="F572" s="64" t="e">
        <f>$G$4-Tableau7[[#This Row],[Mensualité]]-Tableau7[[#This Row],[Intérêts]]</f>
        <v>#VALUE!</v>
      </c>
    </row>
    <row r="573" spans="2:6" x14ac:dyDescent="0.25">
      <c r="B573" s="67" t="str">
        <f t="shared" si="30"/>
        <v>NA</v>
      </c>
      <c r="C573" t="str">
        <f t="shared" si="31"/>
        <v>NA</v>
      </c>
      <c r="D573" s="64" t="e">
        <f t="shared" si="32"/>
        <v>#VALUE!</v>
      </c>
      <c r="E573" s="64" t="e">
        <f>Tableau7[[#This Row],[Mensualité]]-Tableau7[[#This Row],[Intérêts]]</f>
        <v>#VALUE!</v>
      </c>
      <c r="F573" s="64" t="e">
        <f>$G$4-Tableau7[[#This Row],[Mensualité]]-Tableau7[[#This Row],[Intérêts]]</f>
        <v>#VALUE!</v>
      </c>
    </row>
    <row r="574" spans="2:6" x14ac:dyDescent="0.25">
      <c r="B574" s="67" t="str">
        <f t="shared" si="30"/>
        <v>NA</v>
      </c>
      <c r="C574" t="str">
        <f t="shared" si="31"/>
        <v>NA</v>
      </c>
      <c r="D574" s="64" t="e">
        <f t="shared" si="32"/>
        <v>#VALUE!</v>
      </c>
      <c r="E574" s="64" t="e">
        <f>Tableau7[[#This Row],[Mensualité]]-Tableau7[[#This Row],[Intérêts]]</f>
        <v>#VALUE!</v>
      </c>
      <c r="F574" s="64" t="e">
        <f>$G$4-Tableau7[[#This Row],[Mensualité]]-Tableau7[[#This Row],[Intérêts]]</f>
        <v>#VALUE!</v>
      </c>
    </row>
    <row r="575" spans="2:6" x14ac:dyDescent="0.25">
      <c r="B575" s="67" t="str">
        <f t="shared" si="30"/>
        <v>NA</v>
      </c>
      <c r="C575" t="str">
        <f t="shared" si="31"/>
        <v>NA</v>
      </c>
      <c r="D575" s="64" t="e">
        <f t="shared" si="32"/>
        <v>#VALUE!</v>
      </c>
      <c r="E575" s="64" t="e">
        <f>Tableau7[[#This Row],[Mensualité]]-Tableau7[[#This Row],[Intérêts]]</f>
        <v>#VALUE!</v>
      </c>
      <c r="F575" s="64" t="e">
        <f>$G$4-Tableau7[[#This Row],[Mensualité]]-Tableau7[[#This Row],[Intérêts]]</f>
        <v>#VALUE!</v>
      </c>
    </row>
    <row r="576" spans="2:6" x14ac:dyDescent="0.25">
      <c r="B576" s="67" t="str">
        <f t="shared" si="30"/>
        <v>NA</v>
      </c>
      <c r="C576" t="str">
        <f t="shared" si="31"/>
        <v>NA</v>
      </c>
      <c r="D576" s="64" t="e">
        <f t="shared" si="32"/>
        <v>#VALUE!</v>
      </c>
      <c r="E576" s="64" t="e">
        <f>Tableau7[[#This Row],[Mensualité]]-Tableau7[[#This Row],[Intérêts]]</f>
        <v>#VALUE!</v>
      </c>
      <c r="F576" s="64" t="e">
        <f>$G$4-Tableau7[[#This Row],[Mensualité]]-Tableau7[[#This Row],[Intérêts]]</f>
        <v>#VALUE!</v>
      </c>
    </row>
    <row r="577" spans="2:6" x14ac:dyDescent="0.25">
      <c r="B577" s="67" t="str">
        <f t="shared" si="30"/>
        <v>NA</v>
      </c>
      <c r="C577" t="str">
        <f t="shared" si="31"/>
        <v>NA</v>
      </c>
      <c r="D577" s="64" t="e">
        <f t="shared" si="32"/>
        <v>#VALUE!</v>
      </c>
      <c r="E577" s="64" t="e">
        <f>Tableau7[[#This Row],[Mensualité]]-Tableau7[[#This Row],[Intérêts]]</f>
        <v>#VALUE!</v>
      </c>
      <c r="F577" s="64" t="e">
        <f>$G$4-Tableau7[[#This Row],[Mensualité]]-Tableau7[[#This Row],[Intérêts]]</f>
        <v>#VALUE!</v>
      </c>
    </row>
    <row r="578" spans="2:6" x14ac:dyDescent="0.25">
      <c r="B578" s="67" t="str">
        <f t="shared" si="30"/>
        <v>NA</v>
      </c>
      <c r="C578" t="str">
        <f t="shared" si="31"/>
        <v>NA</v>
      </c>
      <c r="D578" s="64" t="e">
        <f t="shared" si="32"/>
        <v>#VALUE!</v>
      </c>
      <c r="E578" s="64" t="e">
        <f>Tableau7[[#This Row],[Mensualité]]-Tableau7[[#This Row],[Intérêts]]</f>
        <v>#VALUE!</v>
      </c>
      <c r="F578" s="64" t="e">
        <f>$G$4-Tableau7[[#This Row],[Mensualité]]-Tableau7[[#This Row],[Intérêts]]</f>
        <v>#VALUE!</v>
      </c>
    </row>
    <row r="579" spans="2:6" x14ac:dyDescent="0.25">
      <c r="B579" s="67" t="str">
        <f t="shared" si="30"/>
        <v>NA</v>
      </c>
      <c r="C579" t="str">
        <f t="shared" si="31"/>
        <v>NA</v>
      </c>
      <c r="D579" s="64" t="e">
        <f t="shared" si="32"/>
        <v>#VALUE!</v>
      </c>
      <c r="E579" s="64" t="e">
        <f>Tableau7[[#This Row],[Mensualité]]-Tableau7[[#This Row],[Intérêts]]</f>
        <v>#VALUE!</v>
      </c>
      <c r="F579" s="64" t="e">
        <f>$G$4-Tableau7[[#This Row],[Mensualité]]-Tableau7[[#This Row],[Intérêts]]</f>
        <v>#VALUE!</v>
      </c>
    </row>
    <row r="580" spans="2:6" x14ac:dyDescent="0.25">
      <c r="B580" s="67" t="str">
        <f t="shared" si="30"/>
        <v>NA</v>
      </c>
      <c r="C580" t="str">
        <f t="shared" si="31"/>
        <v>NA</v>
      </c>
      <c r="D580" s="64" t="e">
        <f t="shared" si="32"/>
        <v>#VALUE!</v>
      </c>
      <c r="E580" s="64" t="e">
        <f>Tableau7[[#This Row],[Mensualité]]-Tableau7[[#This Row],[Intérêts]]</f>
        <v>#VALUE!</v>
      </c>
      <c r="F580" s="64" t="e">
        <f>$G$4-Tableau7[[#This Row],[Mensualité]]-Tableau7[[#This Row],[Intérêts]]</f>
        <v>#VALUE!</v>
      </c>
    </row>
    <row r="581" spans="2:6" x14ac:dyDescent="0.25">
      <c r="B581" s="67" t="str">
        <f t="shared" si="30"/>
        <v>NA</v>
      </c>
      <c r="C581" t="str">
        <f t="shared" si="31"/>
        <v>NA</v>
      </c>
      <c r="D581" s="64" t="e">
        <f t="shared" si="32"/>
        <v>#VALUE!</v>
      </c>
      <c r="E581" s="64" t="e">
        <f>Tableau7[[#This Row],[Mensualité]]-Tableau7[[#This Row],[Intérêts]]</f>
        <v>#VALUE!</v>
      </c>
      <c r="F581" s="64" t="e">
        <f>$G$4-Tableau7[[#This Row],[Mensualité]]-Tableau7[[#This Row],[Intérêts]]</f>
        <v>#VALUE!</v>
      </c>
    </row>
    <row r="582" spans="2:6" x14ac:dyDescent="0.25">
      <c r="B582" s="67" t="str">
        <f t="shared" si="30"/>
        <v>NA</v>
      </c>
      <c r="C582" t="str">
        <f t="shared" si="31"/>
        <v>NA</v>
      </c>
      <c r="D582" s="64" t="e">
        <f t="shared" si="32"/>
        <v>#VALUE!</v>
      </c>
      <c r="E582" s="64" t="e">
        <f>Tableau7[[#This Row],[Mensualité]]-Tableau7[[#This Row],[Intérêts]]</f>
        <v>#VALUE!</v>
      </c>
      <c r="F582" s="64" t="e">
        <f>$G$4-Tableau7[[#This Row],[Mensualité]]-Tableau7[[#This Row],[Intérêts]]</f>
        <v>#VALUE!</v>
      </c>
    </row>
    <row r="583" spans="2:6" x14ac:dyDescent="0.25">
      <c r="B583" s="67" t="str">
        <f t="shared" si="30"/>
        <v>NA</v>
      </c>
      <c r="C583" t="str">
        <f t="shared" si="31"/>
        <v>NA</v>
      </c>
      <c r="D583" s="64" t="e">
        <f t="shared" si="32"/>
        <v>#VALUE!</v>
      </c>
      <c r="E583" s="64" t="e">
        <f>Tableau7[[#This Row],[Mensualité]]-Tableau7[[#This Row],[Intérêts]]</f>
        <v>#VALUE!</v>
      </c>
      <c r="F583" s="64" t="e">
        <f>$G$4-Tableau7[[#This Row],[Mensualité]]-Tableau7[[#This Row],[Intérêts]]</f>
        <v>#VALUE!</v>
      </c>
    </row>
    <row r="584" spans="2:6" x14ac:dyDescent="0.25">
      <c r="B584" s="67" t="str">
        <f t="shared" si="30"/>
        <v>NA</v>
      </c>
      <c r="C584" t="str">
        <f t="shared" si="31"/>
        <v>NA</v>
      </c>
      <c r="D584" s="64" t="e">
        <f t="shared" si="32"/>
        <v>#VALUE!</v>
      </c>
      <c r="E584" s="64" t="e">
        <f>Tableau7[[#This Row],[Mensualité]]-Tableau7[[#This Row],[Intérêts]]</f>
        <v>#VALUE!</v>
      </c>
      <c r="F584" s="64" t="e">
        <f>$G$4-Tableau7[[#This Row],[Mensualité]]-Tableau7[[#This Row],[Intérêts]]</f>
        <v>#VALUE!</v>
      </c>
    </row>
    <row r="585" spans="2:6" x14ac:dyDescent="0.25">
      <c r="B585" s="67" t="str">
        <f t="shared" si="30"/>
        <v>NA</v>
      </c>
      <c r="C585" t="str">
        <f t="shared" si="31"/>
        <v>NA</v>
      </c>
      <c r="D585" s="64" t="e">
        <f t="shared" si="32"/>
        <v>#VALUE!</v>
      </c>
      <c r="E585" s="64" t="e">
        <f>Tableau7[[#This Row],[Mensualité]]-Tableau7[[#This Row],[Intérêts]]</f>
        <v>#VALUE!</v>
      </c>
      <c r="F585" s="64" t="e">
        <f>$G$4-Tableau7[[#This Row],[Mensualité]]-Tableau7[[#This Row],[Intérêts]]</f>
        <v>#VALUE!</v>
      </c>
    </row>
    <row r="586" spans="2:6" x14ac:dyDescent="0.25">
      <c r="B586" s="67" t="str">
        <f t="shared" si="30"/>
        <v>NA</v>
      </c>
      <c r="C586" t="str">
        <f t="shared" si="31"/>
        <v>NA</v>
      </c>
      <c r="D586" s="64" t="e">
        <f t="shared" si="32"/>
        <v>#VALUE!</v>
      </c>
      <c r="E586" s="64" t="e">
        <f>Tableau7[[#This Row],[Mensualité]]-Tableau7[[#This Row],[Intérêts]]</f>
        <v>#VALUE!</v>
      </c>
      <c r="F586" s="64" t="e">
        <f>$G$4-Tableau7[[#This Row],[Mensualité]]-Tableau7[[#This Row],[Intérêts]]</f>
        <v>#VALUE!</v>
      </c>
    </row>
    <row r="587" spans="2:6" x14ac:dyDescent="0.25">
      <c r="B587" s="67" t="str">
        <f t="shared" si="30"/>
        <v>NA</v>
      </c>
      <c r="C587" t="str">
        <f t="shared" si="31"/>
        <v>NA</v>
      </c>
      <c r="D587" s="64" t="e">
        <f t="shared" si="32"/>
        <v>#VALUE!</v>
      </c>
      <c r="E587" s="64" t="e">
        <f>Tableau7[[#This Row],[Mensualité]]-Tableau7[[#This Row],[Intérêts]]</f>
        <v>#VALUE!</v>
      </c>
      <c r="F587" s="64" t="e">
        <f>$G$4-Tableau7[[#This Row],[Mensualité]]-Tableau7[[#This Row],[Intérêts]]</f>
        <v>#VALUE!</v>
      </c>
    </row>
    <row r="588" spans="2:6" x14ac:dyDescent="0.25">
      <c r="B588" s="67" t="str">
        <f t="shared" si="30"/>
        <v>NA</v>
      </c>
      <c r="C588" t="str">
        <f t="shared" si="31"/>
        <v>NA</v>
      </c>
      <c r="D588" s="64" t="e">
        <f t="shared" si="32"/>
        <v>#VALUE!</v>
      </c>
      <c r="E588" s="64" t="e">
        <f>Tableau7[[#This Row],[Mensualité]]-Tableau7[[#This Row],[Intérêts]]</f>
        <v>#VALUE!</v>
      </c>
      <c r="F588" s="64" t="e">
        <f>$G$4-Tableau7[[#This Row],[Mensualité]]-Tableau7[[#This Row],[Intérêts]]</f>
        <v>#VALUE!</v>
      </c>
    </row>
    <row r="589" spans="2:6" x14ac:dyDescent="0.25">
      <c r="B589" s="67" t="str">
        <f t="shared" si="30"/>
        <v>NA</v>
      </c>
      <c r="C589" t="str">
        <f t="shared" si="31"/>
        <v>NA</v>
      </c>
      <c r="D589" s="64" t="e">
        <f t="shared" si="32"/>
        <v>#VALUE!</v>
      </c>
      <c r="E589" s="64" t="e">
        <f>Tableau7[[#This Row],[Mensualité]]-Tableau7[[#This Row],[Intérêts]]</f>
        <v>#VALUE!</v>
      </c>
      <c r="F589" s="64" t="e">
        <f>$G$4-Tableau7[[#This Row],[Mensualité]]-Tableau7[[#This Row],[Intérêts]]</f>
        <v>#VALUE!</v>
      </c>
    </row>
    <row r="590" spans="2:6" x14ac:dyDescent="0.25">
      <c r="B590" s="67" t="str">
        <f t="shared" si="30"/>
        <v>NA</v>
      </c>
      <c r="C590" t="str">
        <f t="shared" si="31"/>
        <v>NA</v>
      </c>
      <c r="D590" s="64" t="e">
        <f t="shared" si="32"/>
        <v>#VALUE!</v>
      </c>
      <c r="E590" s="64" t="e">
        <f>Tableau7[[#This Row],[Mensualité]]-Tableau7[[#This Row],[Intérêts]]</f>
        <v>#VALUE!</v>
      </c>
      <c r="F590" s="64" t="e">
        <f>$G$4-Tableau7[[#This Row],[Mensualité]]-Tableau7[[#This Row],[Intérêts]]</f>
        <v>#VALUE!</v>
      </c>
    </row>
    <row r="591" spans="2:6" x14ac:dyDescent="0.25">
      <c r="B591" s="67" t="str">
        <f t="shared" si="30"/>
        <v>NA</v>
      </c>
      <c r="C591" t="str">
        <f t="shared" si="31"/>
        <v>NA</v>
      </c>
      <c r="D591" s="64" t="e">
        <f t="shared" si="32"/>
        <v>#VALUE!</v>
      </c>
      <c r="E591" s="64" t="e">
        <f>Tableau7[[#This Row],[Mensualité]]-Tableau7[[#This Row],[Intérêts]]</f>
        <v>#VALUE!</v>
      </c>
      <c r="F591" s="64" t="e">
        <f>$G$4-Tableau7[[#This Row],[Mensualité]]-Tableau7[[#This Row],[Intérêts]]</f>
        <v>#VALUE!</v>
      </c>
    </row>
    <row r="592" spans="2:6" x14ac:dyDescent="0.25">
      <c r="B592" s="67" t="str">
        <f t="shared" si="30"/>
        <v>NA</v>
      </c>
      <c r="C592" t="str">
        <f t="shared" si="31"/>
        <v>NA</v>
      </c>
      <c r="D592" s="64" t="e">
        <f t="shared" si="32"/>
        <v>#VALUE!</v>
      </c>
      <c r="E592" s="64" t="e">
        <f>Tableau7[[#This Row],[Mensualité]]-Tableau7[[#This Row],[Intérêts]]</f>
        <v>#VALUE!</v>
      </c>
      <c r="F592" s="64" t="e">
        <f>$G$4-Tableau7[[#This Row],[Mensualité]]-Tableau7[[#This Row],[Intérêts]]</f>
        <v>#VALUE!</v>
      </c>
    </row>
    <row r="593" spans="2:6" x14ac:dyDescent="0.25">
      <c r="B593" s="67" t="str">
        <f t="shared" si="30"/>
        <v>NA</v>
      </c>
      <c r="C593" t="str">
        <f t="shared" si="31"/>
        <v>NA</v>
      </c>
      <c r="D593" s="64" t="e">
        <f t="shared" si="32"/>
        <v>#VALUE!</v>
      </c>
      <c r="E593" s="64" t="e">
        <f>Tableau7[[#This Row],[Mensualité]]-Tableau7[[#This Row],[Intérêts]]</f>
        <v>#VALUE!</v>
      </c>
      <c r="F593" s="64" t="e">
        <f>$G$4-Tableau7[[#This Row],[Mensualité]]-Tableau7[[#This Row],[Intérêts]]</f>
        <v>#VALUE!</v>
      </c>
    </row>
    <row r="594" spans="2:6" x14ac:dyDescent="0.25">
      <c r="B594" s="67" t="str">
        <f t="shared" si="30"/>
        <v>NA</v>
      </c>
      <c r="C594" t="str">
        <f t="shared" si="31"/>
        <v>NA</v>
      </c>
      <c r="D594" s="64" t="e">
        <f t="shared" si="32"/>
        <v>#VALUE!</v>
      </c>
      <c r="E594" s="64" t="e">
        <f>Tableau7[[#This Row],[Mensualité]]-Tableau7[[#This Row],[Intérêts]]</f>
        <v>#VALUE!</v>
      </c>
      <c r="F594" s="64" t="e">
        <f>$G$4-Tableau7[[#This Row],[Mensualité]]-Tableau7[[#This Row],[Intérêts]]</f>
        <v>#VALUE!</v>
      </c>
    </row>
    <row r="595" spans="2:6" x14ac:dyDescent="0.25">
      <c r="B595" s="67" t="str">
        <f t="shared" si="30"/>
        <v>NA</v>
      </c>
      <c r="C595" t="str">
        <f t="shared" si="31"/>
        <v>NA</v>
      </c>
      <c r="D595" s="64" t="e">
        <f t="shared" si="32"/>
        <v>#VALUE!</v>
      </c>
      <c r="E595" s="64" t="e">
        <f>Tableau7[[#This Row],[Mensualité]]-Tableau7[[#This Row],[Intérêts]]</f>
        <v>#VALUE!</v>
      </c>
      <c r="F595" s="64" t="e">
        <f>$G$4-Tableau7[[#This Row],[Mensualité]]-Tableau7[[#This Row],[Intérêts]]</f>
        <v>#VALUE!</v>
      </c>
    </row>
    <row r="596" spans="2:6" x14ac:dyDescent="0.25">
      <c r="B596" s="67" t="str">
        <f t="shared" si="30"/>
        <v>NA</v>
      </c>
      <c r="C596" t="str">
        <f t="shared" si="31"/>
        <v>NA</v>
      </c>
      <c r="D596" s="64" t="e">
        <f t="shared" si="32"/>
        <v>#VALUE!</v>
      </c>
      <c r="E596" s="64" t="e">
        <f>Tableau7[[#This Row],[Mensualité]]-Tableau7[[#This Row],[Intérêts]]</f>
        <v>#VALUE!</v>
      </c>
      <c r="F596" s="64" t="e">
        <f>$G$4-Tableau7[[#This Row],[Mensualité]]-Tableau7[[#This Row],[Intérêts]]</f>
        <v>#VALUE!</v>
      </c>
    </row>
    <row r="597" spans="2:6" x14ac:dyDescent="0.25">
      <c r="B597" s="67" t="str">
        <f t="shared" si="30"/>
        <v>NA</v>
      </c>
      <c r="C597" t="str">
        <f t="shared" si="31"/>
        <v>NA</v>
      </c>
      <c r="D597" s="64" t="e">
        <f t="shared" si="32"/>
        <v>#VALUE!</v>
      </c>
      <c r="E597" s="64" t="e">
        <f>Tableau7[[#This Row],[Mensualité]]-Tableau7[[#This Row],[Intérêts]]</f>
        <v>#VALUE!</v>
      </c>
      <c r="F597" s="64" t="e">
        <f>$G$4-Tableau7[[#This Row],[Mensualité]]-Tableau7[[#This Row],[Intérêts]]</f>
        <v>#VALUE!</v>
      </c>
    </row>
    <row r="598" spans="2:6" x14ac:dyDescent="0.25">
      <c r="B598" s="67" t="str">
        <f t="shared" si="30"/>
        <v>NA</v>
      </c>
      <c r="C598" t="str">
        <f t="shared" si="31"/>
        <v>NA</v>
      </c>
      <c r="D598" s="64" t="e">
        <f t="shared" si="32"/>
        <v>#VALUE!</v>
      </c>
      <c r="E598" s="64" t="e">
        <f>Tableau7[[#This Row],[Mensualité]]-Tableau7[[#This Row],[Intérêts]]</f>
        <v>#VALUE!</v>
      </c>
      <c r="F598" s="64" t="e">
        <f>$G$4-Tableau7[[#This Row],[Mensualité]]-Tableau7[[#This Row],[Intérêts]]</f>
        <v>#VALUE!</v>
      </c>
    </row>
    <row r="599" spans="2:6" x14ac:dyDescent="0.25">
      <c r="B599" s="67" t="str">
        <f t="shared" si="30"/>
        <v>NA</v>
      </c>
      <c r="C599" t="str">
        <f t="shared" si="31"/>
        <v>NA</v>
      </c>
      <c r="D599" s="64" t="e">
        <f t="shared" si="32"/>
        <v>#VALUE!</v>
      </c>
      <c r="E599" s="64" t="e">
        <f>Tableau7[[#This Row],[Mensualité]]-Tableau7[[#This Row],[Intérêts]]</f>
        <v>#VALUE!</v>
      </c>
      <c r="F599" s="64" t="e">
        <f>$G$4-Tableau7[[#This Row],[Mensualité]]-Tableau7[[#This Row],[Intérêts]]</f>
        <v>#VALUE!</v>
      </c>
    </row>
    <row r="600" spans="2:6" x14ac:dyDescent="0.25">
      <c r="B600" s="67" t="str">
        <f t="shared" si="30"/>
        <v>NA</v>
      </c>
      <c r="C600" t="str">
        <f t="shared" si="31"/>
        <v>NA</v>
      </c>
      <c r="D600" s="64" t="e">
        <f t="shared" si="32"/>
        <v>#VALUE!</v>
      </c>
      <c r="E600" s="64" t="e">
        <f>Tableau7[[#This Row],[Mensualité]]-Tableau7[[#This Row],[Intérêts]]</f>
        <v>#VALUE!</v>
      </c>
      <c r="F600" s="64" t="e">
        <f>$G$4-Tableau7[[#This Row],[Mensualité]]-Tableau7[[#This Row],[Intérêts]]</f>
        <v>#VALUE!</v>
      </c>
    </row>
    <row r="601" spans="2:6" x14ac:dyDescent="0.25">
      <c r="B601" s="67" t="str">
        <f t="shared" si="30"/>
        <v>NA</v>
      </c>
      <c r="C601" t="str">
        <f t="shared" si="31"/>
        <v>NA</v>
      </c>
      <c r="D601" s="64" t="e">
        <f t="shared" si="32"/>
        <v>#VALUE!</v>
      </c>
      <c r="E601" s="64" t="e">
        <f>Tableau7[[#This Row],[Mensualité]]-Tableau7[[#This Row],[Intérêts]]</f>
        <v>#VALUE!</v>
      </c>
      <c r="F601" s="64" t="e">
        <f>$G$4-Tableau7[[#This Row],[Mensualité]]-Tableau7[[#This Row],[Intérêts]]</f>
        <v>#VALUE!</v>
      </c>
    </row>
    <row r="602" spans="2:6" x14ac:dyDescent="0.25">
      <c r="B602" s="67" t="str">
        <f t="shared" si="30"/>
        <v>NA</v>
      </c>
      <c r="C602" t="str">
        <f t="shared" si="31"/>
        <v>NA</v>
      </c>
      <c r="D602" s="64" t="e">
        <f t="shared" si="32"/>
        <v>#VALUE!</v>
      </c>
      <c r="E602" s="64" t="e">
        <f>Tableau7[[#This Row],[Mensualité]]-Tableau7[[#This Row],[Intérêts]]</f>
        <v>#VALUE!</v>
      </c>
      <c r="F602" s="64" t="e">
        <f>$G$4-Tableau7[[#This Row],[Mensualité]]-Tableau7[[#This Row],[Intérêts]]</f>
        <v>#VALUE!</v>
      </c>
    </row>
    <row r="603" spans="2:6" x14ac:dyDescent="0.25">
      <c r="B603" s="67" t="str">
        <f t="shared" si="30"/>
        <v>NA</v>
      </c>
      <c r="C603" t="str">
        <f t="shared" si="31"/>
        <v>NA</v>
      </c>
      <c r="D603" s="64" t="e">
        <f t="shared" si="32"/>
        <v>#VALUE!</v>
      </c>
      <c r="E603" s="64" t="e">
        <f>Tableau7[[#This Row],[Mensualité]]-Tableau7[[#This Row],[Intérêts]]</f>
        <v>#VALUE!</v>
      </c>
      <c r="F603" s="64" t="e">
        <f>$G$4-Tableau7[[#This Row],[Mensualité]]-Tableau7[[#This Row],[Intérêts]]</f>
        <v>#VALUE!</v>
      </c>
    </row>
    <row r="604" spans="2:6" x14ac:dyDescent="0.25">
      <c r="B604" s="67" t="str">
        <f t="shared" si="30"/>
        <v>NA</v>
      </c>
      <c r="C604" t="str">
        <f t="shared" si="31"/>
        <v>NA</v>
      </c>
      <c r="D604" s="64" t="e">
        <f t="shared" si="32"/>
        <v>#VALUE!</v>
      </c>
      <c r="E604" s="64" t="e">
        <f>Tableau7[[#This Row],[Mensualité]]-Tableau7[[#This Row],[Intérêts]]</f>
        <v>#VALUE!</v>
      </c>
      <c r="F604" s="64" t="e">
        <f>$G$4-Tableau7[[#This Row],[Mensualité]]-Tableau7[[#This Row],[Intérêts]]</f>
        <v>#VALUE!</v>
      </c>
    </row>
    <row r="605" spans="2:6" x14ac:dyDescent="0.25">
      <c r="B605" s="67" t="str">
        <f t="shared" si="30"/>
        <v>NA</v>
      </c>
      <c r="C605" t="str">
        <f t="shared" si="31"/>
        <v>NA</v>
      </c>
      <c r="D605" s="64" t="e">
        <f t="shared" si="32"/>
        <v>#VALUE!</v>
      </c>
      <c r="E605" s="64" t="e">
        <f>Tableau7[[#This Row],[Mensualité]]-Tableau7[[#This Row],[Intérêts]]</f>
        <v>#VALUE!</v>
      </c>
      <c r="F605" s="64" t="e">
        <f>$G$4-Tableau7[[#This Row],[Mensualité]]-Tableau7[[#This Row],[Intérêts]]</f>
        <v>#VALUE!</v>
      </c>
    </row>
    <row r="606" spans="2:6" x14ac:dyDescent="0.25">
      <c r="B606" s="67" t="str">
        <f t="shared" si="30"/>
        <v>NA</v>
      </c>
      <c r="C606" t="str">
        <f t="shared" si="31"/>
        <v>NA</v>
      </c>
      <c r="D606" s="64" t="e">
        <f t="shared" si="32"/>
        <v>#VALUE!</v>
      </c>
      <c r="E606" s="64" t="e">
        <f>Tableau7[[#This Row],[Mensualité]]-Tableau7[[#This Row],[Intérêts]]</f>
        <v>#VALUE!</v>
      </c>
      <c r="F606" s="64" t="e">
        <f>$G$4-Tableau7[[#This Row],[Mensualité]]-Tableau7[[#This Row],[Intérêts]]</f>
        <v>#VALUE!</v>
      </c>
    </row>
    <row r="607" spans="2:6" x14ac:dyDescent="0.25">
      <c r="B607" s="67" t="str">
        <f t="shared" si="30"/>
        <v>NA</v>
      </c>
      <c r="C607" t="str">
        <f t="shared" si="31"/>
        <v>NA</v>
      </c>
      <c r="D607" s="64" t="e">
        <f t="shared" si="32"/>
        <v>#VALUE!</v>
      </c>
      <c r="E607" s="64" t="e">
        <f>Tableau7[[#This Row],[Mensualité]]-Tableau7[[#This Row],[Intérêts]]</f>
        <v>#VALUE!</v>
      </c>
      <c r="F607" s="64" t="e">
        <f>$G$4-Tableau7[[#This Row],[Mensualité]]-Tableau7[[#This Row],[Intérêts]]</f>
        <v>#VALUE!</v>
      </c>
    </row>
    <row r="608" spans="2:6" x14ac:dyDescent="0.25">
      <c r="B608" s="67" t="str">
        <f t="shared" si="30"/>
        <v>NA</v>
      </c>
      <c r="C608" t="str">
        <f t="shared" si="31"/>
        <v>NA</v>
      </c>
      <c r="D608" s="64" t="e">
        <f t="shared" si="32"/>
        <v>#VALUE!</v>
      </c>
      <c r="E608" s="64" t="e">
        <f>Tableau7[[#This Row],[Mensualité]]-Tableau7[[#This Row],[Intérêts]]</f>
        <v>#VALUE!</v>
      </c>
      <c r="F608" s="64" t="e">
        <f>$G$4-Tableau7[[#This Row],[Mensualité]]-Tableau7[[#This Row],[Intérêts]]</f>
        <v>#VALUE!</v>
      </c>
    </row>
    <row r="609" spans="2:6" x14ac:dyDescent="0.25">
      <c r="B609" s="67" t="str">
        <f t="shared" si="30"/>
        <v>NA</v>
      </c>
      <c r="C609" t="str">
        <f t="shared" si="31"/>
        <v>NA</v>
      </c>
      <c r="D609" s="64" t="e">
        <f t="shared" si="32"/>
        <v>#VALUE!</v>
      </c>
      <c r="E609" s="64" t="e">
        <f>Tableau7[[#This Row],[Mensualité]]-Tableau7[[#This Row],[Intérêts]]</f>
        <v>#VALUE!</v>
      </c>
      <c r="F609" s="64" t="e">
        <f>$G$4-Tableau7[[#This Row],[Mensualité]]-Tableau7[[#This Row],[Intérêts]]</f>
        <v>#VALUE!</v>
      </c>
    </row>
    <row r="610" spans="2:6" x14ac:dyDescent="0.25">
      <c r="B610" s="67" t="str">
        <f t="shared" si="30"/>
        <v>NA</v>
      </c>
      <c r="C610" t="str">
        <f t="shared" si="31"/>
        <v>NA</v>
      </c>
      <c r="D610" s="64" t="e">
        <f t="shared" si="32"/>
        <v>#VALUE!</v>
      </c>
      <c r="E610" s="64" t="e">
        <f>Tableau7[[#This Row],[Mensualité]]-Tableau7[[#This Row],[Intérêts]]</f>
        <v>#VALUE!</v>
      </c>
      <c r="F610" s="64" t="e">
        <f>$G$4-Tableau7[[#This Row],[Mensualité]]-Tableau7[[#This Row],[Intérêts]]</f>
        <v>#VALUE!</v>
      </c>
    </row>
    <row r="611" spans="2:6" x14ac:dyDescent="0.25">
      <c r="B611" s="67" t="str">
        <f t="shared" si="30"/>
        <v>NA</v>
      </c>
      <c r="C611" t="str">
        <f t="shared" si="31"/>
        <v>NA</v>
      </c>
      <c r="D611" s="64" t="e">
        <f t="shared" si="32"/>
        <v>#VALUE!</v>
      </c>
      <c r="E611" s="64" t="e">
        <f>Tableau7[[#This Row],[Mensualité]]-Tableau7[[#This Row],[Intérêts]]</f>
        <v>#VALUE!</v>
      </c>
      <c r="F611" s="64" t="e">
        <f>$G$4-Tableau7[[#This Row],[Mensualité]]-Tableau7[[#This Row],[Intérêts]]</f>
        <v>#VALUE!</v>
      </c>
    </row>
    <row r="612" spans="2:6" x14ac:dyDescent="0.25">
      <c r="B612" s="67" t="str">
        <f t="shared" si="30"/>
        <v>NA</v>
      </c>
      <c r="C612" t="str">
        <f t="shared" si="31"/>
        <v>NA</v>
      </c>
      <c r="D612" s="64" t="e">
        <f t="shared" si="32"/>
        <v>#VALUE!</v>
      </c>
      <c r="E612" s="64" t="e">
        <f>Tableau7[[#This Row],[Mensualité]]-Tableau7[[#This Row],[Intérêts]]</f>
        <v>#VALUE!</v>
      </c>
      <c r="F612" s="64" t="e">
        <f>$G$4-Tableau7[[#This Row],[Mensualité]]-Tableau7[[#This Row],[Intérêts]]</f>
        <v>#VALUE!</v>
      </c>
    </row>
    <row r="613" spans="2:6" x14ac:dyDescent="0.25">
      <c r="B613" s="67" t="str">
        <f t="shared" si="30"/>
        <v>NA</v>
      </c>
      <c r="C613" t="str">
        <f t="shared" si="31"/>
        <v>NA</v>
      </c>
      <c r="D613" s="64" t="e">
        <f t="shared" si="32"/>
        <v>#VALUE!</v>
      </c>
      <c r="E613" s="64" t="e">
        <f>Tableau7[[#This Row],[Mensualité]]-Tableau7[[#This Row],[Intérêts]]</f>
        <v>#VALUE!</v>
      </c>
      <c r="F613" s="64" t="e">
        <f>$G$4-Tableau7[[#This Row],[Mensualité]]-Tableau7[[#This Row],[Intérêts]]</f>
        <v>#VALUE!</v>
      </c>
    </row>
    <row r="614" spans="2:6" x14ac:dyDescent="0.25">
      <c r="B614" s="67" t="str">
        <f t="shared" si="30"/>
        <v>NA</v>
      </c>
      <c r="C614" t="str">
        <f t="shared" si="31"/>
        <v>NA</v>
      </c>
      <c r="D614" s="64" t="e">
        <f t="shared" si="32"/>
        <v>#VALUE!</v>
      </c>
      <c r="E614" s="64" t="e">
        <f>Tableau7[[#This Row],[Mensualité]]-Tableau7[[#This Row],[Intérêts]]</f>
        <v>#VALUE!</v>
      </c>
      <c r="F614" s="64" t="e">
        <f>$G$4-Tableau7[[#This Row],[Mensualité]]-Tableau7[[#This Row],[Intérêts]]</f>
        <v>#VALUE!</v>
      </c>
    </row>
    <row r="615" spans="2:6" x14ac:dyDescent="0.25">
      <c r="B615" s="67" t="str">
        <f t="shared" si="30"/>
        <v>NA</v>
      </c>
      <c r="C615" t="str">
        <f t="shared" si="31"/>
        <v>NA</v>
      </c>
      <c r="D615" s="64" t="e">
        <f t="shared" si="32"/>
        <v>#VALUE!</v>
      </c>
      <c r="E615" s="64" t="e">
        <f>Tableau7[[#This Row],[Mensualité]]-Tableau7[[#This Row],[Intérêts]]</f>
        <v>#VALUE!</v>
      </c>
      <c r="F615" s="64" t="e">
        <f>$G$4-Tableau7[[#This Row],[Mensualité]]-Tableau7[[#This Row],[Intérêts]]</f>
        <v>#VALUE!</v>
      </c>
    </row>
    <row r="616" spans="2:6" x14ac:dyDescent="0.25">
      <c r="B616" s="67" t="str">
        <f t="shared" si="30"/>
        <v>NA</v>
      </c>
      <c r="C616" t="str">
        <f t="shared" si="31"/>
        <v>NA</v>
      </c>
      <c r="D616" s="64" t="e">
        <f t="shared" si="32"/>
        <v>#VALUE!</v>
      </c>
      <c r="E616" s="64" t="e">
        <f>Tableau7[[#This Row],[Mensualité]]-Tableau7[[#This Row],[Intérêts]]</f>
        <v>#VALUE!</v>
      </c>
      <c r="F616" s="64" t="e">
        <f>$G$4-Tableau7[[#This Row],[Mensualité]]-Tableau7[[#This Row],[Intérêts]]</f>
        <v>#VALUE!</v>
      </c>
    </row>
    <row r="617" spans="2:6" x14ac:dyDescent="0.25">
      <c r="B617" s="67" t="str">
        <f t="shared" si="30"/>
        <v>NA</v>
      </c>
      <c r="C617" t="str">
        <f t="shared" si="31"/>
        <v>NA</v>
      </c>
      <c r="D617" s="64" t="e">
        <f t="shared" si="32"/>
        <v>#VALUE!</v>
      </c>
      <c r="E617" s="64" t="e">
        <f>Tableau7[[#This Row],[Mensualité]]-Tableau7[[#This Row],[Intérêts]]</f>
        <v>#VALUE!</v>
      </c>
      <c r="F617" s="64" t="e">
        <f>$G$4-Tableau7[[#This Row],[Mensualité]]-Tableau7[[#This Row],[Intérêts]]</f>
        <v>#VALUE!</v>
      </c>
    </row>
    <row r="618" spans="2:6" x14ac:dyDescent="0.25">
      <c r="B618" s="67" t="str">
        <f t="shared" si="30"/>
        <v>NA</v>
      </c>
      <c r="C618" t="str">
        <f t="shared" si="31"/>
        <v>NA</v>
      </c>
      <c r="D618" s="64" t="e">
        <f t="shared" si="32"/>
        <v>#VALUE!</v>
      </c>
      <c r="E618" s="64" t="e">
        <f>Tableau7[[#This Row],[Mensualité]]-Tableau7[[#This Row],[Intérêts]]</f>
        <v>#VALUE!</v>
      </c>
      <c r="F618" s="64" t="e">
        <f>$G$4-Tableau7[[#This Row],[Mensualité]]-Tableau7[[#This Row],[Intérêts]]</f>
        <v>#VALUE!</v>
      </c>
    </row>
    <row r="619" spans="2:6" x14ac:dyDescent="0.25">
      <c r="B619" s="67" t="str">
        <f t="shared" ref="B619:B682" si="33">$D$4</f>
        <v>NA</v>
      </c>
      <c r="C619" t="str">
        <f t="shared" ref="C619:C682" si="34">$H$4</f>
        <v>NA</v>
      </c>
      <c r="D619" s="64" t="e">
        <f t="shared" ref="D619:D682" si="35">G612*F612/12</f>
        <v>#VALUE!</v>
      </c>
      <c r="E619" s="64" t="e">
        <f>Tableau7[[#This Row],[Mensualité]]-Tableau7[[#This Row],[Intérêts]]</f>
        <v>#VALUE!</v>
      </c>
      <c r="F619" s="64" t="e">
        <f>$G$4-Tableau7[[#This Row],[Mensualité]]-Tableau7[[#This Row],[Intérêts]]</f>
        <v>#VALUE!</v>
      </c>
    </row>
    <row r="620" spans="2:6" x14ac:dyDescent="0.25">
      <c r="B620" s="67" t="str">
        <f t="shared" si="33"/>
        <v>NA</v>
      </c>
      <c r="C620" t="str">
        <f t="shared" si="34"/>
        <v>NA</v>
      </c>
      <c r="D620" s="64" t="e">
        <f t="shared" si="35"/>
        <v>#VALUE!</v>
      </c>
      <c r="E620" s="64" t="e">
        <f>Tableau7[[#This Row],[Mensualité]]-Tableau7[[#This Row],[Intérêts]]</f>
        <v>#VALUE!</v>
      </c>
      <c r="F620" s="64" t="e">
        <f>$G$4-Tableau7[[#This Row],[Mensualité]]-Tableau7[[#This Row],[Intérêts]]</f>
        <v>#VALUE!</v>
      </c>
    </row>
    <row r="621" spans="2:6" x14ac:dyDescent="0.25">
      <c r="B621" s="67" t="str">
        <f t="shared" si="33"/>
        <v>NA</v>
      </c>
      <c r="C621" t="str">
        <f t="shared" si="34"/>
        <v>NA</v>
      </c>
      <c r="D621" s="64" t="e">
        <f t="shared" si="35"/>
        <v>#VALUE!</v>
      </c>
      <c r="E621" s="64" t="e">
        <f>Tableau7[[#This Row],[Mensualité]]-Tableau7[[#This Row],[Intérêts]]</f>
        <v>#VALUE!</v>
      </c>
      <c r="F621" s="64" t="e">
        <f>$G$4-Tableau7[[#This Row],[Mensualité]]-Tableau7[[#This Row],[Intérêts]]</f>
        <v>#VALUE!</v>
      </c>
    </row>
    <row r="622" spans="2:6" x14ac:dyDescent="0.25">
      <c r="B622" s="67" t="str">
        <f t="shared" si="33"/>
        <v>NA</v>
      </c>
      <c r="C622" t="str">
        <f t="shared" si="34"/>
        <v>NA</v>
      </c>
      <c r="D622" s="64" t="e">
        <f t="shared" si="35"/>
        <v>#VALUE!</v>
      </c>
      <c r="E622" s="64" t="e">
        <f>Tableau7[[#This Row],[Mensualité]]-Tableau7[[#This Row],[Intérêts]]</f>
        <v>#VALUE!</v>
      </c>
      <c r="F622" s="64" t="e">
        <f>$G$4-Tableau7[[#This Row],[Mensualité]]-Tableau7[[#This Row],[Intérêts]]</f>
        <v>#VALUE!</v>
      </c>
    </row>
    <row r="623" spans="2:6" x14ac:dyDescent="0.25">
      <c r="B623" s="67" t="str">
        <f t="shared" si="33"/>
        <v>NA</v>
      </c>
      <c r="C623" t="str">
        <f t="shared" si="34"/>
        <v>NA</v>
      </c>
      <c r="D623" s="64" t="e">
        <f t="shared" si="35"/>
        <v>#VALUE!</v>
      </c>
      <c r="E623" s="64" t="e">
        <f>Tableau7[[#This Row],[Mensualité]]-Tableau7[[#This Row],[Intérêts]]</f>
        <v>#VALUE!</v>
      </c>
      <c r="F623" s="64" t="e">
        <f>$G$4-Tableau7[[#This Row],[Mensualité]]-Tableau7[[#This Row],[Intérêts]]</f>
        <v>#VALUE!</v>
      </c>
    </row>
    <row r="624" spans="2:6" x14ac:dyDescent="0.25">
      <c r="B624" s="67" t="str">
        <f t="shared" si="33"/>
        <v>NA</v>
      </c>
      <c r="C624" t="str">
        <f t="shared" si="34"/>
        <v>NA</v>
      </c>
      <c r="D624" s="64" t="e">
        <f t="shared" si="35"/>
        <v>#VALUE!</v>
      </c>
      <c r="E624" s="64" t="e">
        <f>Tableau7[[#This Row],[Mensualité]]-Tableau7[[#This Row],[Intérêts]]</f>
        <v>#VALUE!</v>
      </c>
      <c r="F624" s="64" t="e">
        <f>$G$4-Tableau7[[#This Row],[Mensualité]]-Tableau7[[#This Row],[Intérêts]]</f>
        <v>#VALUE!</v>
      </c>
    </row>
    <row r="625" spans="2:6" x14ac:dyDescent="0.25">
      <c r="B625" s="67" t="str">
        <f t="shared" si="33"/>
        <v>NA</v>
      </c>
      <c r="C625" t="str">
        <f t="shared" si="34"/>
        <v>NA</v>
      </c>
      <c r="D625" s="64" t="e">
        <f t="shared" si="35"/>
        <v>#VALUE!</v>
      </c>
      <c r="E625" s="64" t="e">
        <f>Tableau7[[#This Row],[Mensualité]]-Tableau7[[#This Row],[Intérêts]]</f>
        <v>#VALUE!</v>
      </c>
      <c r="F625" s="64" t="e">
        <f>$G$4-Tableau7[[#This Row],[Mensualité]]-Tableau7[[#This Row],[Intérêts]]</f>
        <v>#VALUE!</v>
      </c>
    </row>
    <row r="626" spans="2:6" x14ac:dyDescent="0.25">
      <c r="B626" s="67" t="str">
        <f t="shared" si="33"/>
        <v>NA</v>
      </c>
      <c r="C626" t="str">
        <f t="shared" si="34"/>
        <v>NA</v>
      </c>
      <c r="D626" s="64" t="e">
        <f t="shared" si="35"/>
        <v>#VALUE!</v>
      </c>
      <c r="E626" s="64" t="e">
        <f>Tableau7[[#This Row],[Mensualité]]-Tableau7[[#This Row],[Intérêts]]</f>
        <v>#VALUE!</v>
      </c>
      <c r="F626" s="64" t="e">
        <f>$G$4-Tableau7[[#This Row],[Mensualité]]-Tableau7[[#This Row],[Intérêts]]</f>
        <v>#VALUE!</v>
      </c>
    </row>
    <row r="627" spans="2:6" x14ac:dyDescent="0.25">
      <c r="B627" s="67" t="str">
        <f t="shared" si="33"/>
        <v>NA</v>
      </c>
      <c r="C627" t="str">
        <f t="shared" si="34"/>
        <v>NA</v>
      </c>
      <c r="D627" s="64" t="e">
        <f t="shared" si="35"/>
        <v>#VALUE!</v>
      </c>
      <c r="E627" s="64" t="e">
        <f>Tableau7[[#This Row],[Mensualité]]-Tableau7[[#This Row],[Intérêts]]</f>
        <v>#VALUE!</v>
      </c>
      <c r="F627" s="64" t="e">
        <f>$G$4-Tableau7[[#This Row],[Mensualité]]-Tableau7[[#This Row],[Intérêts]]</f>
        <v>#VALUE!</v>
      </c>
    </row>
    <row r="628" spans="2:6" x14ac:dyDescent="0.25">
      <c r="B628" s="67" t="str">
        <f t="shared" si="33"/>
        <v>NA</v>
      </c>
      <c r="C628" t="str">
        <f t="shared" si="34"/>
        <v>NA</v>
      </c>
      <c r="D628" s="64" t="e">
        <f t="shared" si="35"/>
        <v>#VALUE!</v>
      </c>
      <c r="E628" s="64" t="e">
        <f>Tableau7[[#This Row],[Mensualité]]-Tableau7[[#This Row],[Intérêts]]</f>
        <v>#VALUE!</v>
      </c>
      <c r="F628" s="64" t="e">
        <f>$G$4-Tableau7[[#This Row],[Mensualité]]-Tableau7[[#This Row],[Intérêts]]</f>
        <v>#VALUE!</v>
      </c>
    </row>
    <row r="629" spans="2:6" x14ac:dyDescent="0.25">
      <c r="B629" s="67" t="str">
        <f t="shared" si="33"/>
        <v>NA</v>
      </c>
      <c r="C629" t="str">
        <f t="shared" si="34"/>
        <v>NA</v>
      </c>
      <c r="D629" s="64" t="e">
        <f t="shared" si="35"/>
        <v>#VALUE!</v>
      </c>
      <c r="E629" s="64" t="e">
        <f>Tableau7[[#This Row],[Mensualité]]-Tableau7[[#This Row],[Intérêts]]</f>
        <v>#VALUE!</v>
      </c>
      <c r="F629" s="64" t="e">
        <f>$G$4-Tableau7[[#This Row],[Mensualité]]-Tableau7[[#This Row],[Intérêts]]</f>
        <v>#VALUE!</v>
      </c>
    </row>
    <row r="630" spans="2:6" x14ac:dyDescent="0.25">
      <c r="B630" s="67" t="str">
        <f t="shared" si="33"/>
        <v>NA</v>
      </c>
      <c r="C630" t="str">
        <f t="shared" si="34"/>
        <v>NA</v>
      </c>
      <c r="D630" s="64" t="e">
        <f t="shared" si="35"/>
        <v>#VALUE!</v>
      </c>
      <c r="E630" s="64" t="e">
        <f>Tableau7[[#This Row],[Mensualité]]-Tableau7[[#This Row],[Intérêts]]</f>
        <v>#VALUE!</v>
      </c>
      <c r="F630" s="64" t="e">
        <f>$G$4-Tableau7[[#This Row],[Mensualité]]-Tableau7[[#This Row],[Intérêts]]</f>
        <v>#VALUE!</v>
      </c>
    </row>
    <row r="631" spans="2:6" x14ac:dyDescent="0.25">
      <c r="B631" s="67" t="str">
        <f t="shared" si="33"/>
        <v>NA</v>
      </c>
      <c r="C631" t="str">
        <f t="shared" si="34"/>
        <v>NA</v>
      </c>
      <c r="D631" s="64" t="e">
        <f t="shared" si="35"/>
        <v>#VALUE!</v>
      </c>
      <c r="E631" s="64" t="e">
        <f>Tableau7[[#This Row],[Mensualité]]-Tableau7[[#This Row],[Intérêts]]</f>
        <v>#VALUE!</v>
      </c>
      <c r="F631" s="64" t="e">
        <f>$G$4-Tableau7[[#This Row],[Mensualité]]-Tableau7[[#This Row],[Intérêts]]</f>
        <v>#VALUE!</v>
      </c>
    </row>
    <row r="632" spans="2:6" x14ac:dyDescent="0.25">
      <c r="B632" s="67" t="str">
        <f t="shared" si="33"/>
        <v>NA</v>
      </c>
      <c r="C632" t="str">
        <f t="shared" si="34"/>
        <v>NA</v>
      </c>
      <c r="D632" s="64" t="e">
        <f t="shared" si="35"/>
        <v>#VALUE!</v>
      </c>
      <c r="E632" s="64" t="e">
        <f>Tableau7[[#This Row],[Mensualité]]-Tableau7[[#This Row],[Intérêts]]</f>
        <v>#VALUE!</v>
      </c>
      <c r="F632" s="64" t="e">
        <f>$G$4-Tableau7[[#This Row],[Mensualité]]-Tableau7[[#This Row],[Intérêts]]</f>
        <v>#VALUE!</v>
      </c>
    </row>
    <row r="633" spans="2:6" x14ac:dyDescent="0.25">
      <c r="B633" s="67" t="str">
        <f t="shared" si="33"/>
        <v>NA</v>
      </c>
      <c r="C633" t="str">
        <f t="shared" si="34"/>
        <v>NA</v>
      </c>
      <c r="D633" s="64" t="e">
        <f t="shared" si="35"/>
        <v>#VALUE!</v>
      </c>
      <c r="E633" s="64" t="e">
        <f>Tableau7[[#This Row],[Mensualité]]-Tableau7[[#This Row],[Intérêts]]</f>
        <v>#VALUE!</v>
      </c>
      <c r="F633" s="64" t="e">
        <f>$G$4-Tableau7[[#This Row],[Mensualité]]-Tableau7[[#This Row],[Intérêts]]</f>
        <v>#VALUE!</v>
      </c>
    </row>
    <row r="634" spans="2:6" x14ac:dyDescent="0.25">
      <c r="B634" s="67" t="str">
        <f t="shared" si="33"/>
        <v>NA</v>
      </c>
      <c r="C634" t="str">
        <f t="shared" si="34"/>
        <v>NA</v>
      </c>
      <c r="D634" s="64" t="e">
        <f t="shared" si="35"/>
        <v>#VALUE!</v>
      </c>
      <c r="E634" s="64" t="e">
        <f>Tableau7[[#This Row],[Mensualité]]-Tableau7[[#This Row],[Intérêts]]</f>
        <v>#VALUE!</v>
      </c>
      <c r="F634" s="64" t="e">
        <f>$G$4-Tableau7[[#This Row],[Mensualité]]-Tableau7[[#This Row],[Intérêts]]</f>
        <v>#VALUE!</v>
      </c>
    </row>
    <row r="635" spans="2:6" x14ac:dyDescent="0.25">
      <c r="B635" s="67" t="str">
        <f t="shared" si="33"/>
        <v>NA</v>
      </c>
      <c r="C635" t="str">
        <f t="shared" si="34"/>
        <v>NA</v>
      </c>
      <c r="D635" s="64" t="e">
        <f t="shared" si="35"/>
        <v>#VALUE!</v>
      </c>
      <c r="E635" s="64" t="e">
        <f>Tableau7[[#This Row],[Mensualité]]-Tableau7[[#This Row],[Intérêts]]</f>
        <v>#VALUE!</v>
      </c>
      <c r="F635" s="64" t="e">
        <f>$G$4-Tableau7[[#This Row],[Mensualité]]-Tableau7[[#This Row],[Intérêts]]</f>
        <v>#VALUE!</v>
      </c>
    </row>
    <row r="636" spans="2:6" x14ac:dyDescent="0.25">
      <c r="B636" s="67" t="str">
        <f t="shared" si="33"/>
        <v>NA</v>
      </c>
      <c r="C636" t="str">
        <f t="shared" si="34"/>
        <v>NA</v>
      </c>
      <c r="D636" s="64" t="e">
        <f t="shared" si="35"/>
        <v>#VALUE!</v>
      </c>
      <c r="E636" s="64" t="e">
        <f>Tableau7[[#This Row],[Mensualité]]-Tableau7[[#This Row],[Intérêts]]</f>
        <v>#VALUE!</v>
      </c>
      <c r="F636" s="64" t="e">
        <f>$G$4-Tableau7[[#This Row],[Mensualité]]-Tableau7[[#This Row],[Intérêts]]</f>
        <v>#VALUE!</v>
      </c>
    </row>
    <row r="637" spans="2:6" x14ac:dyDescent="0.25">
      <c r="B637" s="67" t="str">
        <f t="shared" si="33"/>
        <v>NA</v>
      </c>
      <c r="C637" t="str">
        <f t="shared" si="34"/>
        <v>NA</v>
      </c>
      <c r="D637" s="64" t="e">
        <f t="shared" si="35"/>
        <v>#VALUE!</v>
      </c>
      <c r="E637" s="64" t="e">
        <f>Tableau7[[#This Row],[Mensualité]]-Tableau7[[#This Row],[Intérêts]]</f>
        <v>#VALUE!</v>
      </c>
      <c r="F637" s="64" t="e">
        <f>$G$4-Tableau7[[#This Row],[Mensualité]]-Tableau7[[#This Row],[Intérêts]]</f>
        <v>#VALUE!</v>
      </c>
    </row>
    <row r="638" spans="2:6" x14ac:dyDescent="0.25">
      <c r="B638" s="67" t="str">
        <f t="shared" si="33"/>
        <v>NA</v>
      </c>
      <c r="C638" t="str">
        <f t="shared" si="34"/>
        <v>NA</v>
      </c>
      <c r="D638" s="64" t="e">
        <f t="shared" si="35"/>
        <v>#VALUE!</v>
      </c>
      <c r="E638" s="64" t="e">
        <f>Tableau7[[#This Row],[Mensualité]]-Tableau7[[#This Row],[Intérêts]]</f>
        <v>#VALUE!</v>
      </c>
      <c r="F638" s="64" t="e">
        <f>$G$4-Tableau7[[#This Row],[Mensualité]]-Tableau7[[#This Row],[Intérêts]]</f>
        <v>#VALUE!</v>
      </c>
    </row>
    <row r="639" spans="2:6" x14ac:dyDescent="0.25">
      <c r="B639" s="67" t="str">
        <f t="shared" si="33"/>
        <v>NA</v>
      </c>
      <c r="C639" t="str">
        <f t="shared" si="34"/>
        <v>NA</v>
      </c>
      <c r="D639" s="64" t="e">
        <f t="shared" si="35"/>
        <v>#VALUE!</v>
      </c>
      <c r="E639" s="64" t="e">
        <f>Tableau7[[#This Row],[Mensualité]]-Tableau7[[#This Row],[Intérêts]]</f>
        <v>#VALUE!</v>
      </c>
      <c r="F639" s="64" t="e">
        <f>$G$4-Tableau7[[#This Row],[Mensualité]]-Tableau7[[#This Row],[Intérêts]]</f>
        <v>#VALUE!</v>
      </c>
    </row>
    <row r="640" spans="2:6" x14ac:dyDescent="0.25">
      <c r="B640" s="67" t="str">
        <f t="shared" si="33"/>
        <v>NA</v>
      </c>
      <c r="C640" t="str">
        <f t="shared" si="34"/>
        <v>NA</v>
      </c>
      <c r="D640" s="64" t="e">
        <f t="shared" si="35"/>
        <v>#VALUE!</v>
      </c>
      <c r="E640" s="64" t="e">
        <f>Tableau7[[#This Row],[Mensualité]]-Tableau7[[#This Row],[Intérêts]]</f>
        <v>#VALUE!</v>
      </c>
      <c r="F640" s="64" t="e">
        <f>$G$4-Tableau7[[#This Row],[Mensualité]]-Tableau7[[#This Row],[Intérêts]]</f>
        <v>#VALUE!</v>
      </c>
    </row>
    <row r="641" spans="2:6" x14ac:dyDescent="0.25">
      <c r="B641" s="67" t="str">
        <f t="shared" si="33"/>
        <v>NA</v>
      </c>
      <c r="C641" t="str">
        <f t="shared" si="34"/>
        <v>NA</v>
      </c>
      <c r="D641" s="64" t="e">
        <f t="shared" si="35"/>
        <v>#VALUE!</v>
      </c>
      <c r="E641" s="64" t="e">
        <f>Tableau7[[#This Row],[Mensualité]]-Tableau7[[#This Row],[Intérêts]]</f>
        <v>#VALUE!</v>
      </c>
      <c r="F641" s="64" t="e">
        <f>$G$4-Tableau7[[#This Row],[Mensualité]]-Tableau7[[#This Row],[Intérêts]]</f>
        <v>#VALUE!</v>
      </c>
    </row>
    <row r="642" spans="2:6" x14ac:dyDescent="0.25">
      <c r="B642" s="67" t="str">
        <f t="shared" si="33"/>
        <v>NA</v>
      </c>
      <c r="C642" t="str">
        <f t="shared" si="34"/>
        <v>NA</v>
      </c>
      <c r="D642" s="64" t="e">
        <f t="shared" si="35"/>
        <v>#VALUE!</v>
      </c>
      <c r="E642" s="64" t="e">
        <f>Tableau7[[#This Row],[Mensualité]]-Tableau7[[#This Row],[Intérêts]]</f>
        <v>#VALUE!</v>
      </c>
      <c r="F642" s="64" t="e">
        <f>$G$4-Tableau7[[#This Row],[Mensualité]]-Tableau7[[#This Row],[Intérêts]]</f>
        <v>#VALUE!</v>
      </c>
    </row>
    <row r="643" spans="2:6" x14ac:dyDescent="0.25">
      <c r="B643" s="67" t="str">
        <f t="shared" si="33"/>
        <v>NA</v>
      </c>
      <c r="C643" t="str">
        <f t="shared" si="34"/>
        <v>NA</v>
      </c>
      <c r="D643" s="64" t="e">
        <f t="shared" si="35"/>
        <v>#VALUE!</v>
      </c>
      <c r="E643" s="64" t="e">
        <f>Tableau7[[#This Row],[Mensualité]]-Tableau7[[#This Row],[Intérêts]]</f>
        <v>#VALUE!</v>
      </c>
      <c r="F643" s="64" t="e">
        <f>$G$4-Tableau7[[#This Row],[Mensualité]]-Tableau7[[#This Row],[Intérêts]]</f>
        <v>#VALUE!</v>
      </c>
    </row>
    <row r="644" spans="2:6" x14ac:dyDescent="0.25">
      <c r="B644" s="67" t="str">
        <f t="shared" si="33"/>
        <v>NA</v>
      </c>
      <c r="C644" t="str">
        <f t="shared" si="34"/>
        <v>NA</v>
      </c>
      <c r="D644" s="64" t="e">
        <f t="shared" si="35"/>
        <v>#VALUE!</v>
      </c>
      <c r="E644" s="64" t="e">
        <f>Tableau7[[#This Row],[Mensualité]]-Tableau7[[#This Row],[Intérêts]]</f>
        <v>#VALUE!</v>
      </c>
      <c r="F644" s="64" t="e">
        <f>$G$4-Tableau7[[#This Row],[Mensualité]]-Tableau7[[#This Row],[Intérêts]]</f>
        <v>#VALUE!</v>
      </c>
    </row>
    <row r="645" spans="2:6" x14ac:dyDescent="0.25">
      <c r="B645" s="67" t="str">
        <f t="shared" si="33"/>
        <v>NA</v>
      </c>
      <c r="C645" t="str">
        <f t="shared" si="34"/>
        <v>NA</v>
      </c>
      <c r="D645" s="64" t="e">
        <f t="shared" si="35"/>
        <v>#VALUE!</v>
      </c>
      <c r="E645" s="64" t="e">
        <f>Tableau7[[#This Row],[Mensualité]]-Tableau7[[#This Row],[Intérêts]]</f>
        <v>#VALUE!</v>
      </c>
      <c r="F645" s="64" t="e">
        <f>$G$4-Tableau7[[#This Row],[Mensualité]]-Tableau7[[#This Row],[Intérêts]]</f>
        <v>#VALUE!</v>
      </c>
    </row>
    <row r="646" spans="2:6" x14ac:dyDescent="0.25">
      <c r="B646" s="67" t="str">
        <f t="shared" si="33"/>
        <v>NA</v>
      </c>
      <c r="C646" t="str">
        <f t="shared" si="34"/>
        <v>NA</v>
      </c>
      <c r="D646" s="64" t="e">
        <f t="shared" si="35"/>
        <v>#VALUE!</v>
      </c>
      <c r="E646" s="64" t="e">
        <f>Tableau7[[#This Row],[Mensualité]]-Tableau7[[#This Row],[Intérêts]]</f>
        <v>#VALUE!</v>
      </c>
      <c r="F646" s="64" t="e">
        <f>$G$4-Tableau7[[#This Row],[Mensualité]]-Tableau7[[#This Row],[Intérêts]]</f>
        <v>#VALUE!</v>
      </c>
    </row>
    <row r="647" spans="2:6" x14ac:dyDescent="0.25">
      <c r="B647" s="67" t="str">
        <f t="shared" si="33"/>
        <v>NA</v>
      </c>
      <c r="C647" t="str">
        <f t="shared" si="34"/>
        <v>NA</v>
      </c>
      <c r="D647" s="64" t="e">
        <f t="shared" si="35"/>
        <v>#VALUE!</v>
      </c>
      <c r="E647" s="64" t="e">
        <f>Tableau7[[#This Row],[Mensualité]]-Tableau7[[#This Row],[Intérêts]]</f>
        <v>#VALUE!</v>
      </c>
      <c r="F647" s="64" t="e">
        <f>$G$4-Tableau7[[#This Row],[Mensualité]]-Tableau7[[#This Row],[Intérêts]]</f>
        <v>#VALUE!</v>
      </c>
    </row>
    <row r="648" spans="2:6" x14ac:dyDescent="0.25">
      <c r="B648" s="67" t="str">
        <f t="shared" si="33"/>
        <v>NA</v>
      </c>
      <c r="C648" t="str">
        <f t="shared" si="34"/>
        <v>NA</v>
      </c>
      <c r="D648" s="64" t="e">
        <f t="shared" si="35"/>
        <v>#VALUE!</v>
      </c>
      <c r="E648" s="64" t="e">
        <f>Tableau7[[#This Row],[Mensualité]]-Tableau7[[#This Row],[Intérêts]]</f>
        <v>#VALUE!</v>
      </c>
      <c r="F648" s="64" t="e">
        <f>$G$4-Tableau7[[#This Row],[Mensualité]]-Tableau7[[#This Row],[Intérêts]]</f>
        <v>#VALUE!</v>
      </c>
    </row>
    <row r="649" spans="2:6" x14ac:dyDescent="0.25">
      <c r="B649" s="67" t="str">
        <f t="shared" si="33"/>
        <v>NA</v>
      </c>
      <c r="C649" t="str">
        <f t="shared" si="34"/>
        <v>NA</v>
      </c>
      <c r="D649" s="64" t="e">
        <f t="shared" si="35"/>
        <v>#VALUE!</v>
      </c>
      <c r="E649" s="64" t="e">
        <f>Tableau7[[#This Row],[Mensualité]]-Tableau7[[#This Row],[Intérêts]]</f>
        <v>#VALUE!</v>
      </c>
      <c r="F649" s="64" t="e">
        <f>$G$4-Tableau7[[#This Row],[Mensualité]]-Tableau7[[#This Row],[Intérêts]]</f>
        <v>#VALUE!</v>
      </c>
    </row>
    <row r="650" spans="2:6" x14ac:dyDescent="0.25">
      <c r="B650" s="67" t="str">
        <f t="shared" si="33"/>
        <v>NA</v>
      </c>
      <c r="C650" t="str">
        <f t="shared" si="34"/>
        <v>NA</v>
      </c>
      <c r="D650" s="64" t="e">
        <f t="shared" si="35"/>
        <v>#VALUE!</v>
      </c>
      <c r="E650" s="64" t="e">
        <f>Tableau7[[#This Row],[Mensualité]]-Tableau7[[#This Row],[Intérêts]]</f>
        <v>#VALUE!</v>
      </c>
      <c r="F650" s="64" t="e">
        <f>$G$4-Tableau7[[#This Row],[Mensualité]]-Tableau7[[#This Row],[Intérêts]]</f>
        <v>#VALUE!</v>
      </c>
    </row>
    <row r="651" spans="2:6" x14ac:dyDescent="0.25">
      <c r="B651" s="67" t="str">
        <f t="shared" si="33"/>
        <v>NA</v>
      </c>
      <c r="C651" t="str">
        <f t="shared" si="34"/>
        <v>NA</v>
      </c>
      <c r="D651" s="64" t="e">
        <f t="shared" si="35"/>
        <v>#VALUE!</v>
      </c>
      <c r="E651" s="64" t="e">
        <f>Tableau7[[#This Row],[Mensualité]]-Tableau7[[#This Row],[Intérêts]]</f>
        <v>#VALUE!</v>
      </c>
      <c r="F651" s="64" t="e">
        <f>$G$4-Tableau7[[#This Row],[Mensualité]]-Tableau7[[#This Row],[Intérêts]]</f>
        <v>#VALUE!</v>
      </c>
    </row>
    <row r="652" spans="2:6" x14ac:dyDescent="0.25">
      <c r="B652" s="67" t="str">
        <f t="shared" si="33"/>
        <v>NA</v>
      </c>
      <c r="C652" t="str">
        <f t="shared" si="34"/>
        <v>NA</v>
      </c>
      <c r="D652" s="64" t="e">
        <f t="shared" si="35"/>
        <v>#VALUE!</v>
      </c>
      <c r="E652" s="64" t="e">
        <f>Tableau7[[#This Row],[Mensualité]]-Tableau7[[#This Row],[Intérêts]]</f>
        <v>#VALUE!</v>
      </c>
      <c r="F652" s="64" t="e">
        <f>$G$4-Tableau7[[#This Row],[Mensualité]]-Tableau7[[#This Row],[Intérêts]]</f>
        <v>#VALUE!</v>
      </c>
    </row>
    <row r="653" spans="2:6" x14ac:dyDescent="0.25">
      <c r="B653" s="67" t="str">
        <f t="shared" si="33"/>
        <v>NA</v>
      </c>
      <c r="C653" t="str">
        <f t="shared" si="34"/>
        <v>NA</v>
      </c>
      <c r="D653" s="64" t="e">
        <f t="shared" si="35"/>
        <v>#VALUE!</v>
      </c>
      <c r="E653" s="64" t="e">
        <f>Tableau7[[#This Row],[Mensualité]]-Tableau7[[#This Row],[Intérêts]]</f>
        <v>#VALUE!</v>
      </c>
      <c r="F653" s="64" t="e">
        <f>$G$4-Tableau7[[#This Row],[Mensualité]]-Tableau7[[#This Row],[Intérêts]]</f>
        <v>#VALUE!</v>
      </c>
    </row>
    <row r="654" spans="2:6" x14ac:dyDescent="0.25">
      <c r="B654" s="67" t="str">
        <f t="shared" si="33"/>
        <v>NA</v>
      </c>
      <c r="C654" t="str">
        <f t="shared" si="34"/>
        <v>NA</v>
      </c>
      <c r="D654" s="64" t="e">
        <f t="shared" si="35"/>
        <v>#VALUE!</v>
      </c>
      <c r="E654" s="64" t="e">
        <f>Tableau7[[#This Row],[Mensualité]]-Tableau7[[#This Row],[Intérêts]]</f>
        <v>#VALUE!</v>
      </c>
      <c r="F654" s="64" t="e">
        <f>$G$4-Tableau7[[#This Row],[Mensualité]]-Tableau7[[#This Row],[Intérêts]]</f>
        <v>#VALUE!</v>
      </c>
    </row>
    <row r="655" spans="2:6" x14ac:dyDescent="0.25">
      <c r="B655" s="67" t="str">
        <f t="shared" si="33"/>
        <v>NA</v>
      </c>
      <c r="C655" t="str">
        <f t="shared" si="34"/>
        <v>NA</v>
      </c>
      <c r="D655" s="64" t="e">
        <f t="shared" si="35"/>
        <v>#VALUE!</v>
      </c>
      <c r="E655" s="64" t="e">
        <f>Tableau7[[#This Row],[Mensualité]]-Tableau7[[#This Row],[Intérêts]]</f>
        <v>#VALUE!</v>
      </c>
      <c r="F655" s="64" t="e">
        <f>$G$4-Tableau7[[#This Row],[Mensualité]]-Tableau7[[#This Row],[Intérêts]]</f>
        <v>#VALUE!</v>
      </c>
    </row>
    <row r="656" spans="2:6" x14ac:dyDescent="0.25">
      <c r="B656" s="67" t="str">
        <f t="shared" si="33"/>
        <v>NA</v>
      </c>
      <c r="C656" t="str">
        <f t="shared" si="34"/>
        <v>NA</v>
      </c>
      <c r="D656" s="64" t="e">
        <f t="shared" si="35"/>
        <v>#VALUE!</v>
      </c>
      <c r="E656" s="64" t="e">
        <f>Tableau7[[#This Row],[Mensualité]]-Tableau7[[#This Row],[Intérêts]]</f>
        <v>#VALUE!</v>
      </c>
      <c r="F656" s="64" t="e">
        <f>$G$4-Tableau7[[#This Row],[Mensualité]]-Tableau7[[#This Row],[Intérêts]]</f>
        <v>#VALUE!</v>
      </c>
    </row>
    <row r="657" spans="2:6" x14ac:dyDescent="0.25">
      <c r="B657" s="67" t="str">
        <f t="shared" si="33"/>
        <v>NA</v>
      </c>
      <c r="C657" t="str">
        <f t="shared" si="34"/>
        <v>NA</v>
      </c>
      <c r="D657" s="64" t="e">
        <f t="shared" si="35"/>
        <v>#VALUE!</v>
      </c>
      <c r="E657" s="64" t="e">
        <f>Tableau7[[#This Row],[Mensualité]]-Tableau7[[#This Row],[Intérêts]]</f>
        <v>#VALUE!</v>
      </c>
      <c r="F657" s="64" t="e">
        <f>$G$4-Tableau7[[#This Row],[Mensualité]]-Tableau7[[#This Row],[Intérêts]]</f>
        <v>#VALUE!</v>
      </c>
    </row>
    <row r="658" spans="2:6" x14ac:dyDescent="0.25">
      <c r="B658" s="67" t="str">
        <f t="shared" si="33"/>
        <v>NA</v>
      </c>
      <c r="C658" t="str">
        <f t="shared" si="34"/>
        <v>NA</v>
      </c>
      <c r="D658" s="64" t="e">
        <f t="shared" si="35"/>
        <v>#VALUE!</v>
      </c>
      <c r="E658" s="64" t="e">
        <f>Tableau7[[#This Row],[Mensualité]]-Tableau7[[#This Row],[Intérêts]]</f>
        <v>#VALUE!</v>
      </c>
      <c r="F658" s="64" t="e">
        <f>$G$4-Tableau7[[#This Row],[Mensualité]]-Tableau7[[#This Row],[Intérêts]]</f>
        <v>#VALUE!</v>
      </c>
    </row>
    <row r="659" spans="2:6" x14ac:dyDescent="0.25">
      <c r="B659" s="67" t="str">
        <f t="shared" si="33"/>
        <v>NA</v>
      </c>
      <c r="C659" t="str">
        <f t="shared" si="34"/>
        <v>NA</v>
      </c>
      <c r="D659" s="64" t="e">
        <f t="shared" si="35"/>
        <v>#VALUE!</v>
      </c>
      <c r="E659" s="64" t="e">
        <f>Tableau7[[#This Row],[Mensualité]]-Tableau7[[#This Row],[Intérêts]]</f>
        <v>#VALUE!</v>
      </c>
      <c r="F659" s="64" t="e">
        <f>$G$4-Tableau7[[#This Row],[Mensualité]]-Tableau7[[#This Row],[Intérêts]]</f>
        <v>#VALUE!</v>
      </c>
    </row>
    <row r="660" spans="2:6" x14ac:dyDescent="0.25">
      <c r="B660" s="67" t="str">
        <f t="shared" si="33"/>
        <v>NA</v>
      </c>
      <c r="C660" t="str">
        <f t="shared" si="34"/>
        <v>NA</v>
      </c>
      <c r="D660" s="64" t="e">
        <f t="shared" si="35"/>
        <v>#VALUE!</v>
      </c>
      <c r="E660" s="64" t="e">
        <f>Tableau7[[#This Row],[Mensualité]]-Tableau7[[#This Row],[Intérêts]]</f>
        <v>#VALUE!</v>
      </c>
      <c r="F660" s="64" t="e">
        <f>$G$4-Tableau7[[#This Row],[Mensualité]]-Tableau7[[#This Row],[Intérêts]]</f>
        <v>#VALUE!</v>
      </c>
    </row>
    <row r="661" spans="2:6" x14ac:dyDescent="0.25">
      <c r="B661" s="67" t="str">
        <f t="shared" si="33"/>
        <v>NA</v>
      </c>
      <c r="C661" t="str">
        <f t="shared" si="34"/>
        <v>NA</v>
      </c>
      <c r="D661" s="64" t="e">
        <f t="shared" si="35"/>
        <v>#VALUE!</v>
      </c>
      <c r="E661" s="64" t="e">
        <f>Tableau7[[#This Row],[Mensualité]]-Tableau7[[#This Row],[Intérêts]]</f>
        <v>#VALUE!</v>
      </c>
      <c r="F661" s="64" t="e">
        <f>$G$4-Tableau7[[#This Row],[Mensualité]]-Tableau7[[#This Row],[Intérêts]]</f>
        <v>#VALUE!</v>
      </c>
    </row>
    <row r="662" spans="2:6" x14ac:dyDescent="0.25">
      <c r="B662" s="67" t="str">
        <f t="shared" si="33"/>
        <v>NA</v>
      </c>
      <c r="C662" t="str">
        <f t="shared" si="34"/>
        <v>NA</v>
      </c>
      <c r="D662" s="64" t="e">
        <f t="shared" si="35"/>
        <v>#VALUE!</v>
      </c>
      <c r="E662" s="64" t="e">
        <f>Tableau7[[#This Row],[Mensualité]]-Tableau7[[#This Row],[Intérêts]]</f>
        <v>#VALUE!</v>
      </c>
      <c r="F662" s="64" t="e">
        <f>$G$4-Tableau7[[#This Row],[Mensualité]]-Tableau7[[#This Row],[Intérêts]]</f>
        <v>#VALUE!</v>
      </c>
    </row>
    <row r="663" spans="2:6" x14ac:dyDescent="0.25">
      <c r="B663" s="67" t="str">
        <f t="shared" si="33"/>
        <v>NA</v>
      </c>
      <c r="C663" t="str">
        <f t="shared" si="34"/>
        <v>NA</v>
      </c>
      <c r="D663" s="64" t="e">
        <f t="shared" si="35"/>
        <v>#VALUE!</v>
      </c>
      <c r="E663" s="64" t="e">
        <f>Tableau7[[#This Row],[Mensualité]]-Tableau7[[#This Row],[Intérêts]]</f>
        <v>#VALUE!</v>
      </c>
      <c r="F663" s="64" t="e">
        <f>$G$4-Tableau7[[#This Row],[Mensualité]]-Tableau7[[#This Row],[Intérêts]]</f>
        <v>#VALUE!</v>
      </c>
    </row>
    <row r="664" spans="2:6" x14ac:dyDescent="0.25">
      <c r="B664" s="67" t="str">
        <f t="shared" si="33"/>
        <v>NA</v>
      </c>
      <c r="C664" t="str">
        <f t="shared" si="34"/>
        <v>NA</v>
      </c>
      <c r="D664" s="64" t="e">
        <f t="shared" si="35"/>
        <v>#VALUE!</v>
      </c>
      <c r="E664" s="64" t="e">
        <f>Tableau7[[#This Row],[Mensualité]]-Tableau7[[#This Row],[Intérêts]]</f>
        <v>#VALUE!</v>
      </c>
      <c r="F664" s="64" t="e">
        <f>$G$4-Tableau7[[#This Row],[Mensualité]]-Tableau7[[#This Row],[Intérêts]]</f>
        <v>#VALUE!</v>
      </c>
    </row>
    <row r="665" spans="2:6" x14ac:dyDescent="0.25">
      <c r="B665" s="67" t="str">
        <f t="shared" si="33"/>
        <v>NA</v>
      </c>
      <c r="C665" t="str">
        <f t="shared" si="34"/>
        <v>NA</v>
      </c>
      <c r="D665" s="64" t="e">
        <f t="shared" si="35"/>
        <v>#VALUE!</v>
      </c>
      <c r="E665" s="64" t="e">
        <f>Tableau7[[#This Row],[Mensualité]]-Tableau7[[#This Row],[Intérêts]]</f>
        <v>#VALUE!</v>
      </c>
      <c r="F665" s="64" t="e">
        <f>$G$4-Tableau7[[#This Row],[Mensualité]]-Tableau7[[#This Row],[Intérêts]]</f>
        <v>#VALUE!</v>
      </c>
    </row>
    <row r="666" spans="2:6" x14ac:dyDescent="0.25">
      <c r="B666" s="67" t="str">
        <f t="shared" si="33"/>
        <v>NA</v>
      </c>
      <c r="C666" t="str">
        <f t="shared" si="34"/>
        <v>NA</v>
      </c>
      <c r="D666" s="64" t="e">
        <f t="shared" si="35"/>
        <v>#VALUE!</v>
      </c>
      <c r="E666" s="64" t="e">
        <f>Tableau7[[#This Row],[Mensualité]]-Tableau7[[#This Row],[Intérêts]]</f>
        <v>#VALUE!</v>
      </c>
      <c r="F666" s="64" t="e">
        <f>$G$4-Tableau7[[#This Row],[Mensualité]]-Tableau7[[#This Row],[Intérêts]]</f>
        <v>#VALUE!</v>
      </c>
    </row>
    <row r="667" spans="2:6" x14ac:dyDescent="0.25">
      <c r="B667" s="67" t="str">
        <f t="shared" si="33"/>
        <v>NA</v>
      </c>
      <c r="C667" t="str">
        <f t="shared" si="34"/>
        <v>NA</v>
      </c>
      <c r="D667" s="64" t="e">
        <f t="shared" si="35"/>
        <v>#VALUE!</v>
      </c>
      <c r="E667" s="64" t="e">
        <f>Tableau7[[#This Row],[Mensualité]]-Tableau7[[#This Row],[Intérêts]]</f>
        <v>#VALUE!</v>
      </c>
      <c r="F667" s="64" t="e">
        <f>$G$4-Tableau7[[#This Row],[Mensualité]]-Tableau7[[#This Row],[Intérêts]]</f>
        <v>#VALUE!</v>
      </c>
    </row>
    <row r="668" spans="2:6" x14ac:dyDescent="0.25">
      <c r="B668" s="67" t="str">
        <f t="shared" si="33"/>
        <v>NA</v>
      </c>
      <c r="C668" t="str">
        <f t="shared" si="34"/>
        <v>NA</v>
      </c>
      <c r="D668" s="64" t="e">
        <f t="shared" si="35"/>
        <v>#VALUE!</v>
      </c>
      <c r="E668" s="64" t="e">
        <f>Tableau7[[#This Row],[Mensualité]]-Tableau7[[#This Row],[Intérêts]]</f>
        <v>#VALUE!</v>
      </c>
      <c r="F668" s="64" t="e">
        <f>$G$4-Tableau7[[#This Row],[Mensualité]]-Tableau7[[#This Row],[Intérêts]]</f>
        <v>#VALUE!</v>
      </c>
    </row>
    <row r="669" spans="2:6" x14ac:dyDescent="0.25">
      <c r="B669" s="67" t="str">
        <f t="shared" si="33"/>
        <v>NA</v>
      </c>
      <c r="C669" t="str">
        <f t="shared" si="34"/>
        <v>NA</v>
      </c>
      <c r="D669" s="64" t="e">
        <f t="shared" si="35"/>
        <v>#VALUE!</v>
      </c>
      <c r="E669" s="64" t="e">
        <f>Tableau7[[#This Row],[Mensualité]]-Tableau7[[#This Row],[Intérêts]]</f>
        <v>#VALUE!</v>
      </c>
      <c r="F669" s="64" t="e">
        <f>$G$4-Tableau7[[#This Row],[Mensualité]]-Tableau7[[#This Row],[Intérêts]]</f>
        <v>#VALUE!</v>
      </c>
    </row>
    <row r="670" spans="2:6" x14ac:dyDescent="0.25">
      <c r="B670" s="67" t="str">
        <f t="shared" si="33"/>
        <v>NA</v>
      </c>
      <c r="C670" t="str">
        <f t="shared" si="34"/>
        <v>NA</v>
      </c>
      <c r="D670" s="64" t="e">
        <f t="shared" si="35"/>
        <v>#VALUE!</v>
      </c>
      <c r="E670" s="64" t="e">
        <f>Tableau7[[#This Row],[Mensualité]]-Tableau7[[#This Row],[Intérêts]]</f>
        <v>#VALUE!</v>
      </c>
      <c r="F670" s="64" t="e">
        <f>$G$4-Tableau7[[#This Row],[Mensualité]]-Tableau7[[#This Row],[Intérêts]]</f>
        <v>#VALUE!</v>
      </c>
    </row>
    <row r="671" spans="2:6" x14ac:dyDescent="0.25">
      <c r="B671" s="67" t="str">
        <f t="shared" si="33"/>
        <v>NA</v>
      </c>
      <c r="C671" t="str">
        <f t="shared" si="34"/>
        <v>NA</v>
      </c>
      <c r="D671" s="64" t="e">
        <f t="shared" si="35"/>
        <v>#VALUE!</v>
      </c>
      <c r="E671" s="64" t="e">
        <f>Tableau7[[#This Row],[Mensualité]]-Tableau7[[#This Row],[Intérêts]]</f>
        <v>#VALUE!</v>
      </c>
      <c r="F671" s="64" t="e">
        <f>$G$4-Tableau7[[#This Row],[Mensualité]]-Tableau7[[#This Row],[Intérêts]]</f>
        <v>#VALUE!</v>
      </c>
    </row>
    <row r="672" spans="2:6" x14ac:dyDescent="0.25">
      <c r="B672" s="67" t="str">
        <f t="shared" si="33"/>
        <v>NA</v>
      </c>
      <c r="C672" t="str">
        <f t="shared" si="34"/>
        <v>NA</v>
      </c>
      <c r="D672" s="64" t="e">
        <f t="shared" si="35"/>
        <v>#VALUE!</v>
      </c>
      <c r="E672" s="64" t="e">
        <f>Tableau7[[#This Row],[Mensualité]]-Tableau7[[#This Row],[Intérêts]]</f>
        <v>#VALUE!</v>
      </c>
      <c r="F672" s="64" t="e">
        <f>$G$4-Tableau7[[#This Row],[Mensualité]]-Tableau7[[#This Row],[Intérêts]]</f>
        <v>#VALUE!</v>
      </c>
    </row>
    <row r="673" spans="2:6" x14ac:dyDescent="0.25">
      <c r="B673" s="67" t="str">
        <f t="shared" si="33"/>
        <v>NA</v>
      </c>
      <c r="C673" t="str">
        <f t="shared" si="34"/>
        <v>NA</v>
      </c>
      <c r="D673" s="64" t="e">
        <f t="shared" si="35"/>
        <v>#VALUE!</v>
      </c>
      <c r="E673" s="64" t="e">
        <f>Tableau7[[#This Row],[Mensualité]]-Tableau7[[#This Row],[Intérêts]]</f>
        <v>#VALUE!</v>
      </c>
      <c r="F673" s="64" t="e">
        <f>$G$4-Tableau7[[#This Row],[Mensualité]]-Tableau7[[#This Row],[Intérêts]]</f>
        <v>#VALUE!</v>
      </c>
    </row>
    <row r="674" spans="2:6" x14ac:dyDescent="0.25">
      <c r="B674" s="67" t="str">
        <f t="shared" si="33"/>
        <v>NA</v>
      </c>
      <c r="C674" t="str">
        <f t="shared" si="34"/>
        <v>NA</v>
      </c>
      <c r="D674" s="64" t="e">
        <f t="shared" si="35"/>
        <v>#VALUE!</v>
      </c>
      <c r="E674" s="64" t="e">
        <f>Tableau7[[#This Row],[Mensualité]]-Tableau7[[#This Row],[Intérêts]]</f>
        <v>#VALUE!</v>
      </c>
      <c r="F674" s="64" t="e">
        <f>$G$4-Tableau7[[#This Row],[Mensualité]]-Tableau7[[#This Row],[Intérêts]]</f>
        <v>#VALUE!</v>
      </c>
    </row>
    <row r="675" spans="2:6" x14ac:dyDescent="0.25">
      <c r="B675" s="67" t="str">
        <f t="shared" si="33"/>
        <v>NA</v>
      </c>
      <c r="C675" t="str">
        <f t="shared" si="34"/>
        <v>NA</v>
      </c>
      <c r="D675" s="64" t="e">
        <f t="shared" si="35"/>
        <v>#VALUE!</v>
      </c>
      <c r="E675" s="64" t="e">
        <f>Tableau7[[#This Row],[Mensualité]]-Tableau7[[#This Row],[Intérêts]]</f>
        <v>#VALUE!</v>
      </c>
      <c r="F675" s="64" t="e">
        <f>$G$4-Tableau7[[#This Row],[Mensualité]]-Tableau7[[#This Row],[Intérêts]]</f>
        <v>#VALUE!</v>
      </c>
    </row>
    <row r="676" spans="2:6" x14ac:dyDescent="0.25">
      <c r="B676" s="67" t="str">
        <f t="shared" si="33"/>
        <v>NA</v>
      </c>
      <c r="C676" t="str">
        <f t="shared" si="34"/>
        <v>NA</v>
      </c>
      <c r="D676" s="64" t="e">
        <f t="shared" si="35"/>
        <v>#VALUE!</v>
      </c>
      <c r="E676" s="64" t="e">
        <f>Tableau7[[#This Row],[Mensualité]]-Tableau7[[#This Row],[Intérêts]]</f>
        <v>#VALUE!</v>
      </c>
      <c r="F676" s="64" t="e">
        <f>$G$4-Tableau7[[#This Row],[Mensualité]]-Tableau7[[#This Row],[Intérêts]]</f>
        <v>#VALUE!</v>
      </c>
    </row>
    <row r="677" spans="2:6" x14ac:dyDescent="0.25">
      <c r="B677" s="67" t="str">
        <f t="shared" si="33"/>
        <v>NA</v>
      </c>
      <c r="C677" t="str">
        <f t="shared" si="34"/>
        <v>NA</v>
      </c>
      <c r="D677" s="64" t="e">
        <f t="shared" si="35"/>
        <v>#VALUE!</v>
      </c>
      <c r="E677" s="64" t="e">
        <f>Tableau7[[#This Row],[Mensualité]]-Tableau7[[#This Row],[Intérêts]]</f>
        <v>#VALUE!</v>
      </c>
      <c r="F677" s="64" t="e">
        <f>$G$4-Tableau7[[#This Row],[Mensualité]]-Tableau7[[#This Row],[Intérêts]]</f>
        <v>#VALUE!</v>
      </c>
    </row>
    <row r="678" spans="2:6" x14ac:dyDescent="0.25">
      <c r="B678" s="67" t="str">
        <f t="shared" si="33"/>
        <v>NA</v>
      </c>
      <c r="C678" t="str">
        <f t="shared" si="34"/>
        <v>NA</v>
      </c>
      <c r="D678" s="64" t="e">
        <f t="shared" si="35"/>
        <v>#VALUE!</v>
      </c>
      <c r="E678" s="64" t="e">
        <f>Tableau7[[#This Row],[Mensualité]]-Tableau7[[#This Row],[Intérêts]]</f>
        <v>#VALUE!</v>
      </c>
      <c r="F678" s="64" t="e">
        <f>$G$4-Tableau7[[#This Row],[Mensualité]]-Tableau7[[#This Row],[Intérêts]]</f>
        <v>#VALUE!</v>
      </c>
    </row>
    <row r="679" spans="2:6" x14ac:dyDescent="0.25">
      <c r="B679" s="67" t="str">
        <f t="shared" si="33"/>
        <v>NA</v>
      </c>
      <c r="C679" t="str">
        <f t="shared" si="34"/>
        <v>NA</v>
      </c>
      <c r="D679" s="64" t="e">
        <f t="shared" si="35"/>
        <v>#VALUE!</v>
      </c>
      <c r="E679" s="64" t="e">
        <f>Tableau7[[#This Row],[Mensualité]]-Tableau7[[#This Row],[Intérêts]]</f>
        <v>#VALUE!</v>
      </c>
      <c r="F679" s="64" t="e">
        <f>$G$4-Tableau7[[#This Row],[Mensualité]]-Tableau7[[#This Row],[Intérêts]]</f>
        <v>#VALUE!</v>
      </c>
    </row>
    <row r="680" spans="2:6" x14ac:dyDescent="0.25">
      <c r="B680" s="67" t="str">
        <f t="shared" si="33"/>
        <v>NA</v>
      </c>
      <c r="C680" t="str">
        <f t="shared" si="34"/>
        <v>NA</v>
      </c>
      <c r="D680" s="64" t="e">
        <f t="shared" si="35"/>
        <v>#VALUE!</v>
      </c>
      <c r="E680" s="64" t="e">
        <f>Tableau7[[#This Row],[Mensualité]]-Tableau7[[#This Row],[Intérêts]]</f>
        <v>#VALUE!</v>
      </c>
      <c r="F680" s="64" t="e">
        <f>$G$4-Tableau7[[#This Row],[Mensualité]]-Tableau7[[#This Row],[Intérêts]]</f>
        <v>#VALUE!</v>
      </c>
    </row>
    <row r="681" spans="2:6" x14ac:dyDescent="0.25">
      <c r="B681" s="67" t="str">
        <f t="shared" si="33"/>
        <v>NA</v>
      </c>
      <c r="C681" t="str">
        <f t="shared" si="34"/>
        <v>NA</v>
      </c>
      <c r="D681" s="64" t="e">
        <f t="shared" si="35"/>
        <v>#VALUE!</v>
      </c>
      <c r="E681" s="64" t="e">
        <f>Tableau7[[#This Row],[Mensualité]]-Tableau7[[#This Row],[Intérêts]]</f>
        <v>#VALUE!</v>
      </c>
      <c r="F681" s="64" t="e">
        <f>$G$4-Tableau7[[#This Row],[Mensualité]]-Tableau7[[#This Row],[Intérêts]]</f>
        <v>#VALUE!</v>
      </c>
    </row>
    <row r="682" spans="2:6" x14ac:dyDescent="0.25">
      <c r="B682" s="67" t="str">
        <f t="shared" si="33"/>
        <v>NA</v>
      </c>
      <c r="C682" t="str">
        <f t="shared" si="34"/>
        <v>NA</v>
      </c>
      <c r="D682" s="64" t="e">
        <f t="shared" si="35"/>
        <v>#VALUE!</v>
      </c>
      <c r="E682" s="64" t="e">
        <f>Tableau7[[#This Row],[Mensualité]]-Tableau7[[#This Row],[Intérêts]]</f>
        <v>#VALUE!</v>
      </c>
      <c r="F682" s="64" t="e">
        <f>$G$4-Tableau7[[#This Row],[Mensualité]]-Tableau7[[#This Row],[Intérêts]]</f>
        <v>#VALUE!</v>
      </c>
    </row>
    <row r="683" spans="2:6" x14ac:dyDescent="0.25">
      <c r="B683" s="67" t="str">
        <f t="shared" ref="B683:B746" si="36">$D$4</f>
        <v>NA</v>
      </c>
      <c r="C683" t="str">
        <f t="shared" ref="C683:C746" si="37">$H$4</f>
        <v>NA</v>
      </c>
      <c r="D683" s="64" t="e">
        <f t="shared" ref="D683:D746" si="38">G676*F676/12</f>
        <v>#VALUE!</v>
      </c>
      <c r="E683" s="64" t="e">
        <f>Tableau7[[#This Row],[Mensualité]]-Tableau7[[#This Row],[Intérêts]]</f>
        <v>#VALUE!</v>
      </c>
      <c r="F683" s="64" t="e">
        <f>$G$4-Tableau7[[#This Row],[Mensualité]]-Tableau7[[#This Row],[Intérêts]]</f>
        <v>#VALUE!</v>
      </c>
    </row>
    <row r="684" spans="2:6" x14ac:dyDescent="0.25">
      <c r="B684" s="67" t="str">
        <f t="shared" si="36"/>
        <v>NA</v>
      </c>
      <c r="C684" t="str">
        <f t="shared" si="37"/>
        <v>NA</v>
      </c>
      <c r="D684" s="64" t="e">
        <f t="shared" si="38"/>
        <v>#VALUE!</v>
      </c>
      <c r="E684" s="64" t="e">
        <f>Tableau7[[#This Row],[Mensualité]]-Tableau7[[#This Row],[Intérêts]]</f>
        <v>#VALUE!</v>
      </c>
      <c r="F684" s="64" t="e">
        <f>$G$4-Tableau7[[#This Row],[Mensualité]]-Tableau7[[#This Row],[Intérêts]]</f>
        <v>#VALUE!</v>
      </c>
    </row>
    <row r="685" spans="2:6" x14ac:dyDescent="0.25">
      <c r="B685" s="67" t="str">
        <f t="shared" si="36"/>
        <v>NA</v>
      </c>
      <c r="C685" t="str">
        <f t="shared" si="37"/>
        <v>NA</v>
      </c>
      <c r="D685" s="64" t="e">
        <f t="shared" si="38"/>
        <v>#VALUE!</v>
      </c>
      <c r="E685" s="64" t="e">
        <f>Tableau7[[#This Row],[Mensualité]]-Tableau7[[#This Row],[Intérêts]]</f>
        <v>#VALUE!</v>
      </c>
      <c r="F685" s="64" t="e">
        <f>$G$4-Tableau7[[#This Row],[Mensualité]]-Tableau7[[#This Row],[Intérêts]]</f>
        <v>#VALUE!</v>
      </c>
    </row>
    <row r="686" spans="2:6" x14ac:dyDescent="0.25">
      <c r="B686" s="67" t="str">
        <f t="shared" si="36"/>
        <v>NA</v>
      </c>
      <c r="C686" t="str">
        <f t="shared" si="37"/>
        <v>NA</v>
      </c>
      <c r="D686" s="64" t="e">
        <f t="shared" si="38"/>
        <v>#VALUE!</v>
      </c>
      <c r="E686" s="64" t="e">
        <f>Tableau7[[#This Row],[Mensualité]]-Tableau7[[#This Row],[Intérêts]]</f>
        <v>#VALUE!</v>
      </c>
      <c r="F686" s="64" t="e">
        <f>$G$4-Tableau7[[#This Row],[Mensualité]]-Tableau7[[#This Row],[Intérêts]]</f>
        <v>#VALUE!</v>
      </c>
    </row>
    <row r="687" spans="2:6" x14ac:dyDescent="0.25">
      <c r="B687" s="67" t="str">
        <f t="shared" si="36"/>
        <v>NA</v>
      </c>
      <c r="C687" t="str">
        <f t="shared" si="37"/>
        <v>NA</v>
      </c>
      <c r="D687" s="64" t="e">
        <f t="shared" si="38"/>
        <v>#VALUE!</v>
      </c>
      <c r="E687" s="64" t="e">
        <f>Tableau7[[#This Row],[Mensualité]]-Tableau7[[#This Row],[Intérêts]]</f>
        <v>#VALUE!</v>
      </c>
      <c r="F687" s="64" t="e">
        <f>$G$4-Tableau7[[#This Row],[Mensualité]]-Tableau7[[#This Row],[Intérêts]]</f>
        <v>#VALUE!</v>
      </c>
    </row>
    <row r="688" spans="2:6" x14ac:dyDescent="0.25">
      <c r="B688" s="67" t="str">
        <f t="shared" si="36"/>
        <v>NA</v>
      </c>
      <c r="C688" t="str">
        <f t="shared" si="37"/>
        <v>NA</v>
      </c>
      <c r="D688" s="64" t="e">
        <f t="shared" si="38"/>
        <v>#VALUE!</v>
      </c>
      <c r="E688" s="64" t="e">
        <f>Tableau7[[#This Row],[Mensualité]]-Tableau7[[#This Row],[Intérêts]]</f>
        <v>#VALUE!</v>
      </c>
      <c r="F688" s="64" t="e">
        <f>$G$4-Tableau7[[#This Row],[Mensualité]]-Tableau7[[#This Row],[Intérêts]]</f>
        <v>#VALUE!</v>
      </c>
    </row>
    <row r="689" spans="2:6" x14ac:dyDescent="0.25">
      <c r="B689" s="67" t="str">
        <f t="shared" si="36"/>
        <v>NA</v>
      </c>
      <c r="C689" t="str">
        <f t="shared" si="37"/>
        <v>NA</v>
      </c>
      <c r="D689" s="64" t="e">
        <f t="shared" si="38"/>
        <v>#VALUE!</v>
      </c>
      <c r="E689" s="64" t="e">
        <f>Tableau7[[#This Row],[Mensualité]]-Tableau7[[#This Row],[Intérêts]]</f>
        <v>#VALUE!</v>
      </c>
      <c r="F689" s="64" t="e">
        <f>$G$4-Tableau7[[#This Row],[Mensualité]]-Tableau7[[#This Row],[Intérêts]]</f>
        <v>#VALUE!</v>
      </c>
    </row>
    <row r="690" spans="2:6" x14ac:dyDescent="0.25">
      <c r="B690" s="67" t="str">
        <f t="shared" si="36"/>
        <v>NA</v>
      </c>
      <c r="C690" t="str">
        <f t="shared" si="37"/>
        <v>NA</v>
      </c>
      <c r="D690" s="64" t="e">
        <f t="shared" si="38"/>
        <v>#VALUE!</v>
      </c>
      <c r="E690" s="64" t="e">
        <f>Tableau7[[#This Row],[Mensualité]]-Tableau7[[#This Row],[Intérêts]]</f>
        <v>#VALUE!</v>
      </c>
      <c r="F690" s="64" t="e">
        <f>$G$4-Tableau7[[#This Row],[Mensualité]]-Tableau7[[#This Row],[Intérêts]]</f>
        <v>#VALUE!</v>
      </c>
    </row>
    <row r="691" spans="2:6" x14ac:dyDescent="0.25">
      <c r="B691" s="67" t="str">
        <f t="shared" si="36"/>
        <v>NA</v>
      </c>
      <c r="C691" t="str">
        <f t="shared" si="37"/>
        <v>NA</v>
      </c>
      <c r="D691" s="64" t="e">
        <f t="shared" si="38"/>
        <v>#VALUE!</v>
      </c>
      <c r="E691" s="64" t="e">
        <f>Tableau7[[#This Row],[Mensualité]]-Tableau7[[#This Row],[Intérêts]]</f>
        <v>#VALUE!</v>
      </c>
      <c r="F691" s="64" t="e">
        <f>$G$4-Tableau7[[#This Row],[Mensualité]]-Tableau7[[#This Row],[Intérêts]]</f>
        <v>#VALUE!</v>
      </c>
    </row>
    <row r="692" spans="2:6" x14ac:dyDescent="0.25">
      <c r="B692" s="67" t="str">
        <f t="shared" si="36"/>
        <v>NA</v>
      </c>
      <c r="C692" t="str">
        <f t="shared" si="37"/>
        <v>NA</v>
      </c>
      <c r="D692" s="64" t="e">
        <f t="shared" si="38"/>
        <v>#VALUE!</v>
      </c>
      <c r="E692" s="64" t="e">
        <f>Tableau7[[#This Row],[Mensualité]]-Tableau7[[#This Row],[Intérêts]]</f>
        <v>#VALUE!</v>
      </c>
      <c r="F692" s="64" t="e">
        <f>$G$4-Tableau7[[#This Row],[Mensualité]]-Tableau7[[#This Row],[Intérêts]]</f>
        <v>#VALUE!</v>
      </c>
    </row>
    <row r="693" spans="2:6" x14ac:dyDescent="0.25">
      <c r="B693" s="67" t="str">
        <f t="shared" si="36"/>
        <v>NA</v>
      </c>
      <c r="C693" t="str">
        <f t="shared" si="37"/>
        <v>NA</v>
      </c>
      <c r="D693" s="64" t="e">
        <f t="shared" si="38"/>
        <v>#VALUE!</v>
      </c>
      <c r="E693" s="64" t="e">
        <f>Tableau7[[#This Row],[Mensualité]]-Tableau7[[#This Row],[Intérêts]]</f>
        <v>#VALUE!</v>
      </c>
      <c r="F693" s="64" t="e">
        <f>$G$4-Tableau7[[#This Row],[Mensualité]]-Tableau7[[#This Row],[Intérêts]]</f>
        <v>#VALUE!</v>
      </c>
    </row>
    <row r="694" spans="2:6" x14ac:dyDescent="0.25">
      <c r="B694" s="67" t="str">
        <f t="shared" si="36"/>
        <v>NA</v>
      </c>
      <c r="C694" t="str">
        <f t="shared" si="37"/>
        <v>NA</v>
      </c>
      <c r="D694" s="64" t="e">
        <f t="shared" si="38"/>
        <v>#VALUE!</v>
      </c>
      <c r="E694" s="64" t="e">
        <f>Tableau7[[#This Row],[Mensualité]]-Tableau7[[#This Row],[Intérêts]]</f>
        <v>#VALUE!</v>
      </c>
      <c r="F694" s="64" t="e">
        <f>$G$4-Tableau7[[#This Row],[Mensualité]]-Tableau7[[#This Row],[Intérêts]]</f>
        <v>#VALUE!</v>
      </c>
    </row>
    <row r="695" spans="2:6" x14ac:dyDescent="0.25">
      <c r="B695" s="67" t="str">
        <f t="shared" si="36"/>
        <v>NA</v>
      </c>
      <c r="C695" t="str">
        <f t="shared" si="37"/>
        <v>NA</v>
      </c>
      <c r="D695" s="64" t="e">
        <f t="shared" si="38"/>
        <v>#VALUE!</v>
      </c>
      <c r="E695" s="64" t="e">
        <f>Tableau7[[#This Row],[Mensualité]]-Tableau7[[#This Row],[Intérêts]]</f>
        <v>#VALUE!</v>
      </c>
      <c r="F695" s="64" t="e">
        <f>$G$4-Tableau7[[#This Row],[Mensualité]]-Tableau7[[#This Row],[Intérêts]]</f>
        <v>#VALUE!</v>
      </c>
    </row>
    <row r="696" spans="2:6" x14ac:dyDescent="0.25">
      <c r="B696" s="67" t="str">
        <f t="shared" si="36"/>
        <v>NA</v>
      </c>
      <c r="C696" t="str">
        <f t="shared" si="37"/>
        <v>NA</v>
      </c>
      <c r="D696" s="64" t="e">
        <f t="shared" si="38"/>
        <v>#VALUE!</v>
      </c>
      <c r="E696" s="64" t="e">
        <f>Tableau7[[#This Row],[Mensualité]]-Tableau7[[#This Row],[Intérêts]]</f>
        <v>#VALUE!</v>
      </c>
      <c r="F696" s="64" t="e">
        <f>$G$4-Tableau7[[#This Row],[Mensualité]]-Tableau7[[#This Row],[Intérêts]]</f>
        <v>#VALUE!</v>
      </c>
    </row>
    <row r="697" spans="2:6" x14ac:dyDescent="0.25">
      <c r="B697" s="67" t="str">
        <f t="shared" si="36"/>
        <v>NA</v>
      </c>
      <c r="C697" t="str">
        <f t="shared" si="37"/>
        <v>NA</v>
      </c>
      <c r="D697" s="64" t="e">
        <f t="shared" si="38"/>
        <v>#VALUE!</v>
      </c>
      <c r="E697" s="64" t="e">
        <f>Tableau7[[#This Row],[Mensualité]]-Tableau7[[#This Row],[Intérêts]]</f>
        <v>#VALUE!</v>
      </c>
      <c r="F697" s="64" t="e">
        <f>$G$4-Tableau7[[#This Row],[Mensualité]]-Tableau7[[#This Row],[Intérêts]]</f>
        <v>#VALUE!</v>
      </c>
    </row>
    <row r="698" spans="2:6" x14ac:dyDescent="0.25">
      <c r="B698" s="67" t="str">
        <f t="shared" si="36"/>
        <v>NA</v>
      </c>
      <c r="C698" t="str">
        <f t="shared" si="37"/>
        <v>NA</v>
      </c>
      <c r="D698" s="64" t="e">
        <f t="shared" si="38"/>
        <v>#VALUE!</v>
      </c>
      <c r="E698" s="64" t="e">
        <f>Tableau7[[#This Row],[Mensualité]]-Tableau7[[#This Row],[Intérêts]]</f>
        <v>#VALUE!</v>
      </c>
      <c r="F698" s="64" t="e">
        <f>$G$4-Tableau7[[#This Row],[Mensualité]]-Tableau7[[#This Row],[Intérêts]]</f>
        <v>#VALUE!</v>
      </c>
    </row>
    <row r="699" spans="2:6" x14ac:dyDescent="0.25">
      <c r="B699" s="67" t="str">
        <f t="shared" si="36"/>
        <v>NA</v>
      </c>
      <c r="C699" t="str">
        <f t="shared" si="37"/>
        <v>NA</v>
      </c>
      <c r="D699" s="64" t="e">
        <f t="shared" si="38"/>
        <v>#VALUE!</v>
      </c>
      <c r="E699" s="64" t="e">
        <f>Tableau7[[#This Row],[Mensualité]]-Tableau7[[#This Row],[Intérêts]]</f>
        <v>#VALUE!</v>
      </c>
      <c r="F699" s="64" t="e">
        <f>$G$4-Tableau7[[#This Row],[Mensualité]]-Tableau7[[#This Row],[Intérêts]]</f>
        <v>#VALUE!</v>
      </c>
    </row>
    <row r="700" spans="2:6" x14ac:dyDescent="0.25">
      <c r="B700" s="67" t="str">
        <f t="shared" si="36"/>
        <v>NA</v>
      </c>
      <c r="C700" t="str">
        <f t="shared" si="37"/>
        <v>NA</v>
      </c>
      <c r="D700" s="64" t="e">
        <f t="shared" si="38"/>
        <v>#VALUE!</v>
      </c>
      <c r="E700" s="64" t="e">
        <f>Tableau7[[#This Row],[Mensualité]]-Tableau7[[#This Row],[Intérêts]]</f>
        <v>#VALUE!</v>
      </c>
      <c r="F700" s="64" t="e">
        <f>$G$4-Tableau7[[#This Row],[Mensualité]]-Tableau7[[#This Row],[Intérêts]]</f>
        <v>#VALUE!</v>
      </c>
    </row>
    <row r="701" spans="2:6" x14ac:dyDescent="0.25">
      <c r="B701" s="67" t="str">
        <f t="shared" si="36"/>
        <v>NA</v>
      </c>
      <c r="C701" t="str">
        <f t="shared" si="37"/>
        <v>NA</v>
      </c>
      <c r="D701" s="64" t="e">
        <f t="shared" si="38"/>
        <v>#VALUE!</v>
      </c>
      <c r="E701" s="64" t="e">
        <f>Tableau7[[#This Row],[Mensualité]]-Tableau7[[#This Row],[Intérêts]]</f>
        <v>#VALUE!</v>
      </c>
      <c r="F701" s="64" t="e">
        <f>$G$4-Tableau7[[#This Row],[Mensualité]]-Tableau7[[#This Row],[Intérêts]]</f>
        <v>#VALUE!</v>
      </c>
    </row>
    <row r="702" spans="2:6" x14ac:dyDescent="0.25">
      <c r="B702" s="67" t="str">
        <f t="shared" si="36"/>
        <v>NA</v>
      </c>
      <c r="C702" t="str">
        <f t="shared" si="37"/>
        <v>NA</v>
      </c>
      <c r="D702" s="64" t="e">
        <f t="shared" si="38"/>
        <v>#VALUE!</v>
      </c>
      <c r="E702" s="64" t="e">
        <f>Tableau7[[#This Row],[Mensualité]]-Tableau7[[#This Row],[Intérêts]]</f>
        <v>#VALUE!</v>
      </c>
      <c r="F702" s="64" t="e">
        <f>$G$4-Tableau7[[#This Row],[Mensualité]]-Tableau7[[#This Row],[Intérêts]]</f>
        <v>#VALUE!</v>
      </c>
    </row>
    <row r="703" spans="2:6" x14ac:dyDescent="0.25">
      <c r="B703" s="67" t="str">
        <f t="shared" si="36"/>
        <v>NA</v>
      </c>
      <c r="C703" t="str">
        <f t="shared" si="37"/>
        <v>NA</v>
      </c>
      <c r="D703" s="64" t="e">
        <f t="shared" si="38"/>
        <v>#VALUE!</v>
      </c>
      <c r="E703" s="64" t="e">
        <f>Tableau7[[#This Row],[Mensualité]]-Tableau7[[#This Row],[Intérêts]]</f>
        <v>#VALUE!</v>
      </c>
      <c r="F703" s="64" t="e">
        <f>$G$4-Tableau7[[#This Row],[Mensualité]]-Tableau7[[#This Row],[Intérêts]]</f>
        <v>#VALUE!</v>
      </c>
    </row>
    <row r="704" spans="2:6" x14ac:dyDescent="0.25">
      <c r="B704" s="67" t="str">
        <f t="shared" si="36"/>
        <v>NA</v>
      </c>
      <c r="C704" t="str">
        <f t="shared" si="37"/>
        <v>NA</v>
      </c>
      <c r="D704" s="64" t="e">
        <f t="shared" si="38"/>
        <v>#VALUE!</v>
      </c>
      <c r="E704" s="64" t="e">
        <f>Tableau7[[#This Row],[Mensualité]]-Tableau7[[#This Row],[Intérêts]]</f>
        <v>#VALUE!</v>
      </c>
      <c r="F704" s="64" t="e">
        <f>$G$4-Tableau7[[#This Row],[Mensualité]]-Tableau7[[#This Row],[Intérêts]]</f>
        <v>#VALUE!</v>
      </c>
    </row>
    <row r="705" spans="2:6" x14ac:dyDescent="0.25">
      <c r="B705" s="67" t="str">
        <f t="shared" si="36"/>
        <v>NA</v>
      </c>
      <c r="C705" t="str">
        <f t="shared" si="37"/>
        <v>NA</v>
      </c>
      <c r="D705" s="64" t="e">
        <f t="shared" si="38"/>
        <v>#VALUE!</v>
      </c>
      <c r="E705" s="64" t="e">
        <f>Tableau7[[#This Row],[Mensualité]]-Tableau7[[#This Row],[Intérêts]]</f>
        <v>#VALUE!</v>
      </c>
      <c r="F705" s="64" t="e">
        <f>$G$4-Tableau7[[#This Row],[Mensualité]]-Tableau7[[#This Row],[Intérêts]]</f>
        <v>#VALUE!</v>
      </c>
    </row>
    <row r="706" spans="2:6" x14ac:dyDescent="0.25">
      <c r="B706" s="67" t="str">
        <f t="shared" si="36"/>
        <v>NA</v>
      </c>
      <c r="C706" t="str">
        <f t="shared" si="37"/>
        <v>NA</v>
      </c>
      <c r="D706" s="64" t="e">
        <f t="shared" si="38"/>
        <v>#VALUE!</v>
      </c>
      <c r="E706" s="64" t="e">
        <f>Tableau7[[#This Row],[Mensualité]]-Tableau7[[#This Row],[Intérêts]]</f>
        <v>#VALUE!</v>
      </c>
      <c r="F706" s="64" t="e">
        <f>$G$4-Tableau7[[#This Row],[Mensualité]]-Tableau7[[#This Row],[Intérêts]]</f>
        <v>#VALUE!</v>
      </c>
    </row>
    <row r="707" spans="2:6" x14ac:dyDescent="0.25">
      <c r="B707" s="67" t="str">
        <f t="shared" si="36"/>
        <v>NA</v>
      </c>
      <c r="C707" t="str">
        <f t="shared" si="37"/>
        <v>NA</v>
      </c>
      <c r="D707" s="64" t="e">
        <f t="shared" si="38"/>
        <v>#VALUE!</v>
      </c>
      <c r="E707" s="64" t="e">
        <f>Tableau7[[#This Row],[Mensualité]]-Tableau7[[#This Row],[Intérêts]]</f>
        <v>#VALUE!</v>
      </c>
      <c r="F707" s="64" t="e">
        <f>$G$4-Tableau7[[#This Row],[Mensualité]]-Tableau7[[#This Row],[Intérêts]]</f>
        <v>#VALUE!</v>
      </c>
    </row>
    <row r="708" spans="2:6" x14ac:dyDescent="0.25">
      <c r="B708" s="67" t="str">
        <f t="shared" si="36"/>
        <v>NA</v>
      </c>
      <c r="C708" t="str">
        <f t="shared" si="37"/>
        <v>NA</v>
      </c>
      <c r="D708" s="64" t="e">
        <f t="shared" si="38"/>
        <v>#VALUE!</v>
      </c>
      <c r="E708" s="64" t="e">
        <f>Tableau7[[#This Row],[Mensualité]]-Tableau7[[#This Row],[Intérêts]]</f>
        <v>#VALUE!</v>
      </c>
      <c r="F708" s="64" t="e">
        <f>$G$4-Tableau7[[#This Row],[Mensualité]]-Tableau7[[#This Row],[Intérêts]]</f>
        <v>#VALUE!</v>
      </c>
    </row>
    <row r="709" spans="2:6" x14ac:dyDescent="0.25">
      <c r="B709" s="67" t="str">
        <f t="shared" si="36"/>
        <v>NA</v>
      </c>
      <c r="C709" t="str">
        <f t="shared" si="37"/>
        <v>NA</v>
      </c>
      <c r="D709" s="64" t="e">
        <f t="shared" si="38"/>
        <v>#VALUE!</v>
      </c>
      <c r="E709" s="64" t="e">
        <f>Tableau7[[#This Row],[Mensualité]]-Tableau7[[#This Row],[Intérêts]]</f>
        <v>#VALUE!</v>
      </c>
      <c r="F709" s="64" t="e">
        <f>$G$4-Tableau7[[#This Row],[Mensualité]]-Tableau7[[#This Row],[Intérêts]]</f>
        <v>#VALUE!</v>
      </c>
    </row>
    <row r="710" spans="2:6" x14ac:dyDescent="0.25">
      <c r="B710" s="67" t="str">
        <f t="shared" si="36"/>
        <v>NA</v>
      </c>
      <c r="C710" t="str">
        <f t="shared" si="37"/>
        <v>NA</v>
      </c>
      <c r="D710" s="64" t="e">
        <f t="shared" si="38"/>
        <v>#VALUE!</v>
      </c>
      <c r="E710" s="64" t="e">
        <f>Tableau7[[#This Row],[Mensualité]]-Tableau7[[#This Row],[Intérêts]]</f>
        <v>#VALUE!</v>
      </c>
      <c r="F710" s="64" t="e">
        <f>$G$4-Tableau7[[#This Row],[Mensualité]]-Tableau7[[#This Row],[Intérêts]]</f>
        <v>#VALUE!</v>
      </c>
    </row>
    <row r="711" spans="2:6" x14ac:dyDescent="0.25">
      <c r="B711" s="67" t="str">
        <f t="shared" si="36"/>
        <v>NA</v>
      </c>
      <c r="C711" t="str">
        <f t="shared" si="37"/>
        <v>NA</v>
      </c>
      <c r="D711" s="64" t="e">
        <f t="shared" si="38"/>
        <v>#VALUE!</v>
      </c>
      <c r="E711" s="64" t="e">
        <f>Tableau7[[#This Row],[Mensualité]]-Tableau7[[#This Row],[Intérêts]]</f>
        <v>#VALUE!</v>
      </c>
      <c r="F711" s="64" t="e">
        <f>$G$4-Tableau7[[#This Row],[Mensualité]]-Tableau7[[#This Row],[Intérêts]]</f>
        <v>#VALUE!</v>
      </c>
    </row>
    <row r="712" spans="2:6" x14ac:dyDescent="0.25">
      <c r="B712" s="67" t="str">
        <f t="shared" si="36"/>
        <v>NA</v>
      </c>
      <c r="C712" t="str">
        <f t="shared" si="37"/>
        <v>NA</v>
      </c>
      <c r="D712" s="64" t="e">
        <f t="shared" si="38"/>
        <v>#VALUE!</v>
      </c>
      <c r="E712" s="64" t="e">
        <f>Tableau7[[#This Row],[Mensualité]]-Tableau7[[#This Row],[Intérêts]]</f>
        <v>#VALUE!</v>
      </c>
      <c r="F712" s="64" t="e">
        <f>$G$4-Tableau7[[#This Row],[Mensualité]]-Tableau7[[#This Row],[Intérêts]]</f>
        <v>#VALUE!</v>
      </c>
    </row>
    <row r="713" spans="2:6" x14ac:dyDescent="0.25">
      <c r="B713" s="67" t="str">
        <f t="shared" si="36"/>
        <v>NA</v>
      </c>
      <c r="C713" t="str">
        <f t="shared" si="37"/>
        <v>NA</v>
      </c>
      <c r="D713" s="64" t="e">
        <f t="shared" si="38"/>
        <v>#VALUE!</v>
      </c>
      <c r="E713" s="64" t="e">
        <f>Tableau7[[#This Row],[Mensualité]]-Tableau7[[#This Row],[Intérêts]]</f>
        <v>#VALUE!</v>
      </c>
      <c r="F713" s="64" t="e">
        <f>$G$4-Tableau7[[#This Row],[Mensualité]]-Tableau7[[#This Row],[Intérêts]]</f>
        <v>#VALUE!</v>
      </c>
    </row>
    <row r="714" spans="2:6" x14ac:dyDescent="0.25">
      <c r="B714" s="67" t="str">
        <f t="shared" si="36"/>
        <v>NA</v>
      </c>
      <c r="C714" t="str">
        <f t="shared" si="37"/>
        <v>NA</v>
      </c>
      <c r="D714" s="64" t="e">
        <f t="shared" si="38"/>
        <v>#VALUE!</v>
      </c>
      <c r="E714" s="64" t="e">
        <f>Tableau7[[#This Row],[Mensualité]]-Tableau7[[#This Row],[Intérêts]]</f>
        <v>#VALUE!</v>
      </c>
      <c r="F714" s="64" t="e">
        <f>$G$4-Tableau7[[#This Row],[Mensualité]]-Tableau7[[#This Row],[Intérêts]]</f>
        <v>#VALUE!</v>
      </c>
    </row>
    <row r="715" spans="2:6" x14ac:dyDescent="0.25">
      <c r="B715" s="67" t="str">
        <f t="shared" si="36"/>
        <v>NA</v>
      </c>
      <c r="C715" t="str">
        <f t="shared" si="37"/>
        <v>NA</v>
      </c>
      <c r="D715" s="64" t="e">
        <f t="shared" si="38"/>
        <v>#VALUE!</v>
      </c>
      <c r="E715" s="64" t="e">
        <f>Tableau7[[#This Row],[Mensualité]]-Tableau7[[#This Row],[Intérêts]]</f>
        <v>#VALUE!</v>
      </c>
      <c r="F715" s="64" t="e">
        <f>$G$4-Tableau7[[#This Row],[Mensualité]]-Tableau7[[#This Row],[Intérêts]]</f>
        <v>#VALUE!</v>
      </c>
    </row>
    <row r="716" spans="2:6" x14ac:dyDescent="0.25">
      <c r="B716" s="67" t="str">
        <f t="shared" si="36"/>
        <v>NA</v>
      </c>
      <c r="C716" t="str">
        <f t="shared" si="37"/>
        <v>NA</v>
      </c>
      <c r="D716" s="64" t="e">
        <f t="shared" si="38"/>
        <v>#VALUE!</v>
      </c>
      <c r="E716" s="64" t="e">
        <f>Tableau7[[#This Row],[Mensualité]]-Tableau7[[#This Row],[Intérêts]]</f>
        <v>#VALUE!</v>
      </c>
      <c r="F716" s="64" t="e">
        <f>$G$4-Tableau7[[#This Row],[Mensualité]]-Tableau7[[#This Row],[Intérêts]]</f>
        <v>#VALUE!</v>
      </c>
    </row>
    <row r="717" spans="2:6" x14ac:dyDescent="0.25">
      <c r="B717" s="67" t="str">
        <f t="shared" si="36"/>
        <v>NA</v>
      </c>
      <c r="C717" t="str">
        <f t="shared" si="37"/>
        <v>NA</v>
      </c>
      <c r="D717" s="64" t="e">
        <f t="shared" si="38"/>
        <v>#VALUE!</v>
      </c>
      <c r="E717" s="64" t="e">
        <f>Tableau7[[#This Row],[Mensualité]]-Tableau7[[#This Row],[Intérêts]]</f>
        <v>#VALUE!</v>
      </c>
      <c r="F717" s="64" t="e">
        <f>$G$4-Tableau7[[#This Row],[Mensualité]]-Tableau7[[#This Row],[Intérêts]]</f>
        <v>#VALUE!</v>
      </c>
    </row>
    <row r="718" spans="2:6" x14ac:dyDescent="0.25">
      <c r="B718" s="67" t="str">
        <f t="shared" si="36"/>
        <v>NA</v>
      </c>
      <c r="C718" t="str">
        <f t="shared" si="37"/>
        <v>NA</v>
      </c>
      <c r="D718" s="64" t="e">
        <f t="shared" si="38"/>
        <v>#VALUE!</v>
      </c>
      <c r="E718" s="64" t="e">
        <f>Tableau7[[#This Row],[Mensualité]]-Tableau7[[#This Row],[Intérêts]]</f>
        <v>#VALUE!</v>
      </c>
      <c r="F718" s="64" t="e">
        <f>$G$4-Tableau7[[#This Row],[Mensualité]]-Tableau7[[#This Row],[Intérêts]]</f>
        <v>#VALUE!</v>
      </c>
    </row>
    <row r="719" spans="2:6" x14ac:dyDescent="0.25">
      <c r="B719" s="67" t="str">
        <f t="shared" si="36"/>
        <v>NA</v>
      </c>
      <c r="C719" t="str">
        <f t="shared" si="37"/>
        <v>NA</v>
      </c>
      <c r="D719" s="64" t="e">
        <f t="shared" si="38"/>
        <v>#VALUE!</v>
      </c>
      <c r="E719" s="64" t="e">
        <f>Tableau7[[#This Row],[Mensualité]]-Tableau7[[#This Row],[Intérêts]]</f>
        <v>#VALUE!</v>
      </c>
      <c r="F719" s="64" t="e">
        <f>$G$4-Tableau7[[#This Row],[Mensualité]]-Tableau7[[#This Row],[Intérêts]]</f>
        <v>#VALUE!</v>
      </c>
    </row>
    <row r="720" spans="2:6" x14ac:dyDescent="0.25">
      <c r="B720" s="67" t="str">
        <f t="shared" si="36"/>
        <v>NA</v>
      </c>
      <c r="C720" t="str">
        <f t="shared" si="37"/>
        <v>NA</v>
      </c>
      <c r="D720" s="64" t="e">
        <f t="shared" si="38"/>
        <v>#VALUE!</v>
      </c>
      <c r="E720" s="64" t="e">
        <f>Tableau7[[#This Row],[Mensualité]]-Tableau7[[#This Row],[Intérêts]]</f>
        <v>#VALUE!</v>
      </c>
      <c r="F720" s="64" t="e">
        <f>$G$4-Tableau7[[#This Row],[Mensualité]]-Tableau7[[#This Row],[Intérêts]]</f>
        <v>#VALUE!</v>
      </c>
    </row>
    <row r="721" spans="2:6" x14ac:dyDescent="0.25">
      <c r="B721" s="67" t="str">
        <f t="shared" si="36"/>
        <v>NA</v>
      </c>
      <c r="C721" t="str">
        <f t="shared" si="37"/>
        <v>NA</v>
      </c>
      <c r="D721" s="64" t="e">
        <f t="shared" si="38"/>
        <v>#VALUE!</v>
      </c>
      <c r="E721" s="64" t="e">
        <f>Tableau7[[#This Row],[Mensualité]]-Tableau7[[#This Row],[Intérêts]]</f>
        <v>#VALUE!</v>
      </c>
      <c r="F721" s="64" t="e">
        <f>$G$4-Tableau7[[#This Row],[Mensualité]]-Tableau7[[#This Row],[Intérêts]]</f>
        <v>#VALUE!</v>
      </c>
    </row>
    <row r="722" spans="2:6" x14ac:dyDescent="0.25">
      <c r="B722" s="67" t="str">
        <f t="shared" si="36"/>
        <v>NA</v>
      </c>
      <c r="C722" t="str">
        <f t="shared" si="37"/>
        <v>NA</v>
      </c>
      <c r="D722" s="64" t="e">
        <f t="shared" si="38"/>
        <v>#VALUE!</v>
      </c>
      <c r="E722" s="64" t="e">
        <f>Tableau7[[#This Row],[Mensualité]]-Tableau7[[#This Row],[Intérêts]]</f>
        <v>#VALUE!</v>
      </c>
      <c r="F722" s="64" t="e">
        <f>$G$4-Tableau7[[#This Row],[Mensualité]]-Tableau7[[#This Row],[Intérêts]]</f>
        <v>#VALUE!</v>
      </c>
    </row>
    <row r="723" spans="2:6" x14ac:dyDescent="0.25">
      <c r="B723" s="67" t="str">
        <f t="shared" si="36"/>
        <v>NA</v>
      </c>
      <c r="C723" t="str">
        <f t="shared" si="37"/>
        <v>NA</v>
      </c>
      <c r="D723" s="64" t="e">
        <f t="shared" si="38"/>
        <v>#VALUE!</v>
      </c>
      <c r="E723" s="64" t="e">
        <f>Tableau7[[#This Row],[Mensualité]]-Tableau7[[#This Row],[Intérêts]]</f>
        <v>#VALUE!</v>
      </c>
      <c r="F723" s="64" t="e">
        <f>$G$4-Tableau7[[#This Row],[Mensualité]]-Tableau7[[#This Row],[Intérêts]]</f>
        <v>#VALUE!</v>
      </c>
    </row>
    <row r="724" spans="2:6" x14ac:dyDescent="0.25">
      <c r="B724" s="67" t="str">
        <f t="shared" si="36"/>
        <v>NA</v>
      </c>
      <c r="C724" t="str">
        <f t="shared" si="37"/>
        <v>NA</v>
      </c>
      <c r="D724" s="64" t="e">
        <f t="shared" si="38"/>
        <v>#VALUE!</v>
      </c>
      <c r="E724" s="64" t="e">
        <f>Tableau7[[#This Row],[Mensualité]]-Tableau7[[#This Row],[Intérêts]]</f>
        <v>#VALUE!</v>
      </c>
      <c r="F724" s="64" t="e">
        <f>$G$4-Tableau7[[#This Row],[Mensualité]]-Tableau7[[#This Row],[Intérêts]]</f>
        <v>#VALUE!</v>
      </c>
    </row>
    <row r="725" spans="2:6" x14ac:dyDescent="0.25">
      <c r="B725" s="67" t="str">
        <f t="shared" si="36"/>
        <v>NA</v>
      </c>
      <c r="C725" t="str">
        <f t="shared" si="37"/>
        <v>NA</v>
      </c>
      <c r="D725" s="64" t="e">
        <f t="shared" si="38"/>
        <v>#VALUE!</v>
      </c>
      <c r="E725" s="64" t="e">
        <f>Tableau7[[#This Row],[Mensualité]]-Tableau7[[#This Row],[Intérêts]]</f>
        <v>#VALUE!</v>
      </c>
      <c r="F725" s="64" t="e">
        <f>$G$4-Tableau7[[#This Row],[Mensualité]]-Tableau7[[#This Row],[Intérêts]]</f>
        <v>#VALUE!</v>
      </c>
    </row>
    <row r="726" spans="2:6" x14ac:dyDescent="0.25">
      <c r="B726" s="67" t="str">
        <f t="shared" si="36"/>
        <v>NA</v>
      </c>
      <c r="C726" t="str">
        <f t="shared" si="37"/>
        <v>NA</v>
      </c>
      <c r="D726" s="64" t="e">
        <f t="shared" si="38"/>
        <v>#VALUE!</v>
      </c>
      <c r="E726" s="64" t="e">
        <f>Tableau7[[#This Row],[Mensualité]]-Tableau7[[#This Row],[Intérêts]]</f>
        <v>#VALUE!</v>
      </c>
      <c r="F726" s="64" t="e">
        <f>$G$4-Tableau7[[#This Row],[Mensualité]]-Tableau7[[#This Row],[Intérêts]]</f>
        <v>#VALUE!</v>
      </c>
    </row>
    <row r="727" spans="2:6" x14ac:dyDescent="0.25">
      <c r="B727" s="67" t="str">
        <f t="shared" si="36"/>
        <v>NA</v>
      </c>
      <c r="C727" t="str">
        <f t="shared" si="37"/>
        <v>NA</v>
      </c>
      <c r="D727" s="64" t="e">
        <f t="shared" si="38"/>
        <v>#VALUE!</v>
      </c>
      <c r="E727" s="64" t="e">
        <f>Tableau7[[#This Row],[Mensualité]]-Tableau7[[#This Row],[Intérêts]]</f>
        <v>#VALUE!</v>
      </c>
      <c r="F727" s="64" t="e">
        <f>$G$4-Tableau7[[#This Row],[Mensualité]]-Tableau7[[#This Row],[Intérêts]]</f>
        <v>#VALUE!</v>
      </c>
    </row>
    <row r="728" spans="2:6" x14ac:dyDescent="0.25">
      <c r="B728" s="67" t="str">
        <f t="shared" si="36"/>
        <v>NA</v>
      </c>
      <c r="C728" t="str">
        <f t="shared" si="37"/>
        <v>NA</v>
      </c>
      <c r="D728" s="64" t="e">
        <f t="shared" si="38"/>
        <v>#VALUE!</v>
      </c>
      <c r="E728" s="64" t="e">
        <f>Tableau7[[#This Row],[Mensualité]]-Tableau7[[#This Row],[Intérêts]]</f>
        <v>#VALUE!</v>
      </c>
      <c r="F728" s="64" t="e">
        <f>$G$4-Tableau7[[#This Row],[Mensualité]]-Tableau7[[#This Row],[Intérêts]]</f>
        <v>#VALUE!</v>
      </c>
    </row>
    <row r="729" spans="2:6" x14ac:dyDescent="0.25">
      <c r="B729" s="67" t="str">
        <f t="shared" si="36"/>
        <v>NA</v>
      </c>
      <c r="C729" t="str">
        <f t="shared" si="37"/>
        <v>NA</v>
      </c>
      <c r="D729" s="64" t="e">
        <f t="shared" si="38"/>
        <v>#VALUE!</v>
      </c>
      <c r="E729" s="64" t="e">
        <f>Tableau7[[#This Row],[Mensualité]]-Tableau7[[#This Row],[Intérêts]]</f>
        <v>#VALUE!</v>
      </c>
      <c r="F729" s="64" t="e">
        <f>$G$4-Tableau7[[#This Row],[Mensualité]]-Tableau7[[#This Row],[Intérêts]]</f>
        <v>#VALUE!</v>
      </c>
    </row>
    <row r="730" spans="2:6" x14ac:dyDescent="0.25">
      <c r="B730" s="67" t="str">
        <f t="shared" si="36"/>
        <v>NA</v>
      </c>
      <c r="C730" t="str">
        <f t="shared" si="37"/>
        <v>NA</v>
      </c>
      <c r="D730" s="64" t="e">
        <f t="shared" si="38"/>
        <v>#VALUE!</v>
      </c>
      <c r="E730" s="64" t="e">
        <f>Tableau7[[#This Row],[Mensualité]]-Tableau7[[#This Row],[Intérêts]]</f>
        <v>#VALUE!</v>
      </c>
      <c r="F730" s="64" t="e">
        <f>$G$4-Tableau7[[#This Row],[Mensualité]]-Tableau7[[#This Row],[Intérêts]]</f>
        <v>#VALUE!</v>
      </c>
    </row>
    <row r="731" spans="2:6" x14ac:dyDescent="0.25">
      <c r="B731" s="67" t="str">
        <f t="shared" si="36"/>
        <v>NA</v>
      </c>
      <c r="C731" t="str">
        <f t="shared" si="37"/>
        <v>NA</v>
      </c>
      <c r="D731" s="64" t="e">
        <f t="shared" si="38"/>
        <v>#VALUE!</v>
      </c>
      <c r="E731" s="64" t="e">
        <f>Tableau7[[#This Row],[Mensualité]]-Tableau7[[#This Row],[Intérêts]]</f>
        <v>#VALUE!</v>
      </c>
      <c r="F731" s="64" t="e">
        <f>$G$4-Tableau7[[#This Row],[Mensualité]]-Tableau7[[#This Row],[Intérêts]]</f>
        <v>#VALUE!</v>
      </c>
    </row>
    <row r="732" spans="2:6" x14ac:dyDescent="0.25">
      <c r="B732" s="67" t="str">
        <f t="shared" si="36"/>
        <v>NA</v>
      </c>
      <c r="C732" t="str">
        <f t="shared" si="37"/>
        <v>NA</v>
      </c>
      <c r="D732" s="64" t="e">
        <f t="shared" si="38"/>
        <v>#VALUE!</v>
      </c>
      <c r="E732" s="64" t="e">
        <f>Tableau7[[#This Row],[Mensualité]]-Tableau7[[#This Row],[Intérêts]]</f>
        <v>#VALUE!</v>
      </c>
      <c r="F732" s="64" t="e">
        <f>$G$4-Tableau7[[#This Row],[Mensualité]]-Tableau7[[#This Row],[Intérêts]]</f>
        <v>#VALUE!</v>
      </c>
    </row>
    <row r="733" spans="2:6" x14ac:dyDescent="0.25">
      <c r="B733" s="67" t="str">
        <f t="shared" si="36"/>
        <v>NA</v>
      </c>
      <c r="C733" t="str">
        <f t="shared" si="37"/>
        <v>NA</v>
      </c>
      <c r="D733" s="64" t="e">
        <f t="shared" si="38"/>
        <v>#VALUE!</v>
      </c>
      <c r="E733" s="64" t="e">
        <f>Tableau7[[#This Row],[Mensualité]]-Tableau7[[#This Row],[Intérêts]]</f>
        <v>#VALUE!</v>
      </c>
      <c r="F733" s="64" t="e">
        <f>$G$4-Tableau7[[#This Row],[Mensualité]]-Tableau7[[#This Row],[Intérêts]]</f>
        <v>#VALUE!</v>
      </c>
    </row>
    <row r="734" spans="2:6" x14ac:dyDescent="0.25">
      <c r="B734" s="67" t="str">
        <f t="shared" si="36"/>
        <v>NA</v>
      </c>
      <c r="C734" t="str">
        <f t="shared" si="37"/>
        <v>NA</v>
      </c>
      <c r="D734" s="64" t="e">
        <f t="shared" si="38"/>
        <v>#VALUE!</v>
      </c>
      <c r="E734" s="64" t="e">
        <f>Tableau7[[#This Row],[Mensualité]]-Tableau7[[#This Row],[Intérêts]]</f>
        <v>#VALUE!</v>
      </c>
      <c r="F734" s="64" t="e">
        <f>$G$4-Tableau7[[#This Row],[Mensualité]]-Tableau7[[#This Row],[Intérêts]]</f>
        <v>#VALUE!</v>
      </c>
    </row>
    <row r="735" spans="2:6" x14ac:dyDescent="0.25">
      <c r="B735" s="67" t="str">
        <f t="shared" si="36"/>
        <v>NA</v>
      </c>
      <c r="C735" t="str">
        <f t="shared" si="37"/>
        <v>NA</v>
      </c>
      <c r="D735" s="64" t="e">
        <f t="shared" si="38"/>
        <v>#VALUE!</v>
      </c>
      <c r="E735" s="64" t="e">
        <f>Tableau7[[#This Row],[Mensualité]]-Tableau7[[#This Row],[Intérêts]]</f>
        <v>#VALUE!</v>
      </c>
      <c r="F735" s="64" t="e">
        <f>$G$4-Tableau7[[#This Row],[Mensualité]]-Tableau7[[#This Row],[Intérêts]]</f>
        <v>#VALUE!</v>
      </c>
    </row>
    <row r="736" spans="2:6" x14ac:dyDescent="0.25">
      <c r="B736" s="67" t="str">
        <f t="shared" si="36"/>
        <v>NA</v>
      </c>
      <c r="C736" t="str">
        <f t="shared" si="37"/>
        <v>NA</v>
      </c>
      <c r="D736" s="64" t="e">
        <f t="shared" si="38"/>
        <v>#VALUE!</v>
      </c>
      <c r="E736" s="64" t="e">
        <f>Tableau7[[#This Row],[Mensualité]]-Tableau7[[#This Row],[Intérêts]]</f>
        <v>#VALUE!</v>
      </c>
      <c r="F736" s="64" t="e">
        <f>$G$4-Tableau7[[#This Row],[Mensualité]]-Tableau7[[#This Row],[Intérêts]]</f>
        <v>#VALUE!</v>
      </c>
    </row>
    <row r="737" spans="2:6" x14ac:dyDescent="0.25">
      <c r="B737" s="67" t="str">
        <f t="shared" si="36"/>
        <v>NA</v>
      </c>
      <c r="C737" t="str">
        <f t="shared" si="37"/>
        <v>NA</v>
      </c>
      <c r="D737" s="64" t="e">
        <f t="shared" si="38"/>
        <v>#VALUE!</v>
      </c>
      <c r="E737" s="64" t="e">
        <f>Tableau7[[#This Row],[Mensualité]]-Tableau7[[#This Row],[Intérêts]]</f>
        <v>#VALUE!</v>
      </c>
      <c r="F737" s="64" t="e">
        <f>$G$4-Tableau7[[#This Row],[Mensualité]]-Tableau7[[#This Row],[Intérêts]]</f>
        <v>#VALUE!</v>
      </c>
    </row>
    <row r="738" spans="2:6" x14ac:dyDescent="0.25">
      <c r="B738" s="67" t="str">
        <f t="shared" si="36"/>
        <v>NA</v>
      </c>
      <c r="C738" t="str">
        <f t="shared" si="37"/>
        <v>NA</v>
      </c>
      <c r="D738" s="64" t="e">
        <f t="shared" si="38"/>
        <v>#VALUE!</v>
      </c>
      <c r="E738" s="64" t="e">
        <f>Tableau7[[#This Row],[Mensualité]]-Tableau7[[#This Row],[Intérêts]]</f>
        <v>#VALUE!</v>
      </c>
      <c r="F738" s="64" t="e">
        <f>$G$4-Tableau7[[#This Row],[Mensualité]]-Tableau7[[#This Row],[Intérêts]]</f>
        <v>#VALUE!</v>
      </c>
    </row>
    <row r="739" spans="2:6" x14ac:dyDescent="0.25">
      <c r="B739" s="67" t="str">
        <f t="shared" si="36"/>
        <v>NA</v>
      </c>
      <c r="C739" t="str">
        <f t="shared" si="37"/>
        <v>NA</v>
      </c>
      <c r="D739" s="64" t="e">
        <f t="shared" si="38"/>
        <v>#VALUE!</v>
      </c>
      <c r="E739" s="64" t="e">
        <f>Tableau7[[#This Row],[Mensualité]]-Tableau7[[#This Row],[Intérêts]]</f>
        <v>#VALUE!</v>
      </c>
      <c r="F739" s="64" t="e">
        <f>$G$4-Tableau7[[#This Row],[Mensualité]]-Tableau7[[#This Row],[Intérêts]]</f>
        <v>#VALUE!</v>
      </c>
    </row>
    <row r="740" spans="2:6" x14ac:dyDescent="0.25">
      <c r="B740" s="67" t="str">
        <f t="shared" si="36"/>
        <v>NA</v>
      </c>
      <c r="C740" t="str">
        <f t="shared" si="37"/>
        <v>NA</v>
      </c>
      <c r="D740" s="64" t="e">
        <f t="shared" si="38"/>
        <v>#VALUE!</v>
      </c>
      <c r="E740" s="64" t="e">
        <f>Tableau7[[#This Row],[Mensualité]]-Tableau7[[#This Row],[Intérêts]]</f>
        <v>#VALUE!</v>
      </c>
      <c r="F740" s="64" t="e">
        <f>$G$4-Tableau7[[#This Row],[Mensualité]]-Tableau7[[#This Row],[Intérêts]]</f>
        <v>#VALUE!</v>
      </c>
    </row>
    <row r="741" spans="2:6" x14ac:dyDescent="0.25">
      <c r="B741" s="67" t="str">
        <f t="shared" si="36"/>
        <v>NA</v>
      </c>
      <c r="C741" t="str">
        <f t="shared" si="37"/>
        <v>NA</v>
      </c>
      <c r="D741" s="64" t="e">
        <f t="shared" si="38"/>
        <v>#VALUE!</v>
      </c>
      <c r="E741" s="64" t="e">
        <f>Tableau7[[#This Row],[Mensualité]]-Tableau7[[#This Row],[Intérêts]]</f>
        <v>#VALUE!</v>
      </c>
      <c r="F741" s="64" t="e">
        <f>$G$4-Tableau7[[#This Row],[Mensualité]]-Tableau7[[#This Row],[Intérêts]]</f>
        <v>#VALUE!</v>
      </c>
    </row>
    <row r="742" spans="2:6" x14ac:dyDescent="0.25">
      <c r="B742" s="67" t="str">
        <f t="shared" si="36"/>
        <v>NA</v>
      </c>
      <c r="C742" t="str">
        <f t="shared" si="37"/>
        <v>NA</v>
      </c>
      <c r="D742" s="64" t="e">
        <f t="shared" si="38"/>
        <v>#VALUE!</v>
      </c>
      <c r="E742" s="64" t="e">
        <f>Tableau7[[#This Row],[Mensualité]]-Tableau7[[#This Row],[Intérêts]]</f>
        <v>#VALUE!</v>
      </c>
      <c r="F742" s="64" t="e">
        <f>$G$4-Tableau7[[#This Row],[Mensualité]]-Tableau7[[#This Row],[Intérêts]]</f>
        <v>#VALUE!</v>
      </c>
    </row>
    <row r="743" spans="2:6" x14ac:dyDescent="0.25">
      <c r="B743" s="67" t="str">
        <f t="shared" si="36"/>
        <v>NA</v>
      </c>
      <c r="C743" t="str">
        <f t="shared" si="37"/>
        <v>NA</v>
      </c>
      <c r="D743" s="64" t="e">
        <f t="shared" si="38"/>
        <v>#VALUE!</v>
      </c>
      <c r="E743" s="64" t="e">
        <f>Tableau7[[#This Row],[Mensualité]]-Tableau7[[#This Row],[Intérêts]]</f>
        <v>#VALUE!</v>
      </c>
      <c r="F743" s="64" t="e">
        <f>$G$4-Tableau7[[#This Row],[Mensualité]]-Tableau7[[#This Row],[Intérêts]]</f>
        <v>#VALUE!</v>
      </c>
    </row>
    <row r="744" spans="2:6" x14ac:dyDescent="0.25">
      <c r="B744" s="67" t="str">
        <f t="shared" si="36"/>
        <v>NA</v>
      </c>
      <c r="C744" t="str">
        <f t="shared" si="37"/>
        <v>NA</v>
      </c>
      <c r="D744" s="64" t="e">
        <f t="shared" si="38"/>
        <v>#VALUE!</v>
      </c>
      <c r="E744" s="64" t="e">
        <f>Tableau7[[#This Row],[Mensualité]]-Tableau7[[#This Row],[Intérêts]]</f>
        <v>#VALUE!</v>
      </c>
      <c r="F744" s="64" t="e">
        <f>$G$4-Tableau7[[#This Row],[Mensualité]]-Tableau7[[#This Row],[Intérêts]]</f>
        <v>#VALUE!</v>
      </c>
    </row>
    <row r="745" spans="2:6" x14ac:dyDescent="0.25">
      <c r="B745" s="67" t="str">
        <f t="shared" si="36"/>
        <v>NA</v>
      </c>
      <c r="C745" t="str">
        <f t="shared" si="37"/>
        <v>NA</v>
      </c>
      <c r="D745" s="64" t="e">
        <f t="shared" si="38"/>
        <v>#VALUE!</v>
      </c>
      <c r="E745" s="64" t="e">
        <f>Tableau7[[#This Row],[Mensualité]]-Tableau7[[#This Row],[Intérêts]]</f>
        <v>#VALUE!</v>
      </c>
      <c r="F745" s="64" t="e">
        <f>$G$4-Tableau7[[#This Row],[Mensualité]]-Tableau7[[#This Row],[Intérêts]]</f>
        <v>#VALUE!</v>
      </c>
    </row>
    <row r="746" spans="2:6" x14ac:dyDescent="0.25">
      <c r="B746" s="67" t="str">
        <f t="shared" si="36"/>
        <v>NA</v>
      </c>
      <c r="C746" t="str">
        <f t="shared" si="37"/>
        <v>NA</v>
      </c>
      <c r="D746" s="64" t="e">
        <f t="shared" si="38"/>
        <v>#VALUE!</v>
      </c>
      <c r="E746" s="64" t="e">
        <f>Tableau7[[#This Row],[Mensualité]]-Tableau7[[#This Row],[Intérêts]]</f>
        <v>#VALUE!</v>
      </c>
      <c r="F746" s="64" t="e">
        <f>$G$4-Tableau7[[#This Row],[Mensualité]]-Tableau7[[#This Row],[Intérêts]]</f>
        <v>#VALUE!</v>
      </c>
    </row>
    <row r="747" spans="2:6" x14ac:dyDescent="0.25">
      <c r="B747" s="67" t="str">
        <f t="shared" ref="B747:B810" si="39">$D$4</f>
        <v>NA</v>
      </c>
      <c r="C747" t="str">
        <f t="shared" ref="C747:C810" si="40">$H$4</f>
        <v>NA</v>
      </c>
      <c r="D747" s="64" t="e">
        <f t="shared" ref="D747:D810" si="41">G740*F740/12</f>
        <v>#VALUE!</v>
      </c>
      <c r="E747" s="64" t="e">
        <f>Tableau7[[#This Row],[Mensualité]]-Tableau7[[#This Row],[Intérêts]]</f>
        <v>#VALUE!</v>
      </c>
      <c r="F747" s="64" t="e">
        <f>$G$4-Tableau7[[#This Row],[Mensualité]]-Tableau7[[#This Row],[Intérêts]]</f>
        <v>#VALUE!</v>
      </c>
    </row>
    <row r="748" spans="2:6" x14ac:dyDescent="0.25">
      <c r="B748" s="67" t="str">
        <f t="shared" si="39"/>
        <v>NA</v>
      </c>
      <c r="C748" t="str">
        <f t="shared" si="40"/>
        <v>NA</v>
      </c>
      <c r="D748" s="64" t="e">
        <f t="shared" si="41"/>
        <v>#VALUE!</v>
      </c>
      <c r="E748" s="64" t="e">
        <f>Tableau7[[#This Row],[Mensualité]]-Tableau7[[#This Row],[Intérêts]]</f>
        <v>#VALUE!</v>
      </c>
      <c r="F748" s="64" t="e">
        <f>$G$4-Tableau7[[#This Row],[Mensualité]]-Tableau7[[#This Row],[Intérêts]]</f>
        <v>#VALUE!</v>
      </c>
    </row>
    <row r="749" spans="2:6" x14ac:dyDescent="0.25">
      <c r="B749" s="67" t="str">
        <f t="shared" si="39"/>
        <v>NA</v>
      </c>
      <c r="C749" t="str">
        <f t="shared" si="40"/>
        <v>NA</v>
      </c>
      <c r="D749" s="64" t="e">
        <f t="shared" si="41"/>
        <v>#VALUE!</v>
      </c>
      <c r="E749" s="64" t="e">
        <f>Tableau7[[#This Row],[Mensualité]]-Tableau7[[#This Row],[Intérêts]]</f>
        <v>#VALUE!</v>
      </c>
      <c r="F749" s="64" t="e">
        <f>$G$4-Tableau7[[#This Row],[Mensualité]]-Tableau7[[#This Row],[Intérêts]]</f>
        <v>#VALUE!</v>
      </c>
    </row>
    <row r="750" spans="2:6" x14ac:dyDescent="0.25">
      <c r="B750" s="67" t="str">
        <f t="shared" si="39"/>
        <v>NA</v>
      </c>
      <c r="C750" t="str">
        <f t="shared" si="40"/>
        <v>NA</v>
      </c>
      <c r="D750" s="64" t="e">
        <f t="shared" si="41"/>
        <v>#VALUE!</v>
      </c>
      <c r="E750" s="64" t="e">
        <f>Tableau7[[#This Row],[Mensualité]]-Tableau7[[#This Row],[Intérêts]]</f>
        <v>#VALUE!</v>
      </c>
      <c r="F750" s="64" t="e">
        <f>$G$4-Tableau7[[#This Row],[Mensualité]]-Tableau7[[#This Row],[Intérêts]]</f>
        <v>#VALUE!</v>
      </c>
    </row>
    <row r="751" spans="2:6" x14ac:dyDescent="0.25">
      <c r="B751" s="67" t="str">
        <f t="shared" si="39"/>
        <v>NA</v>
      </c>
      <c r="C751" t="str">
        <f t="shared" si="40"/>
        <v>NA</v>
      </c>
      <c r="D751" s="64" t="e">
        <f t="shared" si="41"/>
        <v>#VALUE!</v>
      </c>
      <c r="E751" s="64" t="e">
        <f>Tableau7[[#This Row],[Mensualité]]-Tableau7[[#This Row],[Intérêts]]</f>
        <v>#VALUE!</v>
      </c>
      <c r="F751" s="64" t="e">
        <f>$G$4-Tableau7[[#This Row],[Mensualité]]-Tableau7[[#This Row],[Intérêts]]</f>
        <v>#VALUE!</v>
      </c>
    </row>
    <row r="752" spans="2:6" x14ac:dyDescent="0.25">
      <c r="B752" s="67" t="str">
        <f t="shared" si="39"/>
        <v>NA</v>
      </c>
      <c r="C752" t="str">
        <f t="shared" si="40"/>
        <v>NA</v>
      </c>
      <c r="D752" s="64" t="e">
        <f t="shared" si="41"/>
        <v>#VALUE!</v>
      </c>
      <c r="E752" s="64" t="e">
        <f>Tableau7[[#This Row],[Mensualité]]-Tableau7[[#This Row],[Intérêts]]</f>
        <v>#VALUE!</v>
      </c>
      <c r="F752" s="64" t="e">
        <f>$G$4-Tableau7[[#This Row],[Mensualité]]-Tableau7[[#This Row],[Intérêts]]</f>
        <v>#VALUE!</v>
      </c>
    </row>
    <row r="753" spans="2:6" x14ac:dyDescent="0.25">
      <c r="B753" s="67" t="str">
        <f t="shared" si="39"/>
        <v>NA</v>
      </c>
      <c r="C753" t="str">
        <f t="shared" si="40"/>
        <v>NA</v>
      </c>
      <c r="D753" s="64" t="e">
        <f t="shared" si="41"/>
        <v>#VALUE!</v>
      </c>
      <c r="E753" s="64" t="e">
        <f>Tableau7[[#This Row],[Mensualité]]-Tableau7[[#This Row],[Intérêts]]</f>
        <v>#VALUE!</v>
      </c>
      <c r="F753" s="64" t="e">
        <f>$G$4-Tableau7[[#This Row],[Mensualité]]-Tableau7[[#This Row],[Intérêts]]</f>
        <v>#VALUE!</v>
      </c>
    </row>
    <row r="754" spans="2:6" x14ac:dyDescent="0.25">
      <c r="B754" s="67" t="str">
        <f t="shared" si="39"/>
        <v>NA</v>
      </c>
      <c r="C754" t="str">
        <f t="shared" si="40"/>
        <v>NA</v>
      </c>
      <c r="D754" s="64" t="e">
        <f t="shared" si="41"/>
        <v>#VALUE!</v>
      </c>
      <c r="E754" s="64" t="e">
        <f>Tableau7[[#This Row],[Mensualité]]-Tableau7[[#This Row],[Intérêts]]</f>
        <v>#VALUE!</v>
      </c>
      <c r="F754" s="64" t="e">
        <f>$G$4-Tableau7[[#This Row],[Mensualité]]-Tableau7[[#This Row],[Intérêts]]</f>
        <v>#VALUE!</v>
      </c>
    </row>
    <row r="755" spans="2:6" x14ac:dyDescent="0.25">
      <c r="B755" s="67" t="str">
        <f t="shared" si="39"/>
        <v>NA</v>
      </c>
      <c r="C755" t="str">
        <f t="shared" si="40"/>
        <v>NA</v>
      </c>
      <c r="D755" s="64" t="e">
        <f t="shared" si="41"/>
        <v>#VALUE!</v>
      </c>
      <c r="E755" s="64" t="e">
        <f>Tableau7[[#This Row],[Mensualité]]-Tableau7[[#This Row],[Intérêts]]</f>
        <v>#VALUE!</v>
      </c>
      <c r="F755" s="64" t="e">
        <f>$G$4-Tableau7[[#This Row],[Mensualité]]-Tableau7[[#This Row],[Intérêts]]</f>
        <v>#VALUE!</v>
      </c>
    </row>
    <row r="756" spans="2:6" x14ac:dyDescent="0.25">
      <c r="B756" s="67" t="str">
        <f t="shared" si="39"/>
        <v>NA</v>
      </c>
      <c r="C756" t="str">
        <f t="shared" si="40"/>
        <v>NA</v>
      </c>
      <c r="D756" s="64" t="e">
        <f t="shared" si="41"/>
        <v>#VALUE!</v>
      </c>
      <c r="E756" s="64" t="e">
        <f>Tableau7[[#This Row],[Mensualité]]-Tableau7[[#This Row],[Intérêts]]</f>
        <v>#VALUE!</v>
      </c>
      <c r="F756" s="64" t="e">
        <f>$G$4-Tableau7[[#This Row],[Mensualité]]-Tableau7[[#This Row],[Intérêts]]</f>
        <v>#VALUE!</v>
      </c>
    </row>
    <row r="757" spans="2:6" x14ac:dyDescent="0.25">
      <c r="B757" s="67" t="str">
        <f t="shared" si="39"/>
        <v>NA</v>
      </c>
      <c r="C757" t="str">
        <f t="shared" si="40"/>
        <v>NA</v>
      </c>
      <c r="D757" s="64" t="e">
        <f t="shared" si="41"/>
        <v>#VALUE!</v>
      </c>
      <c r="E757" s="64" t="e">
        <f>Tableau7[[#This Row],[Mensualité]]-Tableau7[[#This Row],[Intérêts]]</f>
        <v>#VALUE!</v>
      </c>
      <c r="F757" s="64" t="e">
        <f>$G$4-Tableau7[[#This Row],[Mensualité]]-Tableau7[[#This Row],[Intérêts]]</f>
        <v>#VALUE!</v>
      </c>
    </row>
    <row r="758" spans="2:6" x14ac:dyDescent="0.25">
      <c r="B758" s="67" t="str">
        <f t="shared" si="39"/>
        <v>NA</v>
      </c>
      <c r="C758" t="str">
        <f t="shared" si="40"/>
        <v>NA</v>
      </c>
      <c r="D758" s="64" t="e">
        <f t="shared" si="41"/>
        <v>#VALUE!</v>
      </c>
      <c r="E758" s="64" t="e">
        <f>Tableau7[[#This Row],[Mensualité]]-Tableau7[[#This Row],[Intérêts]]</f>
        <v>#VALUE!</v>
      </c>
      <c r="F758" s="64" t="e">
        <f>$G$4-Tableau7[[#This Row],[Mensualité]]-Tableau7[[#This Row],[Intérêts]]</f>
        <v>#VALUE!</v>
      </c>
    </row>
    <row r="759" spans="2:6" x14ac:dyDescent="0.25">
      <c r="B759" s="67" t="str">
        <f t="shared" si="39"/>
        <v>NA</v>
      </c>
      <c r="C759" t="str">
        <f t="shared" si="40"/>
        <v>NA</v>
      </c>
      <c r="D759" s="64" t="e">
        <f t="shared" si="41"/>
        <v>#VALUE!</v>
      </c>
      <c r="E759" s="64" t="e">
        <f>Tableau7[[#This Row],[Mensualité]]-Tableau7[[#This Row],[Intérêts]]</f>
        <v>#VALUE!</v>
      </c>
      <c r="F759" s="64" t="e">
        <f>$G$4-Tableau7[[#This Row],[Mensualité]]-Tableau7[[#This Row],[Intérêts]]</f>
        <v>#VALUE!</v>
      </c>
    </row>
    <row r="760" spans="2:6" x14ac:dyDescent="0.25">
      <c r="B760" s="67" t="str">
        <f t="shared" si="39"/>
        <v>NA</v>
      </c>
      <c r="C760" t="str">
        <f t="shared" si="40"/>
        <v>NA</v>
      </c>
      <c r="D760" s="64" t="e">
        <f t="shared" si="41"/>
        <v>#VALUE!</v>
      </c>
      <c r="E760" s="64" t="e">
        <f>Tableau7[[#This Row],[Mensualité]]-Tableau7[[#This Row],[Intérêts]]</f>
        <v>#VALUE!</v>
      </c>
      <c r="F760" s="64" t="e">
        <f>$G$4-Tableau7[[#This Row],[Mensualité]]-Tableau7[[#This Row],[Intérêts]]</f>
        <v>#VALUE!</v>
      </c>
    </row>
    <row r="761" spans="2:6" x14ac:dyDescent="0.25">
      <c r="B761" s="67" t="str">
        <f t="shared" si="39"/>
        <v>NA</v>
      </c>
      <c r="C761" t="str">
        <f t="shared" si="40"/>
        <v>NA</v>
      </c>
      <c r="D761" s="64" t="e">
        <f t="shared" si="41"/>
        <v>#VALUE!</v>
      </c>
      <c r="E761" s="64" t="e">
        <f>Tableau7[[#This Row],[Mensualité]]-Tableau7[[#This Row],[Intérêts]]</f>
        <v>#VALUE!</v>
      </c>
      <c r="F761" s="64" t="e">
        <f>$G$4-Tableau7[[#This Row],[Mensualité]]-Tableau7[[#This Row],[Intérêts]]</f>
        <v>#VALUE!</v>
      </c>
    </row>
    <row r="762" spans="2:6" x14ac:dyDescent="0.25">
      <c r="B762" s="67" t="str">
        <f t="shared" si="39"/>
        <v>NA</v>
      </c>
      <c r="C762" t="str">
        <f t="shared" si="40"/>
        <v>NA</v>
      </c>
      <c r="D762" s="64" t="e">
        <f t="shared" si="41"/>
        <v>#VALUE!</v>
      </c>
      <c r="E762" s="64" t="e">
        <f>Tableau7[[#This Row],[Mensualité]]-Tableau7[[#This Row],[Intérêts]]</f>
        <v>#VALUE!</v>
      </c>
      <c r="F762" s="64" t="e">
        <f>$G$4-Tableau7[[#This Row],[Mensualité]]-Tableau7[[#This Row],[Intérêts]]</f>
        <v>#VALUE!</v>
      </c>
    </row>
    <row r="763" spans="2:6" x14ac:dyDescent="0.25">
      <c r="B763" s="67" t="str">
        <f t="shared" si="39"/>
        <v>NA</v>
      </c>
      <c r="C763" t="str">
        <f t="shared" si="40"/>
        <v>NA</v>
      </c>
      <c r="D763" s="64" t="e">
        <f t="shared" si="41"/>
        <v>#VALUE!</v>
      </c>
      <c r="E763" s="64" t="e">
        <f>Tableau7[[#This Row],[Mensualité]]-Tableau7[[#This Row],[Intérêts]]</f>
        <v>#VALUE!</v>
      </c>
      <c r="F763" s="64" t="e">
        <f>$G$4-Tableau7[[#This Row],[Mensualité]]-Tableau7[[#This Row],[Intérêts]]</f>
        <v>#VALUE!</v>
      </c>
    </row>
    <row r="764" spans="2:6" x14ac:dyDescent="0.25">
      <c r="B764" s="67" t="str">
        <f t="shared" si="39"/>
        <v>NA</v>
      </c>
      <c r="C764" t="str">
        <f t="shared" si="40"/>
        <v>NA</v>
      </c>
      <c r="D764" s="64" t="e">
        <f t="shared" si="41"/>
        <v>#VALUE!</v>
      </c>
      <c r="E764" s="64" t="e">
        <f>Tableau7[[#This Row],[Mensualité]]-Tableau7[[#This Row],[Intérêts]]</f>
        <v>#VALUE!</v>
      </c>
      <c r="F764" s="64" t="e">
        <f>$G$4-Tableau7[[#This Row],[Mensualité]]-Tableau7[[#This Row],[Intérêts]]</f>
        <v>#VALUE!</v>
      </c>
    </row>
    <row r="765" spans="2:6" x14ac:dyDescent="0.25">
      <c r="B765" s="67" t="str">
        <f t="shared" si="39"/>
        <v>NA</v>
      </c>
      <c r="C765" t="str">
        <f t="shared" si="40"/>
        <v>NA</v>
      </c>
      <c r="D765" s="64" t="e">
        <f t="shared" si="41"/>
        <v>#VALUE!</v>
      </c>
      <c r="E765" s="64" t="e">
        <f>Tableau7[[#This Row],[Mensualité]]-Tableau7[[#This Row],[Intérêts]]</f>
        <v>#VALUE!</v>
      </c>
      <c r="F765" s="64" t="e">
        <f>$G$4-Tableau7[[#This Row],[Mensualité]]-Tableau7[[#This Row],[Intérêts]]</f>
        <v>#VALUE!</v>
      </c>
    </row>
    <row r="766" spans="2:6" x14ac:dyDescent="0.25">
      <c r="B766" s="67" t="str">
        <f t="shared" si="39"/>
        <v>NA</v>
      </c>
      <c r="C766" t="str">
        <f t="shared" si="40"/>
        <v>NA</v>
      </c>
      <c r="D766" s="64" t="e">
        <f t="shared" si="41"/>
        <v>#VALUE!</v>
      </c>
      <c r="E766" s="64" t="e">
        <f>Tableau7[[#This Row],[Mensualité]]-Tableau7[[#This Row],[Intérêts]]</f>
        <v>#VALUE!</v>
      </c>
      <c r="F766" s="64" t="e">
        <f>$G$4-Tableau7[[#This Row],[Mensualité]]-Tableau7[[#This Row],[Intérêts]]</f>
        <v>#VALUE!</v>
      </c>
    </row>
    <row r="767" spans="2:6" x14ac:dyDescent="0.25">
      <c r="B767" s="67" t="str">
        <f t="shared" si="39"/>
        <v>NA</v>
      </c>
      <c r="C767" t="str">
        <f t="shared" si="40"/>
        <v>NA</v>
      </c>
      <c r="D767" s="64" t="e">
        <f t="shared" si="41"/>
        <v>#VALUE!</v>
      </c>
      <c r="E767" s="64" t="e">
        <f>Tableau7[[#This Row],[Mensualité]]-Tableau7[[#This Row],[Intérêts]]</f>
        <v>#VALUE!</v>
      </c>
      <c r="F767" s="64" t="e">
        <f>$G$4-Tableau7[[#This Row],[Mensualité]]-Tableau7[[#This Row],[Intérêts]]</f>
        <v>#VALUE!</v>
      </c>
    </row>
    <row r="768" spans="2:6" x14ac:dyDescent="0.25">
      <c r="B768" s="67" t="str">
        <f t="shared" si="39"/>
        <v>NA</v>
      </c>
      <c r="C768" t="str">
        <f t="shared" si="40"/>
        <v>NA</v>
      </c>
      <c r="D768" s="64" t="e">
        <f t="shared" si="41"/>
        <v>#VALUE!</v>
      </c>
      <c r="E768" s="64" t="e">
        <f>Tableau7[[#This Row],[Mensualité]]-Tableau7[[#This Row],[Intérêts]]</f>
        <v>#VALUE!</v>
      </c>
      <c r="F768" s="64" t="e">
        <f>$G$4-Tableau7[[#This Row],[Mensualité]]-Tableau7[[#This Row],[Intérêts]]</f>
        <v>#VALUE!</v>
      </c>
    </row>
    <row r="769" spans="2:6" x14ac:dyDescent="0.25">
      <c r="B769" s="67" t="str">
        <f t="shared" si="39"/>
        <v>NA</v>
      </c>
      <c r="C769" t="str">
        <f t="shared" si="40"/>
        <v>NA</v>
      </c>
      <c r="D769" s="64" t="e">
        <f t="shared" si="41"/>
        <v>#VALUE!</v>
      </c>
      <c r="E769" s="64" t="e">
        <f>Tableau7[[#This Row],[Mensualité]]-Tableau7[[#This Row],[Intérêts]]</f>
        <v>#VALUE!</v>
      </c>
      <c r="F769" s="64" t="e">
        <f>$G$4-Tableau7[[#This Row],[Mensualité]]-Tableau7[[#This Row],[Intérêts]]</f>
        <v>#VALUE!</v>
      </c>
    </row>
    <row r="770" spans="2:6" x14ac:dyDescent="0.25">
      <c r="B770" s="67" t="str">
        <f t="shared" si="39"/>
        <v>NA</v>
      </c>
      <c r="C770" t="str">
        <f t="shared" si="40"/>
        <v>NA</v>
      </c>
      <c r="D770" s="64" t="e">
        <f t="shared" si="41"/>
        <v>#VALUE!</v>
      </c>
      <c r="E770" s="64" t="e">
        <f>Tableau7[[#This Row],[Mensualité]]-Tableau7[[#This Row],[Intérêts]]</f>
        <v>#VALUE!</v>
      </c>
      <c r="F770" s="64" t="e">
        <f>$G$4-Tableau7[[#This Row],[Mensualité]]-Tableau7[[#This Row],[Intérêts]]</f>
        <v>#VALUE!</v>
      </c>
    </row>
    <row r="771" spans="2:6" x14ac:dyDescent="0.25">
      <c r="B771" s="67" t="str">
        <f t="shared" si="39"/>
        <v>NA</v>
      </c>
      <c r="C771" t="str">
        <f t="shared" si="40"/>
        <v>NA</v>
      </c>
      <c r="D771" s="64" t="e">
        <f t="shared" si="41"/>
        <v>#VALUE!</v>
      </c>
      <c r="E771" s="64" t="e">
        <f>Tableau7[[#This Row],[Mensualité]]-Tableau7[[#This Row],[Intérêts]]</f>
        <v>#VALUE!</v>
      </c>
      <c r="F771" s="64" t="e">
        <f>$G$4-Tableau7[[#This Row],[Mensualité]]-Tableau7[[#This Row],[Intérêts]]</f>
        <v>#VALUE!</v>
      </c>
    </row>
    <row r="772" spans="2:6" x14ac:dyDescent="0.25">
      <c r="B772" s="67" t="str">
        <f t="shared" si="39"/>
        <v>NA</v>
      </c>
      <c r="C772" t="str">
        <f t="shared" si="40"/>
        <v>NA</v>
      </c>
      <c r="D772" s="64" t="e">
        <f t="shared" si="41"/>
        <v>#VALUE!</v>
      </c>
      <c r="E772" s="64" t="e">
        <f>Tableau7[[#This Row],[Mensualité]]-Tableau7[[#This Row],[Intérêts]]</f>
        <v>#VALUE!</v>
      </c>
      <c r="F772" s="64" t="e">
        <f>$G$4-Tableau7[[#This Row],[Mensualité]]-Tableau7[[#This Row],[Intérêts]]</f>
        <v>#VALUE!</v>
      </c>
    </row>
    <row r="773" spans="2:6" x14ac:dyDescent="0.25">
      <c r="B773" s="67" t="str">
        <f t="shared" si="39"/>
        <v>NA</v>
      </c>
      <c r="C773" t="str">
        <f t="shared" si="40"/>
        <v>NA</v>
      </c>
      <c r="D773" s="64" t="e">
        <f t="shared" si="41"/>
        <v>#VALUE!</v>
      </c>
      <c r="E773" s="64" t="e">
        <f>Tableau7[[#This Row],[Mensualité]]-Tableau7[[#This Row],[Intérêts]]</f>
        <v>#VALUE!</v>
      </c>
      <c r="F773" s="64" t="e">
        <f>$G$4-Tableau7[[#This Row],[Mensualité]]-Tableau7[[#This Row],[Intérêts]]</f>
        <v>#VALUE!</v>
      </c>
    </row>
    <row r="774" spans="2:6" x14ac:dyDescent="0.25">
      <c r="B774" s="67" t="str">
        <f t="shared" si="39"/>
        <v>NA</v>
      </c>
      <c r="C774" t="str">
        <f t="shared" si="40"/>
        <v>NA</v>
      </c>
      <c r="D774" s="64" t="e">
        <f t="shared" si="41"/>
        <v>#VALUE!</v>
      </c>
      <c r="E774" s="64" t="e">
        <f>Tableau7[[#This Row],[Mensualité]]-Tableau7[[#This Row],[Intérêts]]</f>
        <v>#VALUE!</v>
      </c>
      <c r="F774" s="64" t="e">
        <f>$G$4-Tableau7[[#This Row],[Mensualité]]-Tableau7[[#This Row],[Intérêts]]</f>
        <v>#VALUE!</v>
      </c>
    </row>
    <row r="775" spans="2:6" x14ac:dyDescent="0.25">
      <c r="B775" s="67" t="str">
        <f t="shared" si="39"/>
        <v>NA</v>
      </c>
      <c r="C775" t="str">
        <f t="shared" si="40"/>
        <v>NA</v>
      </c>
      <c r="D775" s="64" t="e">
        <f t="shared" si="41"/>
        <v>#VALUE!</v>
      </c>
      <c r="E775" s="64" t="e">
        <f>Tableau7[[#This Row],[Mensualité]]-Tableau7[[#This Row],[Intérêts]]</f>
        <v>#VALUE!</v>
      </c>
      <c r="F775" s="64" t="e">
        <f>$G$4-Tableau7[[#This Row],[Mensualité]]-Tableau7[[#This Row],[Intérêts]]</f>
        <v>#VALUE!</v>
      </c>
    </row>
    <row r="776" spans="2:6" x14ac:dyDescent="0.25">
      <c r="B776" s="67" t="str">
        <f t="shared" si="39"/>
        <v>NA</v>
      </c>
      <c r="C776" t="str">
        <f t="shared" si="40"/>
        <v>NA</v>
      </c>
      <c r="D776" s="64" t="e">
        <f t="shared" si="41"/>
        <v>#VALUE!</v>
      </c>
      <c r="E776" s="64" t="e">
        <f>Tableau7[[#This Row],[Mensualité]]-Tableau7[[#This Row],[Intérêts]]</f>
        <v>#VALUE!</v>
      </c>
      <c r="F776" s="64" t="e">
        <f>$G$4-Tableau7[[#This Row],[Mensualité]]-Tableau7[[#This Row],[Intérêts]]</f>
        <v>#VALUE!</v>
      </c>
    </row>
    <row r="777" spans="2:6" x14ac:dyDescent="0.25">
      <c r="B777" s="67" t="str">
        <f t="shared" si="39"/>
        <v>NA</v>
      </c>
      <c r="C777" t="str">
        <f t="shared" si="40"/>
        <v>NA</v>
      </c>
      <c r="D777" s="64" t="e">
        <f t="shared" si="41"/>
        <v>#VALUE!</v>
      </c>
      <c r="E777" s="64" t="e">
        <f>Tableau7[[#This Row],[Mensualité]]-Tableau7[[#This Row],[Intérêts]]</f>
        <v>#VALUE!</v>
      </c>
      <c r="F777" s="64" t="e">
        <f>$G$4-Tableau7[[#This Row],[Mensualité]]-Tableau7[[#This Row],[Intérêts]]</f>
        <v>#VALUE!</v>
      </c>
    </row>
    <row r="778" spans="2:6" x14ac:dyDescent="0.25">
      <c r="B778" s="67" t="str">
        <f t="shared" si="39"/>
        <v>NA</v>
      </c>
      <c r="C778" t="str">
        <f t="shared" si="40"/>
        <v>NA</v>
      </c>
      <c r="D778" s="64" t="e">
        <f t="shared" si="41"/>
        <v>#VALUE!</v>
      </c>
      <c r="E778" s="64" t="e">
        <f>Tableau7[[#This Row],[Mensualité]]-Tableau7[[#This Row],[Intérêts]]</f>
        <v>#VALUE!</v>
      </c>
      <c r="F778" s="64" t="e">
        <f>$G$4-Tableau7[[#This Row],[Mensualité]]-Tableau7[[#This Row],[Intérêts]]</f>
        <v>#VALUE!</v>
      </c>
    </row>
    <row r="779" spans="2:6" x14ac:dyDescent="0.25">
      <c r="B779" s="67" t="str">
        <f t="shared" si="39"/>
        <v>NA</v>
      </c>
      <c r="C779" t="str">
        <f t="shared" si="40"/>
        <v>NA</v>
      </c>
      <c r="D779" s="64" t="e">
        <f t="shared" si="41"/>
        <v>#VALUE!</v>
      </c>
      <c r="E779" s="64" t="e">
        <f>Tableau7[[#This Row],[Mensualité]]-Tableau7[[#This Row],[Intérêts]]</f>
        <v>#VALUE!</v>
      </c>
      <c r="F779" s="64" t="e">
        <f>$G$4-Tableau7[[#This Row],[Mensualité]]-Tableau7[[#This Row],[Intérêts]]</f>
        <v>#VALUE!</v>
      </c>
    </row>
    <row r="780" spans="2:6" x14ac:dyDescent="0.25">
      <c r="B780" s="67" t="str">
        <f t="shared" si="39"/>
        <v>NA</v>
      </c>
      <c r="C780" t="str">
        <f t="shared" si="40"/>
        <v>NA</v>
      </c>
      <c r="D780" s="64" t="e">
        <f t="shared" si="41"/>
        <v>#VALUE!</v>
      </c>
      <c r="E780" s="64" t="e">
        <f>Tableau7[[#This Row],[Mensualité]]-Tableau7[[#This Row],[Intérêts]]</f>
        <v>#VALUE!</v>
      </c>
      <c r="F780" s="64" t="e">
        <f>$G$4-Tableau7[[#This Row],[Mensualité]]-Tableau7[[#This Row],[Intérêts]]</f>
        <v>#VALUE!</v>
      </c>
    </row>
    <row r="781" spans="2:6" x14ac:dyDescent="0.25">
      <c r="B781" s="67" t="str">
        <f t="shared" si="39"/>
        <v>NA</v>
      </c>
      <c r="C781" t="str">
        <f t="shared" si="40"/>
        <v>NA</v>
      </c>
      <c r="D781" s="64" t="e">
        <f t="shared" si="41"/>
        <v>#VALUE!</v>
      </c>
      <c r="E781" s="64" t="e">
        <f>Tableau7[[#This Row],[Mensualité]]-Tableau7[[#This Row],[Intérêts]]</f>
        <v>#VALUE!</v>
      </c>
      <c r="F781" s="64" t="e">
        <f>$G$4-Tableau7[[#This Row],[Mensualité]]-Tableau7[[#This Row],[Intérêts]]</f>
        <v>#VALUE!</v>
      </c>
    </row>
    <row r="782" spans="2:6" x14ac:dyDescent="0.25">
      <c r="B782" s="67" t="str">
        <f t="shared" si="39"/>
        <v>NA</v>
      </c>
      <c r="C782" t="str">
        <f t="shared" si="40"/>
        <v>NA</v>
      </c>
      <c r="D782" s="64" t="e">
        <f t="shared" si="41"/>
        <v>#VALUE!</v>
      </c>
      <c r="E782" s="64" t="e">
        <f>Tableau7[[#This Row],[Mensualité]]-Tableau7[[#This Row],[Intérêts]]</f>
        <v>#VALUE!</v>
      </c>
      <c r="F782" s="64" t="e">
        <f>$G$4-Tableau7[[#This Row],[Mensualité]]-Tableau7[[#This Row],[Intérêts]]</f>
        <v>#VALUE!</v>
      </c>
    </row>
    <row r="783" spans="2:6" x14ac:dyDescent="0.25">
      <c r="B783" s="67" t="str">
        <f t="shared" si="39"/>
        <v>NA</v>
      </c>
      <c r="C783" t="str">
        <f t="shared" si="40"/>
        <v>NA</v>
      </c>
      <c r="D783" s="64" t="e">
        <f t="shared" si="41"/>
        <v>#VALUE!</v>
      </c>
      <c r="E783" s="64" t="e">
        <f>Tableau7[[#This Row],[Mensualité]]-Tableau7[[#This Row],[Intérêts]]</f>
        <v>#VALUE!</v>
      </c>
      <c r="F783" s="64" t="e">
        <f>$G$4-Tableau7[[#This Row],[Mensualité]]-Tableau7[[#This Row],[Intérêts]]</f>
        <v>#VALUE!</v>
      </c>
    </row>
    <row r="784" spans="2:6" x14ac:dyDescent="0.25">
      <c r="B784" s="67" t="str">
        <f t="shared" si="39"/>
        <v>NA</v>
      </c>
      <c r="C784" t="str">
        <f t="shared" si="40"/>
        <v>NA</v>
      </c>
      <c r="D784" s="64" t="e">
        <f t="shared" si="41"/>
        <v>#VALUE!</v>
      </c>
      <c r="E784" s="64" t="e">
        <f>Tableau7[[#This Row],[Mensualité]]-Tableau7[[#This Row],[Intérêts]]</f>
        <v>#VALUE!</v>
      </c>
      <c r="F784" s="64" t="e">
        <f>$G$4-Tableau7[[#This Row],[Mensualité]]-Tableau7[[#This Row],[Intérêts]]</f>
        <v>#VALUE!</v>
      </c>
    </row>
    <row r="785" spans="2:6" x14ac:dyDescent="0.25">
      <c r="B785" s="67" t="str">
        <f t="shared" si="39"/>
        <v>NA</v>
      </c>
      <c r="C785" t="str">
        <f t="shared" si="40"/>
        <v>NA</v>
      </c>
      <c r="D785" s="64" t="e">
        <f t="shared" si="41"/>
        <v>#VALUE!</v>
      </c>
      <c r="E785" s="64" t="e">
        <f>Tableau7[[#This Row],[Mensualité]]-Tableau7[[#This Row],[Intérêts]]</f>
        <v>#VALUE!</v>
      </c>
      <c r="F785" s="64" t="e">
        <f>$G$4-Tableau7[[#This Row],[Mensualité]]-Tableau7[[#This Row],[Intérêts]]</f>
        <v>#VALUE!</v>
      </c>
    </row>
    <row r="786" spans="2:6" x14ac:dyDescent="0.25">
      <c r="B786" s="67" t="str">
        <f t="shared" si="39"/>
        <v>NA</v>
      </c>
      <c r="C786" t="str">
        <f t="shared" si="40"/>
        <v>NA</v>
      </c>
      <c r="D786" s="64" t="e">
        <f t="shared" si="41"/>
        <v>#VALUE!</v>
      </c>
      <c r="E786" s="64" t="e">
        <f>Tableau7[[#This Row],[Mensualité]]-Tableau7[[#This Row],[Intérêts]]</f>
        <v>#VALUE!</v>
      </c>
      <c r="F786" s="64" t="e">
        <f>$G$4-Tableau7[[#This Row],[Mensualité]]-Tableau7[[#This Row],[Intérêts]]</f>
        <v>#VALUE!</v>
      </c>
    </row>
    <row r="787" spans="2:6" x14ac:dyDescent="0.25">
      <c r="B787" s="67" t="str">
        <f t="shared" si="39"/>
        <v>NA</v>
      </c>
      <c r="C787" t="str">
        <f t="shared" si="40"/>
        <v>NA</v>
      </c>
      <c r="D787" s="64" t="e">
        <f t="shared" si="41"/>
        <v>#VALUE!</v>
      </c>
      <c r="E787" s="64" t="e">
        <f>Tableau7[[#This Row],[Mensualité]]-Tableau7[[#This Row],[Intérêts]]</f>
        <v>#VALUE!</v>
      </c>
      <c r="F787" s="64" t="e">
        <f>$G$4-Tableau7[[#This Row],[Mensualité]]-Tableau7[[#This Row],[Intérêts]]</f>
        <v>#VALUE!</v>
      </c>
    </row>
    <row r="788" spans="2:6" x14ac:dyDescent="0.25">
      <c r="B788" s="67" t="str">
        <f t="shared" si="39"/>
        <v>NA</v>
      </c>
      <c r="C788" t="str">
        <f t="shared" si="40"/>
        <v>NA</v>
      </c>
      <c r="D788" s="64" t="e">
        <f t="shared" si="41"/>
        <v>#VALUE!</v>
      </c>
      <c r="E788" s="64" t="e">
        <f>Tableau7[[#This Row],[Mensualité]]-Tableau7[[#This Row],[Intérêts]]</f>
        <v>#VALUE!</v>
      </c>
      <c r="F788" s="64" t="e">
        <f>$G$4-Tableau7[[#This Row],[Mensualité]]-Tableau7[[#This Row],[Intérêts]]</f>
        <v>#VALUE!</v>
      </c>
    </row>
    <row r="789" spans="2:6" x14ac:dyDescent="0.25">
      <c r="B789" s="67" t="str">
        <f t="shared" si="39"/>
        <v>NA</v>
      </c>
      <c r="C789" t="str">
        <f t="shared" si="40"/>
        <v>NA</v>
      </c>
      <c r="D789" s="64" t="e">
        <f t="shared" si="41"/>
        <v>#VALUE!</v>
      </c>
      <c r="E789" s="64" t="e">
        <f>Tableau7[[#This Row],[Mensualité]]-Tableau7[[#This Row],[Intérêts]]</f>
        <v>#VALUE!</v>
      </c>
      <c r="F789" s="64" t="e">
        <f>$G$4-Tableau7[[#This Row],[Mensualité]]-Tableau7[[#This Row],[Intérêts]]</f>
        <v>#VALUE!</v>
      </c>
    </row>
    <row r="790" spans="2:6" x14ac:dyDescent="0.25">
      <c r="B790" s="67" t="str">
        <f t="shared" si="39"/>
        <v>NA</v>
      </c>
      <c r="C790" t="str">
        <f t="shared" si="40"/>
        <v>NA</v>
      </c>
      <c r="D790" s="64" t="e">
        <f t="shared" si="41"/>
        <v>#VALUE!</v>
      </c>
      <c r="E790" s="64" t="e">
        <f>Tableau7[[#This Row],[Mensualité]]-Tableau7[[#This Row],[Intérêts]]</f>
        <v>#VALUE!</v>
      </c>
      <c r="F790" s="64" t="e">
        <f>$G$4-Tableau7[[#This Row],[Mensualité]]-Tableau7[[#This Row],[Intérêts]]</f>
        <v>#VALUE!</v>
      </c>
    </row>
    <row r="791" spans="2:6" x14ac:dyDescent="0.25">
      <c r="B791" s="67" t="str">
        <f t="shared" si="39"/>
        <v>NA</v>
      </c>
      <c r="C791" t="str">
        <f t="shared" si="40"/>
        <v>NA</v>
      </c>
      <c r="D791" s="64" t="e">
        <f t="shared" si="41"/>
        <v>#VALUE!</v>
      </c>
      <c r="E791" s="64" t="e">
        <f>Tableau7[[#This Row],[Mensualité]]-Tableau7[[#This Row],[Intérêts]]</f>
        <v>#VALUE!</v>
      </c>
      <c r="F791" s="64" t="e">
        <f>$G$4-Tableau7[[#This Row],[Mensualité]]-Tableau7[[#This Row],[Intérêts]]</f>
        <v>#VALUE!</v>
      </c>
    </row>
    <row r="792" spans="2:6" x14ac:dyDescent="0.25">
      <c r="B792" s="67" t="str">
        <f t="shared" si="39"/>
        <v>NA</v>
      </c>
      <c r="C792" t="str">
        <f t="shared" si="40"/>
        <v>NA</v>
      </c>
      <c r="D792" s="64" t="e">
        <f t="shared" si="41"/>
        <v>#VALUE!</v>
      </c>
      <c r="E792" s="64" t="e">
        <f>Tableau7[[#This Row],[Mensualité]]-Tableau7[[#This Row],[Intérêts]]</f>
        <v>#VALUE!</v>
      </c>
      <c r="F792" s="64" t="e">
        <f>$G$4-Tableau7[[#This Row],[Mensualité]]-Tableau7[[#This Row],[Intérêts]]</f>
        <v>#VALUE!</v>
      </c>
    </row>
    <row r="793" spans="2:6" x14ac:dyDescent="0.25">
      <c r="B793" s="67" t="str">
        <f t="shared" si="39"/>
        <v>NA</v>
      </c>
      <c r="C793" t="str">
        <f t="shared" si="40"/>
        <v>NA</v>
      </c>
      <c r="D793" s="64" t="e">
        <f t="shared" si="41"/>
        <v>#VALUE!</v>
      </c>
      <c r="E793" s="64" t="e">
        <f>Tableau7[[#This Row],[Mensualité]]-Tableau7[[#This Row],[Intérêts]]</f>
        <v>#VALUE!</v>
      </c>
      <c r="F793" s="64" t="e">
        <f>$G$4-Tableau7[[#This Row],[Mensualité]]-Tableau7[[#This Row],[Intérêts]]</f>
        <v>#VALUE!</v>
      </c>
    </row>
    <row r="794" spans="2:6" x14ac:dyDescent="0.25">
      <c r="B794" s="67" t="str">
        <f t="shared" si="39"/>
        <v>NA</v>
      </c>
      <c r="C794" t="str">
        <f t="shared" si="40"/>
        <v>NA</v>
      </c>
      <c r="D794" s="64" t="e">
        <f t="shared" si="41"/>
        <v>#VALUE!</v>
      </c>
      <c r="E794" s="64" t="e">
        <f>Tableau7[[#This Row],[Mensualité]]-Tableau7[[#This Row],[Intérêts]]</f>
        <v>#VALUE!</v>
      </c>
      <c r="F794" s="64" t="e">
        <f>$G$4-Tableau7[[#This Row],[Mensualité]]-Tableau7[[#This Row],[Intérêts]]</f>
        <v>#VALUE!</v>
      </c>
    </row>
    <row r="795" spans="2:6" x14ac:dyDescent="0.25">
      <c r="B795" s="67" t="str">
        <f t="shared" si="39"/>
        <v>NA</v>
      </c>
      <c r="C795" t="str">
        <f t="shared" si="40"/>
        <v>NA</v>
      </c>
      <c r="D795" s="64" t="e">
        <f t="shared" si="41"/>
        <v>#VALUE!</v>
      </c>
      <c r="E795" s="64" t="e">
        <f>Tableau7[[#This Row],[Mensualité]]-Tableau7[[#This Row],[Intérêts]]</f>
        <v>#VALUE!</v>
      </c>
      <c r="F795" s="64" t="e">
        <f>$G$4-Tableau7[[#This Row],[Mensualité]]-Tableau7[[#This Row],[Intérêts]]</f>
        <v>#VALUE!</v>
      </c>
    </row>
    <row r="796" spans="2:6" x14ac:dyDescent="0.25">
      <c r="B796" s="67" t="str">
        <f t="shared" si="39"/>
        <v>NA</v>
      </c>
      <c r="C796" t="str">
        <f t="shared" si="40"/>
        <v>NA</v>
      </c>
      <c r="D796" s="64" t="e">
        <f t="shared" si="41"/>
        <v>#VALUE!</v>
      </c>
      <c r="E796" s="64" t="e">
        <f>Tableau7[[#This Row],[Mensualité]]-Tableau7[[#This Row],[Intérêts]]</f>
        <v>#VALUE!</v>
      </c>
      <c r="F796" s="64" t="e">
        <f>$G$4-Tableau7[[#This Row],[Mensualité]]-Tableau7[[#This Row],[Intérêts]]</f>
        <v>#VALUE!</v>
      </c>
    </row>
    <row r="797" spans="2:6" x14ac:dyDescent="0.25">
      <c r="B797" s="67" t="str">
        <f t="shared" si="39"/>
        <v>NA</v>
      </c>
      <c r="C797" t="str">
        <f t="shared" si="40"/>
        <v>NA</v>
      </c>
      <c r="D797" s="64" t="e">
        <f t="shared" si="41"/>
        <v>#VALUE!</v>
      </c>
      <c r="E797" s="64" t="e">
        <f>Tableau7[[#This Row],[Mensualité]]-Tableau7[[#This Row],[Intérêts]]</f>
        <v>#VALUE!</v>
      </c>
      <c r="F797" s="64" t="e">
        <f>$G$4-Tableau7[[#This Row],[Mensualité]]-Tableau7[[#This Row],[Intérêts]]</f>
        <v>#VALUE!</v>
      </c>
    </row>
    <row r="798" spans="2:6" x14ac:dyDescent="0.25">
      <c r="B798" s="67" t="str">
        <f t="shared" si="39"/>
        <v>NA</v>
      </c>
      <c r="C798" t="str">
        <f t="shared" si="40"/>
        <v>NA</v>
      </c>
      <c r="D798" s="64" t="e">
        <f t="shared" si="41"/>
        <v>#VALUE!</v>
      </c>
      <c r="E798" s="64" t="e">
        <f>Tableau7[[#This Row],[Mensualité]]-Tableau7[[#This Row],[Intérêts]]</f>
        <v>#VALUE!</v>
      </c>
      <c r="F798" s="64" t="e">
        <f>$G$4-Tableau7[[#This Row],[Mensualité]]-Tableau7[[#This Row],[Intérêts]]</f>
        <v>#VALUE!</v>
      </c>
    </row>
    <row r="799" spans="2:6" x14ac:dyDescent="0.25">
      <c r="B799" s="67" t="str">
        <f t="shared" si="39"/>
        <v>NA</v>
      </c>
      <c r="C799" t="str">
        <f t="shared" si="40"/>
        <v>NA</v>
      </c>
      <c r="D799" s="64" t="e">
        <f t="shared" si="41"/>
        <v>#VALUE!</v>
      </c>
      <c r="E799" s="64" t="e">
        <f>Tableau7[[#This Row],[Mensualité]]-Tableau7[[#This Row],[Intérêts]]</f>
        <v>#VALUE!</v>
      </c>
      <c r="F799" s="64" t="e">
        <f>$G$4-Tableau7[[#This Row],[Mensualité]]-Tableau7[[#This Row],[Intérêts]]</f>
        <v>#VALUE!</v>
      </c>
    </row>
    <row r="800" spans="2:6" x14ac:dyDescent="0.25">
      <c r="B800" s="67" t="str">
        <f t="shared" si="39"/>
        <v>NA</v>
      </c>
      <c r="C800" t="str">
        <f t="shared" si="40"/>
        <v>NA</v>
      </c>
      <c r="D800" s="64" t="e">
        <f t="shared" si="41"/>
        <v>#VALUE!</v>
      </c>
      <c r="E800" s="64" t="e">
        <f>Tableau7[[#This Row],[Mensualité]]-Tableau7[[#This Row],[Intérêts]]</f>
        <v>#VALUE!</v>
      </c>
      <c r="F800" s="64" t="e">
        <f>$G$4-Tableau7[[#This Row],[Mensualité]]-Tableau7[[#This Row],[Intérêts]]</f>
        <v>#VALUE!</v>
      </c>
    </row>
    <row r="801" spans="2:6" x14ac:dyDescent="0.25">
      <c r="B801" s="67" t="str">
        <f t="shared" si="39"/>
        <v>NA</v>
      </c>
      <c r="C801" t="str">
        <f t="shared" si="40"/>
        <v>NA</v>
      </c>
      <c r="D801" s="64" t="e">
        <f t="shared" si="41"/>
        <v>#VALUE!</v>
      </c>
      <c r="E801" s="64" t="e">
        <f>Tableau7[[#This Row],[Mensualité]]-Tableau7[[#This Row],[Intérêts]]</f>
        <v>#VALUE!</v>
      </c>
      <c r="F801" s="64" t="e">
        <f>$G$4-Tableau7[[#This Row],[Mensualité]]-Tableau7[[#This Row],[Intérêts]]</f>
        <v>#VALUE!</v>
      </c>
    </row>
    <row r="802" spans="2:6" x14ac:dyDescent="0.25">
      <c r="B802" s="67" t="str">
        <f t="shared" si="39"/>
        <v>NA</v>
      </c>
      <c r="C802" t="str">
        <f t="shared" si="40"/>
        <v>NA</v>
      </c>
      <c r="D802" s="64" t="e">
        <f t="shared" si="41"/>
        <v>#VALUE!</v>
      </c>
      <c r="E802" s="64" t="e">
        <f>Tableau7[[#This Row],[Mensualité]]-Tableau7[[#This Row],[Intérêts]]</f>
        <v>#VALUE!</v>
      </c>
      <c r="F802" s="64" t="e">
        <f>$G$4-Tableau7[[#This Row],[Mensualité]]-Tableau7[[#This Row],[Intérêts]]</f>
        <v>#VALUE!</v>
      </c>
    </row>
    <row r="803" spans="2:6" x14ac:dyDescent="0.25">
      <c r="B803" s="67" t="str">
        <f t="shared" si="39"/>
        <v>NA</v>
      </c>
      <c r="C803" t="str">
        <f t="shared" si="40"/>
        <v>NA</v>
      </c>
      <c r="D803" s="64" t="e">
        <f t="shared" si="41"/>
        <v>#VALUE!</v>
      </c>
      <c r="E803" s="64" t="e">
        <f>Tableau7[[#This Row],[Mensualité]]-Tableau7[[#This Row],[Intérêts]]</f>
        <v>#VALUE!</v>
      </c>
      <c r="F803" s="64" t="e">
        <f>$G$4-Tableau7[[#This Row],[Mensualité]]-Tableau7[[#This Row],[Intérêts]]</f>
        <v>#VALUE!</v>
      </c>
    </row>
    <row r="804" spans="2:6" x14ac:dyDescent="0.25">
      <c r="B804" s="67" t="str">
        <f t="shared" si="39"/>
        <v>NA</v>
      </c>
      <c r="C804" t="str">
        <f t="shared" si="40"/>
        <v>NA</v>
      </c>
      <c r="D804" s="64" t="e">
        <f t="shared" si="41"/>
        <v>#VALUE!</v>
      </c>
      <c r="E804" s="64" t="e">
        <f>Tableau7[[#This Row],[Mensualité]]-Tableau7[[#This Row],[Intérêts]]</f>
        <v>#VALUE!</v>
      </c>
      <c r="F804" s="64" t="e">
        <f>$G$4-Tableau7[[#This Row],[Mensualité]]-Tableau7[[#This Row],[Intérêts]]</f>
        <v>#VALUE!</v>
      </c>
    </row>
    <row r="805" spans="2:6" x14ac:dyDescent="0.25">
      <c r="B805" s="67" t="str">
        <f t="shared" si="39"/>
        <v>NA</v>
      </c>
      <c r="C805" t="str">
        <f t="shared" si="40"/>
        <v>NA</v>
      </c>
      <c r="D805" s="64" t="e">
        <f t="shared" si="41"/>
        <v>#VALUE!</v>
      </c>
      <c r="E805" s="64" t="e">
        <f>Tableau7[[#This Row],[Mensualité]]-Tableau7[[#This Row],[Intérêts]]</f>
        <v>#VALUE!</v>
      </c>
      <c r="F805" s="64" t="e">
        <f>$G$4-Tableau7[[#This Row],[Mensualité]]-Tableau7[[#This Row],[Intérêts]]</f>
        <v>#VALUE!</v>
      </c>
    </row>
    <row r="806" spans="2:6" x14ac:dyDescent="0.25">
      <c r="B806" s="67" t="str">
        <f t="shared" si="39"/>
        <v>NA</v>
      </c>
      <c r="C806" t="str">
        <f t="shared" si="40"/>
        <v>NA</v>
      </c>
      <c r="D806" s="64" t="e">
        <f t="shared" si="41"/>
        <v>#VALUE!</v>
      </c>
      <c r="E806" s="64" t="e">
        <f>Tableau7[[#This Row],[Mensualité]]-Tableau7[[#This Row],[Intérêts]]</f>
        <v>#VALUE!</v>
      </c>
      <c r="F806" s="64" t="e">
        <f>$G$4-Tableau7[[#This Row],[Mensualité]]-Tableau7[[#This Row],[Intérêts]]</f>
        <v>#VALUE!</v>
      </c>
    </row>
    <row r="807" spans="2:6" x14ac:dyDescent="0.25">
      <c r="B807" s="67" t="str">
        <f t="shared" si="39"/>
        <v>NA</v>
      </c>
      <c r="C807" t="str">
        <f t="shared" si="40"/>
        <v>NA</v>
      </c>
      <c r="D807" s="64" t="e">
        <f t="shared" si="41"/>
        <v>#VALUE!</v>
      </c>
      <c r="E807" s="64" t="e">
        <f>Tableau7[[#This Row],[Mensualité]]-Tableau7[[#This Row],[Intérêts]]</f>
        <v>#VALUE!</v>
      </c>
      <c r="F807" s="64" t="e">
        <f>$G$4-Tableau7[[#This Row],[Mensualité]]-Tableau7[[#This Row],[Intérêts]]</f>
        <v>#VALUE!</v>
      </c>
    </row>
    <row r="808" spans="2:6" x14ac:dyDescent="0.25">
      <c r="B808" s="67" t="str">
        <f t="shared" si="39"/>
        <v>NA</v>
      </c>
      <c r="C808" t="str">
        <f t="shared" si="40"/>
        <v>NA</v>
      </c>
      <c r="D808" s="64" t="e">
        <f t="shared" si="41"/>
        <v>#VALUE!</v>
      </c>
      <c r="E808" s="64" t="e">
        <f>Tableau7[[#This Row],[Mensualité]]-Tableau7[[#This Row],[Intérêts]]</f>
        <v>#VALUE!</v>
      </c>
      <c r="F808" s="64" t="e">
        <f>$G$4-Tableau7[[#This Row],[Mensualité]]-Tableau7[[#This Row],[Intérêts]]</f>
        <v>#VALUE!</v>
      </c>
    </row>
    <row r="809" spans="2:6" x14ac:dyDescent="0.25">
      <c r="B809" s="67" t="str">
        <f t="shared" si="39"/>
        <v>NA</v>
      </c>
      <c r="C809" t="str">
        <f t="shared" si="40"/>
        <v>NA</v>
      </c>
      <c r="D809" s="64" t="e">
        <f t="shared" si="41"/>
        <v>#VALUE!</v>
      </c>
      <c r="E809" s="64" t="e">
        <f>Tableau7[[#This Row],[Mensualité]]-Tableau7[[#This Row],[Intérêts]]</f>
        <v>#VALUE!</v>
      </c>
      <c r="F809" s="64" t="e">
        <f>$G$4-Tableau7[[#This Row],[Mensualité]]-Tableau7[[#This Row],[Intérêts]]</f>
        <v>#VALUE!</v>
      </c>
    </row>
    <row r="810" spans="2:6" x14ac:dyDescent="0.25">
      <c r="B810" s="67" t="str">
        <f t="shared" si="39"/>
        <v>NA</v>
      </c>
      <c r="C810" t="str">
        <f t="shared" si="40"/>
        <v>NA</v>
      </c>
      <c r="D810" s="64" t="e">
        <f t="shared" si="41"/>
        <v>#VALUE!</v>
      </c>
      <c r="E810" s="64" t="e">
        <f>Tableau7[[#This Row],[Mensualité]]-Tableau7[[#This Row],[Intérêts]]</f>
        <v>#VALUE!</v>
      </c>
      <c r="F810" s="64" t="e">
        <f>$G$4-Tableau7[[#This Row],[Mensualité]]-Tableau7[[#This Row],[Intérêts]]</f>
        <v>#VALUE!</v>
      </c>
    </row>
    <row r="811" spans="2:6" x14ac:dyDescent="0.25">
      <c r="B811" s="67" t="str">
        <f t="shared" ref="B811:B874" si="42">$D$4</f>
        <v>NA</v>
      </c>
      <c r="C811" t="str">
        <f t="shared" ref="C811:C874" si="43">$H$4</f>
        <v>NA</v>
      </c>
      <c r="D811" s="64" t="e">
        <f t="shared" ref="D811:D874" si="44">G804*F804/12</f>
        <v>#VALUE!</v>
      </c>
      <c r="E811" s="64" t="e">
        <f>Tableau7[[#This Row],[Mensualité]]-Tableau7[[#This Row],[Intérêts]]</f>
        <v>#VALUE!</v>
      </c>
      <c r="F811" s="64" t="e">
        <f>$G$4-Tableau7[[#This Row],[Mensualité]]-Tableau7[[#This Row],[Intérêts]]</f>
        <v>#VALUE!</v>
      </c>
    </row>
    <row r="812" spans="2:6" x14ac:dyDescent="0.25">
      <c r="B812" s="67" t="str">
        <f t="shared" si="42"/>
        <v>NA</v>
      </c>
      <c r="C812" t="str">
        <f t="shared" si="43"/>
        <v>NA</v>
      </c>
      <c r="D812" s="64" t="e">
        <f t="shared" si="44"/>
        <v>#VALUE!</v>
      </c>
      <c r="E812" s="64" t="e">
        <f>Tableau7[[#This Row],[Mensualité]]-Tableau7[[#This Row],[Intérêts]]</f>
        <v>#VALUE!</v>
      </c>
      <c r="F812" s="64" t="e">
        <f>$G$4-Tableau7[[#This Row],[Mensualité]]-Tableau7[[#This Row],[Intérêts]]</f>
        <v>#VALUE!</v>
      </c>
    </row>
    <row r="813" spans="2:6" x14ac:dyDescent="0.25">
      <c r="B813" s="67" t="str">
        <f t="shared" si="42"/>
        <v>NA</v>
      </c>
      <c r="C813" t="str">
        <f t="shared" si="43"/>
        <v>NA</v>
      </c>
      <c r="D813" s="64" t="e">
        <f t="shared" si="44"/>
        <v>#VALUE!</v>
      </c>
      <c r="E813" s="64" t="e">
        <f>Tableau7[[#This Row],[Mensualité]]-Tableau7[[#This Row],[Intérêts]]</f>
        <v>#VALUE!</v>
      </c>
      <c r="F813" s="64" t="e">
        <f>$G$4-Tableau7[[#This Row],[Mensualité]]-Tableau7[[#This Row],[Intérêts]]</f>
        <v>#VALUE!</v>
      </c>
    </row>
    <row r="814" spans="2:6" x14ac:dyDescent="0.25">
      <c r="B814" s="67" t="str">
        <f t="shared" si="42"/>
        <v>NA</v>
      </c>
      <c r="C814" t="str">
        <f t="shared" si="43"/>
        <v>NA</v>
      </c>
      <c r="D814" s="64" t="e">
        <f t="shared" si="44"/>
        <v>#VALUE!</v>
      </c>
      <c r="E814" s="64" t="e">
        <f>Tableau7[[#This Row],[Mensualité]]-Tableau7[[#This Row],[Intérêts]]</f>
        <v>#VALUE!</v>
      </c>
      <c r="F814" s="64" t="e">
        <f>$G$4-Tableau7[[#This Row],[Mensualité]]-Tableau7[[#This Row],[Intérêts]]</f>
        <v>#VALUE!</v>
      </c>
    </row>
    <row r="815" spans="2:6" x14ac:dyDescent="0.25">
      <c r="B815" s="67" t="str">
        <f t="shared" si="42"/>
        <v>NA</v>
      </c>
      <c r="C815" t="str">
        <f t="shared" si="43"/>
        <v>NA</v>
      </c>
      <c r="D815" s="64" t="e">
        <f t="shared" si="44"/>
        <v>#VALUE!</v>
      </c>
      <c r="E815" s="64" t="e">
        <f>Tableau7[[#This Row],[Mensualité]]-Tableau7[[#This Row],[Intérêts]]</f>
        <v>#VALUE!</v>
      </c>
      <c r="F815" s="64" t="e">
        <f>$G$4-Tableau7[[#This Row],[Mensualité]]-Tableau7[[#This Row],[Intérêts]]</f>
        <v>#VALUE!</v>
      </c>
    </row>
    <row r="816" spans="2:6" x14ac:dyDescent="0.25">
      <c r="B816" s="67" t="str">
        <f t="shared" si="42"/>
        <v>NA</v>
      </c>
      <c r="C816" t="str">
        <f t="shared" si="43"/>
        <v>NA</v>
      </c>
      <c r="D816" s="64" t="e">
        <f t="shared" si="44"/>
        <v>#VALUE!</v>
      </c>
      <c r="E816" s="64" t="e">
        <f>Tableau7[[#This Row],[Mensualité]]-Tableau7[[#This Row],[Intérêts]]</f>
        <v>#VALUE!</v>
      </c>
      <c r="F816" s="64" t="e">
        <f>$G$4-Tableau7[[#This Row],[Mensualité]]-Tableau7[[#This Row],[Intérêts]]</f>
        <v>#VALUE!</v>
      </c>
    </row>
    <row r="817" spans="2:6" x14ac:dyDescent="0.25">
      <c r="B817" s="67" t="str">
        <f t="shared" si="42"/>
        <v>NA</v>
      </c>
      <c r="C817" t="str">
        <f t="shared" si="43"/>
        <v>NA</v>
      </c>
      <c r="D817" s="64" t="e">
        <f t="shared" si="44"/>
        <v>#VALUE!</v>
      </c>
      <c r="E817" s="64" t="e">
        <f>Tableau7[[#This Row],[Mensualité]]-Tableau7[[#This Row],[Intérêts]]</f>
        <v>#VALUE!</v>
      </c>
      <c r="F817" s="64" t="e">
        <f>$G$4-Tableau7[[#This Row],[Mensualité]]-Tableau7[[#This Row],[Intérêts]]</f>
        <v>#VALUE!</v>
      </c>
    </row>
    <row r="818" spans="2:6" x14ac:dyDescent="0.25">
      <c r="B818" s="67" t="str">
        <f t="shared" si="42"/>
        <v>NA</v>
      </c>
      <c r="C818" t="str">
        <f t="shared" si="43"/>
        <v>NA</v>
      </c>
      <c r="D818" s="64" t="e">
        <f t="shared" si="44"/>
        <v>#VALUE!</v>
      </c>
      <c r="E818" s="64" t="e">
        <f>Tableau7[[#This Row],[Mensualité]]-Tableau7[[#This Row],[Intérêts]]</f>
        <v>#VALUE!</v>
      </c>
      <c r="F818" s="64" t="e">
        <f>$G$4-Tableau7[[#This Row],[Mensualité]]-Tableau7[[#This Row],[Intérêts]]</f>
        <v>#VALUE!</v>
      </c>
    </row>
    <row r="819" spans="2:6" x14ac:dyDescent="0.25">
      <c r="B819" s="67" t="str">
        <f t="shared" si="42"/>
        <v>NA</v>
      </c>
      <c r="C819" t="str">
        <f t="shared" si="43"/>
        <v>NA</v>
      </c>
      <c r="D819" s="64" t="e">
        <f t="shared" si="44"/>
        <v>#VALUE!</v>
      </c>
      <c r="E819" s="64" t="e">
        <f>Tableau7[[#This Row],[Mensualité]]-Tableau7[[#This Row],[Intérêts]]</f>
        <v>#VALUE!</v>
      </c>
      <c r="F819" s="64" t="e">
        <f>$G$4-Tableau7[[#This Row],[Mensualité]]-Tableau7[[#This Row],[Intérêts]]</f>
        <v>#VALUE!</v>
      </c>
    </row>
    <row r="820" spans="2:6" x14ac:dyDescent="0.25">
      <c r="B820" s="67" t="str">
        <f t="shared" si="42"/>
        <v>NA</v>
      </c>
      <c r="C820" t="str">
        <f t="shared" si="43"/>
        <v>NA</v>
      </c>
      <c r="D820" s="64" t="e">
        <f t="shared" si="44"/>
        <v>#VALUE!</v>
      </c>
      <c r="E820" s="64" t="e">
        <f>Tableau7[[#This Row],[Mensualité]]-Tableau7[[#This Row],[Intérêts]]</f>
        <v>#VALUE!</v>
      </c>
      <c r="F820" s="64" t="e">
        <f>$G$4-Tableau7[[#This Row],[Mensualité]]-Tableau7[[#This Row],[Intérêts]]</f>
        <v>#VALUE!</v>
      </c>
    </row>
    <row r="821" spans="2:6" x14ac:dyDescent="0.25">
      <c r="B821" s="67" t="str">
        <f t="shared" si="42"/>
        <v>NA</v>
      </c>
      <c r="C821" t="str">
        <f t="shared" si="43"/>
        <v>NA</v>
      </c>
      <c r="D821" s="64" t="e">
        <f t="shared" si="44"/>
        <v>#VALUE!</v>
      </c>
      <c r="E821" s="64" t="e">
        <f>Tableau7[[#This Row],[Mensualité]]-Tableau7[[#This Row],[Intérêts]]</f>
        <v>#VALUE!</v>
      </c>
      <c r="F821" s="64" t="e">
        <f>$G$4-Tableau7[[#This Row],[Mensualité]]-Tableau7[[#This Row],[Intérêts]]</f>
        <v>#VALUE!</v>
      </c>
    </row>
    <row r="822" spans="2:6" x14ac:dyDescent="0.25">
      <c r="B822" s="67" t="str">
        <f t="shared" si="42"/>
        <v>NA</v>
      </c>
      <c r="C822" t="str">
        <f t="shared" si="43"/>
        <v>NA</v>
      </c>
      <c r="D822" s="64" t="e">
        <f t="shared" si="44"/>
        <v>#VALUE!</v>
      </c>
      <c r="E822" s="64" t="e">
        <f>Tableau7[[#This Row],[Mensualité]]-Tableau7[[#This Row],[Intérêts]]</f>
        <v>#VALUE!</v>
      </c>
      <c r="F822" s="64" t="e">
        <f>$G$4-Tableau7[[#This Row],[Mensualité]]-Tableau7[[#This Row],[Intérêts]]</f>
        <v>#VALUE!</v>
      </c>
    </row>
    <row r="823" spans="2:6" x14ac:dyDescent="0.25">
      <c r="B823" s="67" t="str">
        <f t="shared" si="42"/>
        <v>NA</v>
      </c>
      <c r="C823" t="str">
        <f t="shared" si="43"/>
        <v>NA</v>
      </c>
      <c r="D823" s="64" t="e">
        <f t="shared" si="44"/>
        <v>#VALUE!</v>
      </c>
      <c r="E823" s="64" t="e">
        <f>Tableau7[[#This Row],[Mensualité]]-Tableau7[[#This Row],[Intérêts]]</f>
        <v>#VALUE!</v>
      </c>
      <c r="F823" s="64" t="e">
        <f>$G$4-Tableau7[[#This Row],[Mensualité]]-Tableau7[[#This Row],[Intérêts]]</f>
        <v>#VALUE!</v>
      </c>
    </row>
    <row r="824" spans="2:6" x14ac:dyDescent="0.25">
      <c r="B824" s="67" t="str">
        <f t="shared" si="42"/>
        <v>NA</v>
      </c>
      <c r="C824" t="str">
        <f t="shared" si="43"/>
        <v>NA</v>
      </c>
      <c r="D824" s="64" t="e">
        <f t="shared" si="44"/>
        <v>#VALUE!</v>
      </c>
      <c r="E824" s="64" t="e">
        <f>Tableau7[[#This Row],[Mensualité]]-Tableau7[[#This Row],[Intérêts]]</f>
        <v>#VALUE!</v>
      </c>
      <c r="F824" s="64" t="e">
        <f>$G$4-Tableau7[[#This Row],[Mensualité]]-Tableau7[[#This Row],[Intérêts]]</f>
        <v>#VALUE!</v>
      </c>
    </row>
    <row r="825" spans="2:6" x14ac:dyDescent="0.25">
      <c r="B825" s="67" t="str">
        <f t="shared" si="42"/>
        <v>NA</v>
      </c>
      <c r="C825" t="str">
        <f t="shared" si="43"/>
        <v>NA</v>
      </c>
      <c r="D825" s="64" t="e">
        <f t="shared" si="44"/>
        <v>#VALUE!</v>
      </c>
      <c r="E825" s="64" t="e">
        <f>Tableau7[[#This Row],[Mensualité]]-Tableau7[[#This Row],[Intérêts]]</f>
        <v>#VALUE!</v>
      </c>
      <c r="F825" s="64" t="e">
        <f>$G$4-Tableau7[[#This Row],[Mensualité]]-Tableau7[[#This Row],[Intérêts]]</f>
        <v>#VALUE!</v>
      </c>
    </row>
    <row r="826" spans="2:6" x14ac:dyDescent="0.25">
      <c r="B826" s="67" t="str">
        <f t="shared" si="42"/>
        <v>NA</v>
      </c>
      <c r="C826" t="str">
        <f t="shared" si="43"/>
        <v>NA</v>
      </c>
      <c r="D826" s="64" t="e">
        <f t="shared" si="44"/>
        <v>#VALUE!</v>
      </c>
      <c r="E826" s="64" t="e">
        <f>Tableau7[[#This Row],[Mensualité]]-Tableau7[[#This Row],[Intérêts]]</f>
        <v>#VALUE!</v>
      </c>
      <c r="F826" s="64" t="e">
        <f>$G$4-Tableau7[[#This Row],[Mensualité]]-Tableau7[[#This Row],[Intérêts]]</f>
        <v>#VALUE!</v>
      </c>
    </row>
    <row r="827" spans="2:6" x14ac:dyDescent="0.25">
      <c r="B827" s="67" t="str">
        <f t="shared" si="42"/>
        <v>NA</v>
      </c>
      <c r="C827" t="str">
        <f t="shared" si="43"/>
        <v>NA</v>
      </c>
      <c r="D827" s="64" t="e">
        <f t="shared" si="44"/>
        <v>#VALUE!</v>
      </c>
      <c r="E827" s="64" t="e">
        <f>Tableau7[[#This Row],[Mensualité]]-Tableau7[[#This Row],[Intérêts]]</f>
        <v>#VALUE!</v>
      </c>
      <c r="F827" s="64" t="e">
        <f>$G$4-Tableau7[[#This Row],[Mensualité]]-Tableau7[[#This Row],[Intérêts]]</f>
        <v>#VALUE!</v>
      </c>
    </row>
    <row r="828" spans="2:6" x14ac:dyDescent="0.25">
      <c r="B828" s="67" t="str">
        <f t="shared" si="42"/>
        <v>NA</v>
      </c>
      <c r="C828" t="str">
        <f t="shared" si="43"/>
        <v>NA</v>
      </c>
      <c r="D828" s="64" t="e">
        <f t="shared" si="44"/>
        <v>#VALUE!</v>
      </c>
      <c r="E828" s="64" t="e">
        <f>Tableau7[[#This Row],[Mensualité]]-Tableau7[[#This Row],[Intérêts]]</f>
        <v>#VALUE!</v>
      </c>
      <c r="F828" s="64" t="e">
        <f>$G$4-Tableau7[[#This Row],[Mensualité]]-Tableau7[[#This Row],[Intérêts]]</f>
        <v>#VALUE!</v>
      </c>
    </row>
    <row r="829" spans="2:6" x14ac:dyDescent="0.25">
      <c r="B829" s="67" t="str">
        <f t="shared" si="42"/>
        <v>NA</v>
      </c>
      <c r="C829" t="str">
        <f t="shared" si="43"/>
        <v>NA</v>
      </c>
      <c r="D829" s="64" t="e">
        <f t="shared" si="44"/>
        <v>#VALUE!</v>
      </c>
      <c r="E829" s="64" t="e">
        <f>Tableau7[[#This Row],[Mensualité]]-Tableau7[[#This Row],[Intérêts]]</f>
        <v>#VALUE!</v>
      </c>
      <c r="F829" s="64" t="e">
        <f>$G$4-Tableau7[[#This Row],[Mensualité]]-Tableau7[[#This Row],[Intérêts]]</f>
        <v>#VALUE!</v>
      </c>
    </row>
    <row r="830" spans="2:6" x14ac:dyDescent="0.25">
      <c r="B830" s="67" t="str">
        <f t="shared" si="42"/>
        <v>NA</v>
      </c>
      <c r="C830" t="str">
        <f t="shared" si="43"/>
        <v>NA</v>
      </c>
      <c r="D830" s="64" t="e">
        <f t="shared" si="44"/>
        <v>#VALUE!</v>
      </c>
      <c r="E830" s="64" t="e">
        <f>Tableau7[[#This Row],[Mensualité]]-Tableau7[[#This Row],[Intérêts]]</f>
        <v>#VALUE!</v>
      </c>
      <c r="F830" s="64" t="e">
        <f>$G$4-Tableau7[[#This Row],[Mensualité]]-Tableau7[[#This Row],[Intérêts]]</f>
        <v>#VALUE!</v>
      </c>
    </row>
    <row r="831" spans="2:6" x14ac:dyDescent="0.25">
      <c r="B831" s="67" t="str">
        <f t="shared" si="42"/>
        <v>NA</v>
      </c>
      <c r="C831" t="str">
        <f t="shared" si="43"/>
        <v>NA</v>
      </c>
      <c r="D831" s="64" t="e">
        <f t="shared" si="44"/>
        <v>#VALUE!</v>
      </c>
      <c r="E831" s="64" t="e">
        <f>Tableau7[[#This Row],[Mensualité]]-Tableau7[[#This Row],[Intérêts]]</f>
        <v>#VALUE!</v>
      </c>
      <c r="F831" s="64" t="e">
        <f>$G$4-Tableau7[[#This Row],[Mensualité]]-Tableau7[[#This Row],[Intérêts]]</f>
        <v>#VALUE!</v>
      </c>
    </row>
    <row r="832" spans="2:6" x14ac:dyDescent="0.25">
      <c r="B832" s="67" t="str">
        <f t="shared" si="42"/>
        <v>NA</v>
      </c>
      <c r="C832" t="str">
        <f t="shared" si="43"/>
        <v>NA</v>
      </c>
      <c r="D832" s="64" t="e">
        <f t="shared" si="44"/>
        <v>#VALUE!</v>
      </c>
      <c r="E832" s="64" t="e">
        <f>Tableau7[[#This Row],[Mensualité]]-Tableau7[[#This Row],[Intérêts]]</f>
        <v>#VALUE!</v>
      </c>
      <c r="F832" s="64" t="e">
        <f>$G$4-Tableau7[[#This Row],[Mensualité]]-Tableau7[[#This Row],[Intérêts]]</f>
        <v>#VALUE!</v>
      </c>
    </row>
    <row r="833" spans="2:6" x14ac:dyDescent="0.25">
      <c r="B833" s="67" t="str">
        <f t="shared" si="42"/>
        <v>NA</v>
      </c>
      <c r="C833" t="str">
        <f t="shared" si="43"/>
        <v>NA</v>
      </c>
      <c r="D833" s="64" t="e">
        <f t="shared" si="44"/>
        <v>#VALUE!</v>
      </c>
      <c r="E833" s="64" t="e">
        <f>Tableau7[[#This Row],[Mensualité]]-Tableau7[[#This Row],[Intérêts]]</f>
        <v>#VALUE!</v>
      </c>
      <c r="F833" s="64" t="e">
        <f>$G$4-Tableau7[[#This Row],[Mensualité]]-Tableau7[[#This Row],[Intérêts]]</f>
        <v>#VALUE!</v>
      </c>
    </row>
    <row r="834" spans="2:6" x14ac:dyDescent="0.25">
      <c r="B834" s="67" t="str">
        <f t="shared" si="42"/>
        <v>NA</v>
      </c>
      <c r="C834" t="str">
        <f t="shared" si="43"/>
        <v>NA</v>
      </c>
      <c r="D834" s="64" t="e">
        <f t="shared" si="44"/>
        <v>#VALUE!</v>
      </c>
      <c r="E834" s="64" t="e">
        <f>Tableau7[[#This Row],[Mensualité]]-Tableau7[[#This Row],[Intérêts]]</f>
        <v>#VALUE!</v>
      </c>
      <c r="F834" s="64" t="e">
        <f>$G$4-Tableau7[[#This Row],[Mensualité]]-Tableau7[[#This Row],[Intérêts]]</f>
        <v>#VALUE!</v>
      </c>
    </row>
    <row r="835" spans="2:6" x14ac:dyDescent="0.25">
      <c r="B835" s="67" t="str">
        <f t="shared" si="42"/>
        <v>NA</v>
      </c>
      <c r="C835" t="str">
        <f t="shared" si="43"/>
        <v>NA</v>
      </c>
      <c r="D835" s="64" t="e">
        <f t="shared" si="44"/>
        <v>#VALUE!</v>
      </c>
      <c r="E835" s="64" t="e">
        <f>Tableau7[[#This Row],[Mensualité]]-Tableau7[[#This Row],[Intérêts]]</f>
        <v>#VALUE!</v>
      </c>
      <c r="F835" s="64" t="e">
        <f>$G$4-Tableau7[[#This Row],[Mensualité]]-Tableau7[[#This Row],[Intérêts]]</f>
        <v>#VALUE!</v>
      </c>
    </row>
    <row r="836" spans="2:6" x14ac:dyDescent="0.25">
      <c r="B836" s="67" t="str">
        <f t="shared" si="42"/>
        <v>NA</v>
      </c>
      <c r="C836" t="str">
        <f t="shared" si="43"/>
        <v>NA</v>
      </c>
      <c r="D836" s="64" t="e">
        <f t="shared" si="44"/>
        <v>#VALUE!</v>
      </c>
      <c r="E836" s="64" t="e">
        <f>Tableau7[[#This Row],[Mensualité]]-Tableau7[[#This Row],[Intérêts]]</f>
        <v>#VALUE!</v>
      </c>
      <c r="F836" s="64" t="e">
        <f>$G$4-Tableau7[[#This Row],[Mensualité]]-Tableau7[[#This Row],[Intérêts]]</f>
        <v>#VALUE!</v>
      </c>
    </row>
    <row r="837" spans="2:6" x14ac:dyDescent="0.25">
      <c r="B837" s="67" t="str">
        <f t="shared" si="42"/>
        <v>NA</v>
      </c>
      <c r="C837" t="str">
        <f t="shared" si="43"/>
        <v>NA</v>
      </c>
      <c r="D837" s="64" t="e">
        <f t="shared" si="44"/>
        <v>#VALUE!</v>
      </c>
      <c r="E837" s="64" t="e">
        <f>Tableau7[[#This Row],[Mensualité]]-Tableau7[[#This Row],[Intérêts]]</f>
        <v>#VALUE!</v>
      </c>
      <c r="F837" s="64" t="e">
        <f>$G$4-Tableau7[[#This Row],[Mensualité]]-Tableau7[[#This Row],[Intérêts]]</f>
        <v>#VALUE!</v>
      </c>
    </row>
    <row r="838" spans="2:6" x14ac:dyDescent="0.25">
      <c r="B838" s="67" t="str">
        <f t="shared" si="42"/>
        <v>NA</v>
      </c>
      <c r="C838" t="str">
        <f t="shared" si="43"/>
        <v>NA</v>
      </c>
      <c r="D838" s="64" t="e">
        <f t="shared" si="44"/>
        <v>#VALUE!</v>
      </c>
      <c r="E838" s="64" t="e">
        <f>Tableau7[[#This Row],[Mensualité]]-Tableau7[[#This Row],[Intérêts]]</f>
        <v>#VALUE!</v>
      </c>
      <c r="F838" s="64" t="e">
        <f>$G$4-Tableau7[[#This Row],[Mensualité]]-Tableau7[[#This Row],[Intérêts]]</f>
        <v>#VALUE!</v>
      </c>
    </row>
    <row r="839" spans="2:6" x14ac:dyDescent="0.25">
      <c r="B839" s="67" t="str">
        <f t="shared" si="42"/>
        <v>NA</v>
      </c>
      <c r="C839" t="str">
        <f t="shared" si="43"/>
        <v>NA</v>
      </c>
      <c r="D839" s="64" t="e">
        <f t="shared" si="44"/>
        <v>#VALUE!</v>
      </c>
      <c r="E839" s="64" t="e">
        <f>Tableau7[[#This Row],[Mensualité]]-Tableau7[[#This Row],[Intérêts]]</f>
        <v>#VALUE!</v>
      </c>
      <c r="F839" s="64" t="e">
        <f>$G$4-Tableau7[[#This Row],[Mensualité]]-Tableau7[[#This Row],[Intérêts]]</f>
        <v>#VALUE!</v>
      </c>
    </row>
    <row r="840" spans="2:6" x14ac:dyDescent="0.25">
      <c r="B840" s="67" t="str">
        <f t="shared" si="42"/>
        <v>NA</v>
      </c>
      <c r="C840" t="str">
        <f t="shared" si="43"/>
        <v>NA</v>
      </c>
      <c r="D840" s="64" t="e">
        <f t="shared" si="44"/>
        <v>#VALUE!</v>
      </c>
      <c r="E840" s="64" t="e">
        <f>Tableau7[[#This Row],[Mensualité]]-Tableau7[[#This Row],[Intérêts]]</f>
        <v>#VALUE!</v>
      </c>
      <c r="F840" s="64" t="e">
        <f>$G$4-Tableau7[[#This Row],[Mensualité]]-Tableau7[[#This Row],[Intérêts]]</f>
        <v>#VALUE!</v>
      </c>
    </row>
    <row r="841" spans="2:6" x14ac:dyDescent="0.25">
      <c r="B841" s="67" t="str">
        <f t="shared" si="42"/>
        <v>NA</v>
      </c>
      <c r="C841" t="str">
        <f t="shared" si="43"/>
        <v>NA</v>
      </c>
      <c r="D841" s="64" t="e">
        <f t="shared" si="44"/>
        <v>#VALUE!</v>
      </c>
      <c r="E841" s="64" t="e">
        <f>Tableau7[[#This Row],[Mensualité]]-Tableau7[[#This Row],[Intérêts]]</f>
        <v>#VALUE!</v>
      </c>
      <c r="F841" s="64" t="e">
        <f>$G$4-Tableau7[[#This Row],[Mensualité]]-Tableau7[[#This Row],[Intérêts]]</f>
        <v>#VALUE!</v>
      </c>
    </row>
    <row r="842" spans="2:6" x14ac:dyDescent="0.25">
      <c r="B842" s="67" t="str">
        <f t="shared" si="42"/>
        <v>NA</v>
      </c>
      <c r="C842" t="str">
        <f t="shared" si="43"/>
        <v>NA</v>
      </c>
      <c r="D842" s="64" t="e">
        <f t="shared" si="44"/>
        <v>#VALUE!</v>
      </c>
      <c r="E842" s="64" t="e">
        <f>Tableau7[[#This Row],[Mensualité]]-Tableau7[[#This Row],[Intérêts]]</f>
        <v>#VALUE!</v>
      </c>
      <c r="F842" s="64" t="e">
        <f>$G$4-Tableau7[[#This Row],[Mensualité]]-Tableau7[[#This Row],[Intérêts]]</f>
        <v>#VALUE!</v>
      </c>
    </row>
    <row r="843" spans="2:6" x14ac:dyDescent="0.25">
      <c r="B843" s="67" t="str">
        <f t="shared" si="42"/>
        <v>NA</v>
      </c>
      <c r="C843" t="str">
        <f t="shared" si="43"/>
        <v>NA</v>
      </c>
      <c r="D843" s="64" t="e">
        <f t="shared" si="44"/>
        <v>#VALUE!</v>
      </c>
      <c r="E843" s="64" t="e">
        <f>Tableau7[[#This Row],[Mensualité]]-Tableau7[[#This Row],[Intérêts]]</f>
        <v>#VALUE!</v>
      </c>
      <c r="F843" s="64" t="e">
        <f>$G$4-Tableau7[[#This Row],[Mensualité]]-Tableau7[[#This Row],[Intérêts]]</f>
        <v>#VALUE!</v>
      </c>
    </row>
    <row r="844" spans="2:6" x14ac:dyDescent="0.25">
      <c r="B844" s="67" t="str">
        <f t="shared" si="42"/>
        <v>NA</v>
      </c>
      <c r="C844" t="str">
        <f t="shared" si="43"/>
        <v>NA</v>
      </c>
      <c r="D844" s="64" t="e">
        <f t="shared" si="44"/>
        <v>#VALUE!</v>
      </c>
      <c r="E844" s="64" t="e">
        <f>Tableau7[[#This Row],[Mensualité]]-Tableau7[[#This Row],[Intérêts]]</f>
        <v>#VALUE!</v>
      </c>
      <c r="F844" s="64" t="e">
        <f>$G$4-Tableau7[[#This Row],[Mensualité]]-Tableau7[[#This Row],[Intérêts]]</f>
        <v>#VALUE!</v>
      </c>
    </row>
    <row r="845" spans="2:6" x14ac:dyDescent="0.25">
      <c r="B845" s="67" t="str">
        <f t="shared" si="42"/>
        <v>NA</v>
      </c>
      <c r="C845" t="str">
        <f t="shared" si="43"/>
        <v>NA</v>
      </c>
      <c r="D845" s="64" t="e">
        <f t="shared" si="44"/>
        <v>#VALUE!</v>
      </c>
      <c r="E845" s="64" t="e">
        <f>Tableau7[[#This Row],[Mensualité]]-Tableau7[[#This Row],[Intérêts]]</f>
        <v>#VALUE!</v>
      </c>
      <c r="F845" s="64" t="e">
        <f>$G$4-Tableau7[[#This Row],[Mensualité]]-Tableau7[[#This Row],[Intérêts]]</f>
        <v>#VALUE!</v>
      </c>
    </row>
    <row r="846" spans="2:6" x14ac:dyDescent="0.25">
      <c r="B846" s="67" t="str">
        <f t="shared" si="42"/>
        <v>NA</v>
      </c>
      <c r="C846" t="str">
        <f t="shared" si="43"/>
        <v>NA</v>
      </c>
      <c r="D846" s="64" t="e">
        <f t="shared" si="44"/>
        <v>#VALUE!</v>
      </c>
      <c r="E846" s="64" t="e">
        <f>Tableau7[[#This Row],[Mensualité]]-Tableau7[[#This Row],[Intérêts]]</f>
        <v>#VALUE!</v>
      </c>
      <c r="F846" s="64" t="e">
        <f>$G$4-Tableau7[[#This Row],[Mensualité]]-Tableau7[[#This Row],[Intérêts]]</f>
        <v>#VALUE!</v>
      </c>
    </row>
    <row r="847" spans="2:6" x14ac:dyDescent="0.25">
      <c r="B847" s="67" t="str">
        <f t="shared" si="42"/>
        <v>NA</v>
      </c>
      <c r="C847" t="str">
        <f t="shared" si="43"/>
        <v>NA</v>
      </c>
      <c r="D847" s="64" t="e">
        <f t="shared" si="44"/>
        <v>#VALUE!</v>
      </c>
      <c r="E847" s="64" t="e">
        <f>Tableau7[[#This Row],[Mensualité]]-Tableau7[[#This Row],[Intérêts]]</f>
        <v>#VALUE!</v>
      </c>
      <c r="F847" s="64" t="e">
        <f>$G$4-Tableau7[[#This Row],[Mensualité]]-Tableau7[[#This Row],[Intérêts]]</f>
        <v>#VALUE!</v>
      </c>
    </row>
    <row r="848" spans="2:6" x14ac:dyDescent="0.25">
      <c r="B848" s="67" t="str">
        <f t="shared" si="42"/>
        <v>NA</v>
      </c>
      <c r="C848" t="str">
        <f t="shared" si="43"/>
        <v>NA</v>
      </c>
      <c r="D848" s="64" t="e">
        <f t="shared" si="44"/>
        <v>#VALUE!</v>
      </c>
      <c r="E848" s="64" t="e">
        <f>Tableau7[[#This Row],[Mensualité]]-Tableau7[[#This Row],[Intérêts]]</f>
        <v>#VALUE!</v>
      </c>
      <c r="F848" s="64" t="e">
        <f>$G$4-Tableau7[[#This Row],[Mensualité]]-Tableau7[[#This Row],[Intérêts]]</f>
        <v>#VALUE!</v>
      </c>
    </row>
    <row r="849" spans="2:6" x14ac:dyDescent="0.25">
      <c r="B849" s="67" t="str">
        <f t="shared" si="42"/>
        <v>NA</v>
      </c>
      <c r="C849" t="str">
        <f t="shared" si="43"/>
        <v>NA</v>
      </c>
      <c r="D849" s="64" t="e">
        <f t="shared" si="44"/>
        <v>#VALUE!</v>
      </c>
      <c r="E849" s="64" t="e">
        <f>Tableau7[[#This Row],[Mensualité]]-Tableau7[[#This Row],[Intérêts]]</f>
        <v>#VALUE!</v>
      </c>
      <c r="F849" s="64" t="e">
        <f>$G$4-Tableau7[[#This Row],[Mensualité]]-Tableau7[[#This Row],[Intérêts]]</f>
        <v>#VALUE!</v>
      </c>
    </row>
    <row r="850" spans="2:6" x14ac:dyDescent="0.25">
      <c r="B850" s="67" t="str">
        <f t="shared" si="42"/>
        <v>NA</v>
      </c>
      <c r="C850" t="str">
        <f t="shared" si="43"/>
        <v>NA</v>
      </c>
      <c r="D850" s="64" t="e">
        <f t="shared" si="44"/>
        <v>#VALUE!</v>
      </c>
      <c r="E850" s="64" t="e">
        <f>Tableau7[[#This Row],[Mensualité]]-Tableau7[[#This Row],[Intérêts]]</f>
        <v>#VALUE!</v>
      </c>
      <c r="F850" s="64" t="e">
        <f>$G$4-Tableau7[[#This Row],[Mensualité]]-Tableau7[[#This Row],[Intérêts]]</f>
        <v>#VALUE!</v>
      </c>
    </row>
    <row r="851" spans="2:6" x14ac:dyDescent="0.25">
      <c r="B851" s="67" t="str">
        <f t="shared" si="42"/>
        <v>NA</v>
      </c>
      <c r="C851" t="str">
        <f t="shared" si="43"/>
        <v>NA</v>
      </c>
      <c r="D851" s="64" t="e">
        <f t="shared" si="44"/>
        <v>#VALUE!</v>
      </c>
      <c r="E851" s="64" t="e">
        <f>Tableau7[[#This Row],[Mensualité]]-Tableau7[[#This Row],[Intérêts]]</f>
        <v>#VALUE!</v>
      </c>
      <c r="F851" s="64" t="e">
        <f>$G$4-Tableau7[[#This Row],[Mensualité]]-Tableau7[[#This Row],[Intérêts]]</f>
        <v>#VALUE!</v>
      </c>
    </row>
    <row r="852" spans="2:6" x14ac:dyDescent="0.25">
      <c r="B852" s="67" t="str">
        <f t="shared" si="42"/>
        <v>NA</v>
      </c>
      <c r="C852" t="str">
        <f t="shared" si="43"/>
        <v>NA</v>
      </c>
      <c r="D852" s="64" t="e">
        <f t="shared" si="44"/>
        <v>#VALUE!</v>
      </c>
      <c r="E852" s="64" t="e">
        <f>Tableau7[[#This Row],[Mensualité]]-Tableau7[[#This Row],[Intérêts]]</f>
        <v>#VALUE!</v>
      </c>
      <c r="F852" s="64" t="e">
        <f>$G$4-Tableau7[[#This Row],[Mensualité]]-Tableau7[[#This Row],[Intérêts]]</f>
        <v>#VALUE!</v>
      </c>
    </row>
    <row r="853" spans="2:6" x14ac:dyDescent="0.25">
      <c r="B853" s="67" t="str">
        <f t="shared" si="42"/>
        <v>NA</v>
      </c>
      <c r="C853" t="str">
        <f t="shared" si="43"/>
        <v>NA</v>
      </c>
      <c r="D853" s="64" t="e">
        <f t="shared" si="44"/>
        <v>#VALUE!</v>
      </c>
      <c r="E853" s="64" t="e">
        <f>Tableau7[[#This Row],[Mensualité]]-Tableau7[[#This Row],[Intérêts]]</f>
        <v>#VALUE!</v>
      </c>
      <c r="F853" s="64" t="e">
        <f>$G$4-Tableau7[[#This Row],[Mensualité]]-Tableau7[[#This Row],[Intérêts]]</f>
        <v>#VALUE!</v>
      </c>
    </row>
    <row r="854" spans="2:6" x14ac:dyDescent="0.25">
      <c r="B854" s="67" t="str">
        <f t="shared" si="42"/>
        <v>NA</v>
      </c>
      <c r="C854" t="str">
        <f t="shared" si="43"/>
        <v>NA</v>
      </c>
      <c r="D854" s="64" t="e">
        <f t="shared" si="44"/>
        <v>#VALUE!</v>
      </c>
      <c r="E854" s="64" t="e">
        <f>Tableau7[[#This Row],[Mensualité]]-Tableau7[[#This Row],[Intérêts]]</f>
        <v>#VALUE!</v>
      </c>
      <c r="F854" s="64" t="e">
        <f>$G$4-Tableau7[[#This Row],[Mensualité]]-Tableau7[[#This Row],[Intérêts]]</f>
        <v>#VALUE!</v>
      </c>
    </row>
    <row r="855" spans="2:6" x14ac:dyDescent="0.25">
      <c r="B855" s="67" t="str">
        <f t="shared" si="42"/>
        <v>NA</v>
      </c>
      <c r="C855" t="str">
        <f t="shared" si="43"/>
        <v>NA</v>
      </c>
      <c r="D855" s="64" t="e">
        <f t="shared" si="44"/>
        <v>#VALUE!</v>
      </c>
      <c r="E855" s="64" t="e">
        <f>Tableau7[[#This Row],[Mensualité]]-Tableau7[[#This Row],[Intérêts]]</f>
        <v>#VALUE!</v>
      </c>
      <c r="F855" s="64" t="e">
        <f>$G$4-Tableau7[[#This Row],[Mensualité]]-Tableau7[[#This Row],[Intérêts]]</f>
        <v>#VALUE!</v>
      </c>
    </row>
    <row r="856" spans="2:6" x14ac:dyDescent="0.25">
      <c r="B856" s="67" t="str">
        <f t="shared" si="42"/>
        <v>NA</v>
      </c>
      <c r="C856" t="str">
        <f t="shared" si="43"/>
        <v>NA</v>
      </c>
      <c r="D856" s="64" t="e">
        <f t="shared" si="44"/>
        <v>#VALUE!</v>
      </c>
      <c r="E856" s="64" t="e">
        <f>Tableau7[[#This Row],[Mensualité]]-Tableau7[[#This Row],[Intérêts]]</f>
        <v>#VALUE!</v>
      </c>
      <c r="F856" s="64" t="e">
        <f>$G$4-Tableau7[[#This Row],[Mensualité]]-Tableau7[[#This Row],[Intérêts]]</f>
        <v>#VALUE!</v>
      </c>
    </row>
    <row r="857" spans="2:6" x14ac:dyDescent="0.25">
      <c r="B857" s="67" t="str">
        <f t="shared" si="42"/>
        <v>NA</v>
      </c>
      <c r="C857" t="str">
        <f t="shared" si="43"/>
        <v>NA</v>
      </c>
      <c r="D857" s="64" t="e">
        <f t="shared" si="44"/>
        <v>#VALUE!</v>
      </c>
      <c r="E857" s="64" t="e">
        <f>Tableau7[[#This Row],[Mensualité]]-Tableau7[[#This Row],[Intérêts]]</f>
        <v>#VALUE!</v>
      </c>
      <c r="F857" s="64" t="e">
        <f>$G$4-Tableau7[[#This Row],[Mensualité]]-Tableau7[[#This Row],[Intérêts]]</f>
        <v>#VALUE!</v>
      </c>
    </row>
    <row r="858" spans="2:6" x14ac:dyDescent="0.25">
      <c r="B858" s="67" t="str">
        <f t="shared" si="42"/>
        <v>NA</v>
      </c>
      <c r="C858" t="str">
        <f t="shared" si="43"/>
        <v>NA</v>
      </c>
      <c r="D858" s="64" t="e">
        <f t="shared" si="44"/>
        <v>#VALUE!</v>
      </c>
      <c r="E858" s="64" t="e">
        <f>Tableau7[[#This Row],[Mensualité]]-Tableau7[[#This Row],[Intérêts]]</f>
        <v>#VALUE!</v>
      </c>
      <c r="F858" s="64" t="e">
        <f>$G$4-Tableau7[[#This Row],[Mensualité]]-Tableau7[[#This Row],[Intérêts]]</f>
        <v>#VALUE!</v>
      </c>
    </row>
    <row r="859" spans="2:6" x14ac:dyDescent="0.25">
      <c r="B859" s="67" t="str">
        <f t="shared" si="42"/>
        <v>NA</v>
      </c>
      <c r="C859" t="str">
        <f t="shared" si="43"/>
        <v>NA</v>
      </c>
      <c r="D859" s="64" t="e">
        <f t="shared" si="44"/>
        <v>#VALUE!</v>
      </c>
      <c r="E859" s="64" t="e">
        <f>Tableau7[[#This Row],[Mensualité]]-Tableau7[[#This Row],[Intérêts]]</f>
        <v>#VALUE!</v>
      </c>
      <c r="F859" s="64" t="e">
        <f>$G$4-Tableau7[[#This Row],[Mensualité]]-Tableau7[[#This Row],[Intérêts]]</f>
        <v>#VALUE!</v>
      </c>
    </row>
    <row r="860" spans="2:6" x14ac:dyDescent="0.25">
      <c r="B860" s="67" t="str">
        <f t="shared" si="42"/>
        <v>NA</v>
      </c>
      <c r="C860" t="str">
        <f t="shared" si="43"/>
        <v>NA</v>
      </c>
      <c r="D860" s="64" t="e">
        <f t="shared" si="44"/>
        <v>#VALUE!</v>
      </c>
      <c r="E860" s="64" t="e">
        <f>Tableau7[[#This Row],[Mensualité]]-Tableau7[[#This Row],[Intérêts]]</f>
        <v>#VALUE!</v>
      </c>
      <c r="F860" s="64" t="e">
        <f>$G$4-Tableau7[[#This Row],[Mensualité]]-Tableau7[[#This Row],[Intérêts]]</f>
        <v>#VALUE!</v>
      </c>
    </row>
    <row r="861" spans="2:6" x14ac:dyDescent="0.25">
      <c r="B861" s="67" t="str">
        <f t="shared" si="42"/>
        <v>NA</v>
      </c>
      <c r="C861" t="str">
        <f t="shared" si="43"/>
        <v>NA</v>
      </c>
      <c r="D861" s="64" t="e">
        <f t="shared" si="44"/>
        <v>#VALUE!</v>
      </c>
      <c r="E861" s="64" t="e">
        <f>Tableau7[[#This Row],[Mensualité]]-Tableau7[[#This Row],[Intérêts]]</f>
        <v>#VALUE!</v>
      </c>
      <c r="F861" s="64" t="e">
        <f>$G$4-Tableau7[[#This Row],[Mensualité]]-Tableau7[[#This Row],[Intérêts]]</f>
        <v>#VALUE!</v>
      </c>
    </row>
    <row r="862" spans="2:6" x14ac:dyDescent="0.25">
      <c r="B862" s="67" t="str">
        <f t="shared" si="42"/>
        <v>NA</v>
      </c>
      <c r="C862" t="str">
        <f t="shared" si="43"/>
        <v>NA</v>
      </c>
      <c r="D862" s="64" t="e">
        <f t="shared" si="44"/>
        <v>#VALUE!</v>
      </c>
      <c r="E862" s="64" t="e">
        <f>Tableau7[[#This Row],[Mensualité]]-Tableau7[[#This Row],[Intérêts]]</f>
        <v>#VALUE!</v>
      </c>
      <c r="F862" s="64" t="e">
        <f>$G$4-Tableau7[[#This Row],[Mensualité]]-Tableau7[[#This Row],[Intérêts]]</f>
        <v>#VALUE!</v>
      </c>
    </row>
    <row r="863" spans="2:6" x14ac:dyDescent="0.25">
      <c r="B863" s="67" t="str">
        <f t="shared" si="42"/>
        <v>NA</v>
      </c>
      <c r="C863" t="str">
        <f t="shared" si="43"/>
        <v>NA</v>
      </c>
      <c r="D863" s="64" t="e">
        <f t="shared" si="44"/>
        <v>#VALUE!</v>
      </c>
      <c r="E863" s="64" t="e">
        <f>Tableau7[[#This Row],[Mensualité]]-Tableau7[[#This Row],[Intérêts]]</f>
        <v>#VALUE!</v>
      </c>
      <c r="F863" s="64" t="e">
        <f>$G$4-Tableau7[[#This Row],[Mensualité]]-Tableau7[[#This Row],[Intérêts]]</f>
        <v>#VALUE!</v>
      </c>
    </row>
    <row r="864" spans="2:6" x14ac:dyDescent="0.25">
      <c r="B864" s="67" t="str">
        <f t="shared" si="42"/>
        <v>NA</v>
      </c>
      <c r="C864" t="str">
        <f t="shared" si="43"/>
        <v>NA</v>
      </c>
      <c r="D864" s="64" t="e">
        <f t="shared" si="44"/>
        <v>#VALUE!</v>
      </c>
      <c r="E864" s="64" t="e">
        <f>Tableau7[[#This Row],[Mensualité]]-Tableau7[[#This Row],[Intérêts]]</f>
        <v>#VALUE!</v>
      </c>
      <c r="F864" s="64" t="e">
        <f>$G$4-Tableau7[[#This Row],[Mensualité]]-Tableau7[[#This Row],[Intérêts]]</f>
        <v>#VALUE!</v>
      </c>
    </row>
    <row r="865" spans="2:6" x14ac:dyDescent="0.25">
      <c r="B865" s="67" t="str">
        <f t="shared" si="42"/>
        <v>NA</v>
      </c>
      <c r="C865" t="str">
        <f t="shared" si="43"/>
        <v>NA</v>
      </c>
      <c r="D865" s="64" t="e">
        <f t="shared" si="44"/>
        <v>#VALUE!</v>
      </c>
      <c r="E865" s="64" t="e">
        <f>Tableau7[[#This Row],[Mensualité]]-Tableau7[[#This Row],[Intérêts]]</f>
        <v>#VALUE!</v>
      </c>
      <c r="F865" s="64" t="e">
        <f>$G$4-Tableau7[[#This Row],[Mensualité]]-Tableau7[[#This Row],[Intérêts]]</f>
        <v>#VALUE!</v>
      </c>
    </row>
    <row r="866" spans="2:6" x14ac:dyDescent="0.25">
      <c r="B866" s="67" t="str">
        <f t="shared" si="42"/>
        <v>NA</v>
      </c>
      <c r="C866" t="str">
        <f t="shared" si="43"/>
        <v>NA</v>
      </c>
      <c r="D866" s="64" t="e">
        <f t="shared" si="44"/>
        <v>#VALUE!</v>
      </c>
      <c r="E866" s="64" t="e">
        <f>Tableau7[[#This Row],[Mensualité]]-Tableau7[[#This Row],[Intérêts]]</f>
        <v>#VALUE!</v>
      </c>
      <c r="F866" s="64" t="e">
        <f>$G$4-Tableau7[[#This Row],[Mensualité]]-Tableau7[[#This Row],[Intérêts]]</f>
        <v>#VALUE!</v>
      </c>
    </row>
    <row r="867" spans="2:6" x14ac:dyDescent="0.25">
      <c r="B867" s="67" t="str">
        <f t="shared" si="42"/>
        <v>NA</v>
      </c>
      <c r="C867" t="str">
        <f t="shared" si="43"/>
        <v>NA</v>
      </c>
      <c r="D867" s="64" t="e">
        <f t="shared" si="44"/>
        <v>#VALUE!</v>
      </c>
      <c r="E867" s="64" t="e">
        <f>Tableau7[[#This Row],[Mensualité]]-Tableau7[[#This Row],[Intérêts]]</f>
        <v>#VALUE!</v>
      </c>
      <c r="F867" s="64" t="e">
        <f>$G$4-Tableau7[[#This Row],[Mensualité]]-Tableau7[[#This Row],[Intérêts]]</f>
        <v>#VALUE!</v>
      </c>
    </row>
    <row r="868" spans="2:6" x14ac:dyDescent="0.25">
      <c r="B868" s="67" t="str">
        <f t="shared" si="42"/>
        <v>NA</v>
      </c>
      <c r="C868" t="str">
        <f t="shared" si="43"/>
        <v>NA</v>
      </c>
      <c r="D868" s="64" t="e">
        <f t="shared" si="44"/>
        <v>#VALUE!</v>
      </c>
      <c r="E868" s="64" t="e">
        <f>Tableau7[[#This Row],[Mensualité]]-Tableau7[[#This Row],[Intérêts]]</f>
        <v>#VALUE!</v>
      </c>
      <c r="F868" s="64" t="e">
        <f>$G$4-Tableau7[[#This Row],[Mensualité]]-Tableau7[[#This Row],[Intérêts]]</f>
        <v>#VALUE!</v>
      </c>
    </row>
    <row r="869" spans="2:6" x14ac:dyDescent="0.25">
      <c r="B869" s="67" t="str">
        <f t="shared" si="42"/>
        <v>NA</v>
      </c>
      <c r="C869" t="str">
        <f t="shared" si="43"/>
        <v>NA</v>
      </c>
      <c r="D869" s="64" t="e">
        <f t="shared" si="44"/>
        <v>#VALUE!</v>
      </c>
      <c r="E869" s="64" t="e">
        <f>Tableau7[[#This Row],[Mensualité]]-Tableau7[[#This Row],[Intérêts]]</f>
        <v>#VALUE!</v>
      </c>
      <c r="F869" s="64" t="e">
        <f>$G$4-Tableau7[[#This Row],[Mensualité]]-Tableau7[[#This Row],[Intérêts]]</f>
        <v>#VALUE!</v>
      </c>
    </row>
    <row r="870" spans="2:6" x14ac:dyDescent="0.25">
      <c r="B870" s="67" t="str">
        <f t="shared" si="42"/>
        <v>NA</v>
      </c>
      <c r="C870" t="str">
        <f t="shared" si="43"/>
        <v>NA</v>
      </c>
      <c r="D870" s="64" t="e">
        <f t="shared" si="44"/>
        <v>#VALUE!</v>
      </c>
      <c r="E870" s="64" t="e">
        <f>Tableau7[[#This Row],[Mensualité]]-Tableau7[[#This Row],[Intérêts]]</f>
        <v>#VALUE!</v>
      </c>
      <c r="F870" s="64" t="e">
        <f>$G$4-Tableau7[[#This Row],[Mensualité]]-Tableau7[[#This Row],[Intérêts]]</f>
        <v>#VALUE!</v>
      </c>
    </row>
    <row r="871" spans="2:6" x14ac:dyDescent="0.25">
      <c r="B871" s="67" t="str">
        <f t="shared" si="42"/>
        <v>NA</v>
      </c>
      <c r="C871" t="str">
        <f t="shared" si="43"/>
        <v>NA</v>
      </c>
      <c r="D871" s="64" t="e">
        <f t="shared" si="44"/>
        <v>#VALUE!</v>
      </c>
      <c r="E871" s="64" t="e">
        <f>Tableau7[[#This Row],[Mensualité]]-Tableau7[[#This Row],[Intérêts]]</f>
        <v>#VALUE!</v>
      </c>
      <c r="F871" s="64" t="e">
        <f>$G$4-Tableau7[[#This Row],[Mensualité]]-Tableau7[[#This Row],[Intérêts]]</f>
        <v>#VALUE!</v>
      </c>
    </row>
    <row r="872" spans="2:6" x14ac:dyDescent="0.25">
      <c r="B872" s="67" t="str">
        <f t="shared" si="42"/>
        <v>NA</v>
      </c>
      <c r="C872" t="str">
        <f t="shared" si="43"/>
        <v>NA</v>
      </c>
      <c r="D872" s="64" t="e">
        <f t="shared" si="44"/>
        <v>#VALUE!</v>
      </c>
      <c r="E872" s="64" t="e">
        <f>Tableau7[[#This Row],[Mensualité]]-Tableau7[[#This Row],[Intérêts]]</f>
        <v>#VALUE!</v>
      </c>
      <c r="F872" s="64" t="e">
        <f>$G$4-Tableau7[[#This Row],[Mensualité]]-Tableau7[[#This Row],[Intérêts]]</f>
        <v>#VALUE!</v>
      </c>
    </row>
    <row r="873" spans="2:6" x14ac:dyDescent="0.25">
      <c r="B873" s="67" t="str">
        <f t="shared" si="42"/>
        <v>NA</v>
      </c>
      <c r="C873" t="str">
        <f t="shared" si="43"/>
        <v>NA</v>
      </c>
      <c r="D873" s="64" t="e">
        <f t="shared" si="44"/>
        <v>#VALUE!</v>
      </c>
      <c r="E873" s="64" t="e">
        <f>Tableau7[[#This Row],[Mensualité]]-Tableau7[[#This Row],[Intérêts]]</f>
        <v>#VALUE!</v>
      </c>
      <c r="F873" s="64" t="e">
        <f>$G$4-Tableau7[[#This Row],[Mensualité]]-Tableau7[[#This Row],[Intérêts]]</f>
        <v>#VALUE!</v>
      </c>
    </row>
    <row r="874" spans="2:6" x14ac:dyDescent="0.25">
      <c r="B874" s="67" t="str">
        <f t="shared" si="42"/>
        <v>NA</v>
      </c>
      <c r="C874" t="str">
        <f t="shared" si="43"/>
        <v>NA</v>
      </c>
      <c r="D874" s="64" t="e">
        <f t="shared" si="44"/>
        <v>#VALUE!</v>
      </c>
      <c r="E874" s="64" t="e">
        <f>Tableau7[[#This Row],[Mensualité]]-Tableau7[[#This Row],[Intérêts]]</f>
        <v>#VALUE!</v>
      </c>
      <c r="F874" s="64" t="e">
        <f>$G$4-Tableau7[[#This Row],[Mensualité]]-Tableau7[[#This Row],[Intérêts]]</f>
        <v>#VALUE!</v>
      </c>
    </row>
    <row r="875" spans="2:6" x14ac:dyDescent="0.25">
      <c r="B875" s="67" t="str">
        <f t="shared" ref="B875:B938" si="45">$D$4</f>
        <v>NA</v>
      </c>
      <c r="C875" t="str">
        <f t="shared" ref="C875:C938" si="46">$H$4</f>
        <v>NA</v>
      </c>
      <c r="D875" s="64" t="e">
        <f t="shared" ref="D875:D938" si="47">G868*F868/12</f>
        <v>#VALUE!</v>
      </c>
      <c r="E875" s="64" t="e">
        <f>Tableau7[[#This Row],[Mensualité]]-Tableau7[[#This Row],[Intérêts]]</f>
        <v>#VALUE!</v>
      </c>
      <c r="F875" s="64" t="e">
        <f>$G$4-Tableau7[[#This Row],[Mensualité]]-Tableau7[[#This Row],[Intérêts]]</f>
        <v>#VALUE!</v>
      </c>
    </row>
    <row r="876" spans="2:6" x14ac:dyDescent="0.25">
      <c r="B876" s="67" t="str">
        <f t="shared" si="45"/>
        <v>NA</v>
      </c>
      <c r="C876" t="str">
        <f t="shared" si="46"/>
        <v>NA</v>
      </c>
      <c r="D876" s="64" t="e">
        <f t="shared" si="47"/>
        <v>#VALUE!</v>
      </c>
      <c r="E876" s="64" t="e">
        <f>Tableau7[[#This Row],[Mensualité]]-Tableau7[[#This Row],[Intérêts]]</f>
        <v>#VALUE!</v>
      </c>
      <c r="F876" s="64" t="e">
        <f>$G$4-Tableau7[[#This Row],[Mensualité]]-Tableau7[[#This Row],[Intérêts]]</f>
        <v>#VALUE!</v>
      </c>
    </row>
    <row r="877" spans="2:6" x14ac:dyDescent="0.25">
      <c r="B877" s="67" t="str">
        <f t="shared" si="45"/>
        <v>NA</v>
      </c>
      <c r="C877" t="str">
        <f t="shared" si="46"/>
        <v>NA</v>
      </c>
      <c r="D877" s="64" t="e">
        <f t="shared" si="47"/>
        <v>#VALUE!</v>
      </c>
      <c r="E877" s="64" t="e">
        <f>Tableau7[[#This Row],[Mensualité]]-Tableau7[[#This Row],[Intérêts]]</f>
        <v>#VALUE!</v>
      </c>
      <c r="F877" s="64" t="e">
        <f>$G$4-Tableau7[[#This Row],[Mensualité]]-Tableau7[[#This Row],[Intérêts]]</f>
        <v>#VALUE!</v>
      </c>
    </row>
    <row r="878" spans="2:6" x14ac:dyDescent="0.25">
      <c r="B878" s="67" t="str">
        <f t="shared" si="45"/>
        <v>NA</v>
      </c>
      <c r="C878" t="str">
        <f t="shared" si="46"/>
        <v>NA</v>
      </c>
      <c r="D878" s="64" t="e">
        <f t="shared" si="47"/>
        <v>#VALUE!</v>
      </c>
      <c r="E878" s="64" t="e">
        <f>Tableau7[[#This Row],[Mensualité]]-Tableau7[[#This Row],[Intérêts]]</f>
        <v>#VALUE!</v>
      </c>
      <c r="F878" s="64" t="e">
        <f>$G$4-Tableau7[[#This Row],[Mensualité]]-Tableau7[[#This Row],[Intérêts]]</f>
        <v>#VALUE!</v>
      </c>
    </row>
    <row r="879" spans="2:6" x14ac:dyDescent="0.25">
      <c r="B879" s="67" t="str">
        <f t="shared" si="45"/>
        <v>NA</v>
      </c>
      <c r="C879" t="str">
        <f t="shared" si="46"/>
        <v>NA</v>
      </c>
      <c r="D879" s="64" t="e">
        <f t="shared" si="47"/>
        <v>#VALUE!</v>
      </c>
      <c r="E879" s="64" t="e">
        <f>Tableau7[[#This Row],[Mensualité]]-Tableau7[[#This Row],[Intérêts]]</f>
        <v>#VALUE!</v>
      </c>
      <c r="F879" s="64" t="e">
        <f>$G$4-Tableau7[[#This Row],[Mensualité]]-Tableau7[[#This Row],[Intérêts]]</f>
        <v>#VALUE!</v>
      </c>
    </row>
    <row r="880" spans="2:6" x14ac:dyDescent="0.25">
      <c r="B880" s="67" t="str">
        <f t="shared" si="45"/>
        <v>NA</v>
      </c>
      <c r="C880" t="str">
        <f t="shared" si="46"/>
        <v>NA</v>
      </c>
      <c r="D880" s="64" t="e">
        <f t="shared" si="47"/>
        <v>#VALUE!</v>
      </c>
      <c r="E880" s="64" t="e">
        <f>Tableau7[[#This Row],[Mensualité]]-Tableau7[[#This Row],[Intérêts]]</f>
        <v>#VALUE!</v>
      </c>
      <c r="F880" s="64" t="e">
        <f>$G$4-Tableau7[[#This Row],[Mensualité]]-Tableau7[[#This Row],[Intérêts]]</f>
        <v>#VALUE!</v>
      </c>
    </row>
    <row r="881" spans="2:6" x14ac:dyDescent="0.25">
      <c r="B881" s="67" t="str">
        <f t="shared" si="45"/>
        <v>NA</v>
      </c>
      <c r="C881" t="str">
        <f t="shared" si="46"/>
        <v>NA</v>
      </c>
      <c r="D881" s="64" t="e">
        <f t="shared" si="47"/>
        <v>#VALUE!</v>
      </c>
      <c r="E881" s="64" t="e">
        <f>Tableau7[[#This Row],[Mensualité]]-Tableau7[[#This Row],[Intérêts]]</f>
        <v>#VALUE!</v>
      </c>
      <c r="F881" s="64" t="e">
        <f>$G$4-Tableau7[[#This Row],[Mensualité]]-Tableau7[[#This Row],[Intérêts]]</f>
        <v>#VALUE!</v>
      </c>
    </row>
    <row r="882" spans="2:6" x14ac:dyDescent="0.25">
      <c r="B882" s="67" t="str">
        <f t="shared" si="45"/>
        <v>NA</v>
      </c>
      <c r="C882" t="str">
        <f t="shared" si="46"/>
        <v>NA</v>
      </c>
      <c r="D882" s="64" t="e">
        <f t="shared" si="47"/>
        <v>#VALUE!</v>
      </c>
      <c r="E882" s="64" t="e">
        <f>Tableau7[[#This Row],[Mensualité]]-Tableau7[[#This Row],[Intérêts]]</f>
        <v>#VALUE!</v>
      </c>
      <c r="F882" s="64" t="e">
        <f>$G$4-Tableau7[[#This Row],[Mensualité]]-Tableau7[[#This Row],[Intérêts]]</f>
        <v>#VALUE!</v>
      </c>
    </row>
    <row r="883" spans="2:6" x14ac:dyDescent="0.25">
      <c r="B883" s="67" t="str">
        <f t="shared" si="45"/>
        <v>NA</v>
      </c>
      <c r="C883" t="str">
        <f t="shared" si="46"/>
        <v>NA</v>
      </c>
      <c r="D883" s="64" t="e">
        <f t="shared" si="47"/>
        <v>#VALUE!</v>
      </c>
      <c r="E883" s="64" t="e">
        <f>Tableau7[[#This Row],[Mensualité]]-Tableau7[[#This Row],[Intérêts]]</f>
        <v>#VALUE!</v>
      </c>
      <c r="F883" s="64" t="e">
        <f>$G$4-Tableau7[[#This Row],[Mensualité]]-Tableau7[[#This Row],[Intérêts]]</f>
        <v>#VALUE!</v>
      </c>
    </row>
    <row r="884" spans="2:6" x14ac:dyDescent="0.25">
      <c r="B884" s="67" t="str">
        <f t="shared" si="45"/>
        <v>NA</v>
      </c>
      <c r="C884" t="str">
        <f t="shared" si="46"/>
        <v>NA</v>
      </c>
      <c r="D884" s="64" t="e">
        <f t="shared" si="47"/>
        <v>#VALUE!</v>
      </c>
      <c r="E884" s="64" t="e">
        <f>Tableau7[[#This Row],[Mensualité]]-Tableau7[[#This Row],[Intérêts]]</f>
        <v>#VALUE!</v>
      </c>
      <c r="F884" s="64" t="e">
        <f>$G$4-Tableau7[[#This Row],[Mensualité]]-Tableau7[[#This Row],[Intérêts]]</f>
        <v>#VALUE!</v>
      </c>
    </row>
    <row r="885" spans="2:6" x14ac:dyDescent="0.25">
      <c r="B885" s="67" t="str">
        <f t="shared" si="45"/>
        <v>NA</v>
      </c>
      <c r="C885" t="str">
        <f t="shared" si="46"/>
        <v>NA</v>
      </c>
      <c r="D885" s="64" t="e">
        <f t="shared" si="47"/>
        <v>#VALUE!</v>
      </c>
      <c r="E885" s="64" t="e">
        <f>Tableau7[[#This Row],[Mensualité]]-Tableau7[[#This Row],[Intérêts]]</f>
        <v>#VALUE!</v>
      </c>
      <c r="F885" s="64" t="e">
        <f>$G$4-Tableau7[[#This Row],[Mensualité]]-Tableau7[[#This Row],[Intérêts]]</f>
        <v>#VALUE!</v>
      </c>
    </row>
    <row r="886" spans="2:6" x14ac:dyDescent="0.25">
      <c r="B886" s="67" t="str">
        <f t="shared" si="45"/>
        <v>NA</v>
      </c>
      <c r="C886" t="str">
        <f t="shared" si="46"/>
        <v>NA</v>
      </c>
      <c r="D886" s="64" t="e">
        <f t="shared" si="47"/>
        <v>#VALUE!</v>
      </c>
      <c r="E886" s="64" t="e">
        <f>Tableau7[[#This Row],[Mensualité]]-Tableau7[[#This Row],[Intérêts]]</f>
        <v>#VALUE!</v>
      </c>
      <c r="F886" s="64" t="e">
        <f>$G$4-Tableau7[[#This Row],[Mensualité]]-Tableau7[[#This Row],[Intérêts]]</f>
        <v>#VALUE!</v>
      </c>
    </row>
    <row r="887" spans="2:6" x14ac:dyDescent="0.25">
      <c r="B887" s="67" t="str">
        <f t="shared" si="45"/>
        <v>NA</v>
      </c>
      <c r="C887" t="str">
        <f t="shared" si="46"/>
        <v>NA</v>
      </c>
      <c r="D887" s="64" t="e">
        <f t="shared" si="47"/>
        <v>#VALUE!</v>
      </c>
      <c r="E887" s="64" t="e">
        <f>Tableau7[[#This Row],[Mensualité]]-Tableau7[[#This Row],[Intérêts]]</f>
        <v>#VALUE!</v>
      </c>
      <c r="F887" s="64" t="e">
        <f>$G$4-Tableau7[[#This Row],[Mensualité]]-Tableau7[[#This Row],[Intérêts]]</f>
        <v>#VALUE!</v>
      </c>
    </row>
    <row r="888" spans="2:6" x14ac:dyDescent="0.25">
      <c r="B888" s="67" t="str">
        <f t="shared" si="45"/>
        <v>NA</v>
      </c>
      <c r="C888" t="str">
        <f t="shared" si="46"/>
        <v>NA</v>
      </c>
      <c r="D888" s="64" t="e">
        <f t="shared" si="47"/>
        <v>#VALUE!</v>
      </c>
      <c r="E888" s="64" t="e">
        <f>Tableau7[[#This Row],[Mensualité]]-Tableau7[[#This Row],[Intérêts]]</f>
        <v>#VALUE!</v>
      </c>
      <c r="F888" s="64" t="e">
        <f>$G$4-Tableau7[[#This Row],[Mensualité]]-Tableau7[[#This Row],[Intérêts]]</f>
        <v>#VALUE!</v>
      </c>
    </row>
    <row r="889" spans="2:6" x14ac:dyDescent="0.25">
      <c r="B889" s="67" t="str">
        <f t="shared" si="45"/>
        <v>NA</v>
      </c>
      <c r="C889" t="str">
        <f t="shared" si="46"/>
        <v>NA</v>
      </c>
      <c r="D889" s="64" t="e">
        <f t="shared" si="47"/>
        <v>#VALUE!</v>
      </c>
      <c r="E889" s="64" t="e">
        <f>Tableau7[[#This Row],[Mensualité]]-Tableau7[[#This Row],[Intérêts]]</f>
        <v>#VALUE!</v>
      </c>
      <c r="F889" s="64" t="e">
        <f>$G$4-Tableau7[[#This Row],[Mensualité]]-Tableau7[[#This Row],[Intérêts]]</f>
        <v>#VALUE!</v>
      </c>
    </row>
    <row r="890" spans="2:6" x14ac:dyDescent="0.25">
      <c r="B890" s="67" t="str">
        <f t="shared" si="45"/>
        <v>NA</v>
      </c>
      <c r="C890" t="str">
        <f t="shared" si="46"/>
        <v>NA</v>
      </c>
      <c r="D890" s="64" t="e">
        <f t="shared" si="47"/>
        <v>#VALUE!</v>
      </c>
      <c r="E890" s="64" t="e">
        <f>Tableau7[[#This Row],[Mensualité]]-Tableau7[[#This Row],[Intérêts]]</f>
        <v>#VALUE!</v>
      </c>
      <c r="F890" s="64" t="e">
        <f>$G$4-Tableau7[[#This Row],[Mensualité]]-Tableau7[[#This Row],[Intérêts]]</f>
        <v>#VALUE!</v>
      </c>
    </row>
    <row r="891" spans="2:6" x14ac:dyDescent="0.25">
      <c r="B891" s="67" t="str">
        <f t="shared" si="45"/>
        <v>NA</v>
      </c>
      <c r="C891" t="str">
        <f t="shared" si="46"/>
        <v>NA</v>
      </c>
      <c r="D891" s="64" t="e">
        <f t="shared" si="47"/>
        <v>#VALUE!</v>
      </c>
      <c r="E891" s="64" t="e">
        <f>Tableau7[[#This Row],[Mensualité]]-Tableau7[[#This Row],[Intérêts]]</f>
        <v>#VALUE!</v>
      </c>
      <c r="F891" s="64" t="e">
        <f>$G$4-Tableau7[[#This Row],[Mensualité]]-Tableau7[[#This Row],[Intérêts]]</f>
        <v>#VALUE!</v>
      </c>
    </row>
    <row r="892" spans="2:6" x14ac:dyDescent="0.25">
      <c r="B892" s="67" t="str">
        <f t="shared" si="45"/>
        <v>NA</v>
      </c>
      <c r="C892" t="str">
        <f t="shared" si="46"/>
        <v>NA</v>
      </c>
      <c r="D892" s="64" t="e">
        <f t="shared" si="47"/>
        <v>#VALUE!</v>
      </c>
      <c r="E892" s="64" t="e">
        <f>Tableau7[[#This Row],[Mensualité]]-Tableau7[[#This Row],[Intérêts]]</f>
        <v>#VALUE!</v>
      </c>
      <c r="F892" s="64" t="e">
        <f>$G$4-Tableau7[[#This Row],[Mensualité]]-Tableau7[[#This Row],[Intérêts]]</f>
        <v>#VALUE!</v>
      </c>
    </row>
    <row r="893" spans="2:6" x14ac:dyDescent="0.25">
      <c r="B893" s="67" t="str">
        <f t="shared" si="45"/>
        <v>NA</v>
      </c>
      <c r="C893" t="str">
        <f t="shared" si="46"/>
        <v>NA</v>
      </c>
      <c r="D893" s="64" t="e">
        <f t="shared" si="47"/>
        <v>#VALUE!</v>
      </c>
      <c r="E893" s="64" t="e">
        <f>Tableau7[[#This Row],[Mensualité]]-Tableau7[[#This Row],[Intérêts]]</f>
        <v>#VALUE!</v>
      </c>
      <c r="F893" s="64" t="e">
        <f>$G$4-Tableau7[[#This Row],[Mensualité]]-Tableau7[[#This Row],[Intérêts]]</f>
        <v>#VALUE!</v>
      </c>
    </row>
    <row r="894" spans="2:6" x14ac:dyDescent="0.25">
      <c r="B894" s="67" t="str">
        <f t="shared" si="45"/>
        <v>NA</v>
      </c>
      <c r="C894" t="str">
        <f t="shared" si="46"/>
        <v>NA</v>
      </c>
      <c r="D894" s="64" t="e">
        <f t="shared" si="47"/>
        <v>#VALUE!</v>
      </c>
      <c r="E894" s="64" t="e">
        <f>Tableau7[[#This Row],[Mensualité]]-Tableau7[[#This Row],[Intérêts]]</f>
        <v>#VALUE!</v>
      </c>
      <c r="F894" s="64" t="e">
        <f>$G$4-Tableau7[[#This Row],[Mensualité]]-Tableau7[[#This Row],[Intérêts]]</f>
        <v>#VALUE!</v>
      </c>
    </row>
    <row r="895" spans="2:6" x14ac:dyDescent="0.25">
      <c r="B895" s="67" t="str">
        <f t="shared" si="45"/>
        <v>NA</v>
      </c>
      <c r="C895" t="str">
        <f t="shared" si="46"/>
        <v>NA</v>
      </c>
      <c r="D895" s="64" t="e">
        <f t="shared" si="47"/>
        <v>#VALUE!</v>
      </c>
      <c r="E895" s="64" t="e">
        <f>Tableau7[[#This Row],[Mensualité]]-Tableau7[[#This Row],[Intérêts]]</f>
        <v>#VALUE!</v>
      </c>
      <c r="F895" s="64" t="e">
        <f>$G$4-Tableau7[[#This Row],[Mensualité]]-Tableau7[[#This Row],[Intérêts]]</f>
        <v>#VALUE!</v>
      </c>
    </row>
    <row r="896" spans="2:6" x14ac:dyDescent="0.25">
      <c r="B896" s="67" t="str">
        <f t="shared" si="45"/>
        <v>NA</v>
      </c>
      <c r="C896" t="str">
        <f t="shared" si="46"/>
        <v>NA</v>
      </c>
      <c r="D896" s="64" t="e">
        <f t="shared" si="47"/>
        <v>#VALUE!</v>
      </c>
      <c r="E896" s="64" t="e">
        <f>Tableau7[[#This Row],[Mensualité]]-Tableau7[[#This Row],[Intérêts]]</f>
        <v>#VALUE!</v>
      </c>
      <c r="F896" s="64" t="e">
        <f>$G$4-Tableau7[[#This Row],[Mensualité]]-Tableau7[[#This Row],[Intérêts]]</f>
        <v>#VALUE!</v>
      </c>
    </row>
    <row r="897" spans="2:6" x14ac:dyDescent="0.25">
      <c r="B897" s="67" t="str">
        <f t="shared" si="45"/>
        <v>NA</v>
      </c>
      <c r="C897" t="str">
        <f t="shared" si="46"/>
        <v>NA</v>
      </c>
      <c r="D897" s="64" t="e">
        <f t="shared" si="47"/>
        <v>#VALUE!</v>
      </c>
      <c r="E897" s="64" t="e">
        <f>Tableau7[[#This Row],[Mensualité]]-Tableau7[[#This Row],[Intérêts]]</f>
        <v>#VALUE!</v>
      </c>
      <c r="F897" s="64" t="e">
        <f>$G$4-Tableau7[[#This Row],[Mensualité]]-Tableau7[[#This Row],[Intérêts]]</f>
        <v>#VALUE!</v>
      </c>
    </row>
    <row r="898" spans="2:6" x14ac:dyDescent="0.25">
      <c r="B898" s="67" t="str">
        <f t="shared" si="45"/>
        <v>NA</v>
      </c>
      <c r="C898" t="str">
        <f t="shared" si="46"/>
        <v>NA</v>
      </c>
      <c r="D898" s="64" t="e">
        <f t="shared" si="47"/>
        <v>#VALUE!</v>
      </c>
      <c r="E898" s="64" t="e">
        <f>Tableau7[[#This Row],[Mensualité]]-Tableau7[[#This Row],[Intérêts]]</f>
        <v>#VALUE!</v>
      </c>
      <c r="F898" s="64" t="e">
        <f>$G$4-Tableau7[[#This Row],[Mensualité]]-Tableau7[[#This Row],[Intérêts]]</f>
        <v>#VALUE!</v>
      </c>
    </row>
    <row r="899" spans="2:6" x14ac:dyDescent="0.25">
      <c r="B899" s="67" t="str">
        <f t="shared" si="45"/>
        <v>NA</v>
      </c>
      <c r="C899" t="str">
        <f t="shared" si="46"/>
        <v>NA</v>
      </c>
      <c r="D899" s="64" t="e">
        <f t="shared" si="47"/>
        <v>#VALUE!</v>
      </c>
      <c r="E899" s="64" t="e">
        <f>Tableau7[[#This Row],[Mensualité]]-Tableau7[[#This Row],[Intérêts]]</f>
        <v>#VALUE!</v>
      </c>
      <c r="F899" s="64" t="e">
        <f>$G$4-Tableau7[[#This Row],[Mensualité]]-Tableau7[[#This Row],[Intérêts]]</f>
        <v>#VALUE!</v>
      </c>
    </row>
    <row r="900" spans="2:6" x14ac:dyDescent="0.25">
      <c r="B900" s="67" t="str">
        <f t="shared" si="45"/>
        <v>NA</v>
      </c>
      <c r="C900" t="str">
        <f t="shared" si="46"/>
        <v>NA</v>
      </c>
      <c r="D900" s="64" t="e">
        <f t="shared" si="47"/>
        <v>#VALUE!</v>
      </c>
      <c r="E900" s="64" t="e">
        <f>Tableau7[[#This Row],[Mensualité]]-Tableau7[[#This Row],[Intérêts]]</f>
        <v>#VALUE!</v>
      </c>
      <c r="F900" s="64" t="e">
        <f>$G$4-Tableau7[[#This Row],[Mensualité]]-Tableau7[[#This Row],[Intérêts]]</f>
        <v>#VALUE!</v>
      </c>
    </row>
    <row r="901" spans="2:6" x14ac:dyDescent="0.25">
      <c r="B901" s="67" t="str">
        <f t="shared" si="45"/>
        <v>NA</v>
      </c>
      <c r="C901" t="str">
        <f t="shared" si="46"/>
        <v>NA</v>
      </c>
      <c r="D901" s="64" t="e">
        <f t="shared" si="47"/>
        <v>#VALUE!</v>
      </c>
      <c r="E901" s="64" t="e">
        <f>Tableau7[[#This Row],[Mensualité]]-Tableau7[[#This Row],[Intérêts]]</f>
        <v>#VALUE!</v>
      </c>
      <c r="F901" s="64" t="e">
        <f>$G$4-Tableau7[[#This Row],[Mensualité]]-Tableau7[[#This Row],[Intérêts]]</f>
        <v>#VALUE!</v>
      </c>
    </row>
    <row r="902" spans="2:6" x14ac:dyDescent="0.25">
      <c r="B902" s="67" t="str">
        <f t="shared" si="45"/>
        <v>NA</v>
      </c>
      <c r="C902" t="str">
        <f t="shared" si="46"/>
        <v>NA</v>
      </c>
      <c r="D902" s="64" t="e">
        <f t="shared" si="47"/>
        <v>#VALUE!</v>
      </c>
      <c r="E902" s="64" t="e">
        <f>Tableau7[[#This Row],[Mensualité]]-Tableau7[[#This Row],[Intérêts]]</f>
        <v>#VALUE!</v>
      </c>
      <c r="F902" s="64" t="e">
        <f>$G$4-Tableau7[[#This Row],[Mensualité]]-Tableau7[[#This Row],[Intérêts]]</f>
        <v>#VALUE!</v>
      </c>
    </row>
    <row r="903" spans="2:6" x14ac:dyDescent="0.25">
      <c r="B903" s="67" t="str">
        <f t="shared" si="45"/>
        <v>NA</v>
      </c>
      <c r="C903" t="str">
        <f t="shared" si="46"/>
        <v>NA</v>
      </c>
      <c r="D903" s="64" t="e">
        <f t="shared" si="47"/>
        <v>#VALUE!</v>
      </c>
      <c r="E903" s="64" t="e">
        <f>Tableau7[[#This Row],[Mensualité]]-Tableau7[[#This Row],[Intérêts]]</f>
        <v>#VALUE!</v>
      </c>
      <c r="F903" s="64" t="e">
        <f>$G$4-Tableau7[[#This Row],[Mensualité]]-Tableau7[[#This Row],[Intérêts]]</f>
        <v>#VALUE!</v>
      </c>
    </row>
    <row r="904" spans="2:6" x14ac:dyDescent="0.25">
      <c r="B904" s="67" t="str">
        <f t="shared" si="45"/>
        <v>NA</v>
      </c>
      <c r="C904" t="str">
        <f t="shared" si="46"/>
        <v>NA</v>
      </c>
      <c r="D904" s="64" t="e">
        <f t="shared" si="47"/>
        <v>#VALUE!</v>
      </c>
      <c r="E904" s="64" t="e">
        <f>Tableau7[[#This Row],[Mensualité]]-Tableau7[[#This Row],[Intérêts]]</f>
        <v>#VALUE!</v>
      </c>
      <c r="F904" s="64" t="e">
        <f>$G$4-Tableau7[[#This Row],[Mensualité]]-Tableau7[[#This Row],[Intérêts]]</f>
        <v>#VALUE!</v>
      </c>
    </row>
    <row r="905" spans="2:6" x14ac:dyDescent="0.25">
      <c r="B905" s="67" t="str">
        <f t="shared" si="45"/>
        <v>NA</v>
      </c>
      <c r="C905" t="str">
        <f t="shared" si="46"/>
        <v>NA</v>
      </c>
      <c r="D905" s="64" t="e">
        <f t="shared" si="47"/>
        <v>#VALUE!</v>
      </c>
      <c r="E905" s="64" t="e">
        <f>Tableau7[[#This Row],[Mensualité]]-Tableau7[[#This Row],[Intérêts]]</f>
        <v>#VALUE!</v>
      </c>
      <c r="F905" s="64" t="e">
        <f>$G$4-Tableau7[[#This Row],[Mensualité]]-Tableau7[[#This Row],[Intérêts]]</f>
        <v>#VALUE!</v>
      </c>
    </row>
    <row r="906" spans="2:6" x14ac:dyDescent="0.25">
      <c r="B906" s="67" t="str">
        <f t="shared" si="45"/>
        <v>NA</v>
      </c>
      <c r="C906" t="str">
        <f t="shared" si="46"/>
        <v>NA</v>
      </c>
      <c r="D906" s="64" t="e">
        <f t="shared" si="47"/>
        <v>#VALUE!</v>
      </c>
      <c r="E906" s="64" t="e">
        <f>Tableau7[[#This Row],[Mensualité]]-Tableau7[[#This Row],[Intérêts]]</f>
        <v>#VALUE!</v>
      </c>
      <c r="F906" s="64" t="e">
        <f>$G$4-Tableau7[[#This Row],[Mensualité]]-Tableau7[[#This Row],[Intérêts]]</f>
        <v>#VALUE!</v>
      </c>
    </row>
    <row r="907" spans="2:6" x14ac:dyDescent="0.25">
      <c r="B907" s="67" t="str">
        <f t="shared" si="45"/>
        <v>NA</v>
      </c>
      <c r="C907" t="str">
        <f t="shared" si="46"/>
        <v>NA</v>
      </c>
      <c r="D907" s="64" t="e">
        <f t="shared" si="47"/>
        <v>#VALUE!</v>
      </c>
      <c r="E907" s="64" t="e">
        <f>Tableau7[[#This Row],[Mensualité]]-Tableau7[[#This Row],[Intérêts]]</f>
        <v>#VALUE!</v>
      </c>
      <c r="F907" s="64" t="e">
        <f>$G$4-Tableau7[[#This Row],[Mensualité]]-Tableau7[[#This Row],[Intérêts]]</f>
        <v>#VALUE!</v>
      </c>
    </row>
    <row r="908" spans="2:6" x14ac:dyDescent="0.25">
      <c r="B908" s="67" t="str">
        <f t="shared" si="45"/>
        <v>NA</v>
      </c>
      <c r="C908" t="str">
        <f t="shared" si="46"/>
        <v>NA</v>
      </c>
      <c r="D908" s="64" t="e">
        <f t="shared" si="47"/>
        <v>#VALUE!</v>
      </c>
      <c r="E908" s="64" t="e">
        <f>Tableau7[[#This Row],[Mensualité]]-Tableau7[[#This Row],[Intérêts]]</f>
        <v>#VALUE!</v>
      </c>
      <c r="F908" s="64" t="e">
        <f>$G$4-Tableau7[[#This Row],[Mensualité]]-Tableau7[[#This Row],[Intérêts]]</f>
        <v>#VALUE!</v>
      </c>
    </row>
    <row r="909" spans="2:6" x14ac:dyDescent="0.25">
      <c r="B909" s="67" t="str">
        <f t="shared" si="45"/>
        <v>NA</v>
      </c>
      <c r="C909" t="str">
        <f t="shared" si="46"/>
        <v>NA</v>
      </c>
      <c r="D909" s="64" t="e">
        <f t="shared" si="47"/>
        <v>#VALUE!</v>
      </c>
      <c r="E909" s="64" t="e">
        <f>Tableau7[[#This Row],[Mensualité]]-Tableau7[[#This Row],[Intérêts]]</f>
        <v>#VALUE!</v>
      </c>
      <c r="F909" s="64" t="e">
        <f>$G$4-Tableau7[[#This Row],[Mensualité]]-Tableau7[[#This Row],[Intérêts]]</f>
        <v>#VALUE!</v>
      </c>
    </row>
    <row r="910" spans="2:6" x14ac:dyDescent="0.25">
      <c r="B910" s="67" t="str">
        <f t="shared" si="45"/>
        <v>NA</v>
      </c>
      <c r="C910" t="str">
        <f t="shared" si="46"/>
        <v>NA</v>
      </c>
      <c r="D910" s="64" t="e">
        <f t="shared" si="47"/>
        <v>#VALUE!</v>
      </c>
      <c r="E910" s="64" t="e">
        <f>Tableau7[[#This Row],[Mensualité]]-Tableau7[[#This Row],[Intérêts]]</f>
        <v>#VALUE!</v>
      </c>
      <c r="F910" s="64" t="e">
        <f>$G$4-Tableau7[[#This Row],[Mensualité]]-Tableau7[[#This Row],[Intérêts]]</f>
        <v>#VALUE!</v>
      </c>
    </row>
    <row r="911" spans="2:6" x14ac:dyDescent="0.25">
      <c r="B911" s="67" t="str">
        <f t="shared" si="45"/>
        <v>NA</v>
      </c>
      <c r="C911" t="str">
        <f t="shared" si="46"/>
        <v>NA</v>
      </c>
      <c r="D911" s="64" t="e">
        <f t="shared" si="47"/>
        <v>#VALUE!</v>
      </c>
      <c r="E911" s="64" t="e">
        <f>Tableau7[[#This Row],[Mensualité]]-Tableau7[[#This Row],[Intérêts]]</f>
        <v>#VALUE!</v>
      </c>
      <c r="F911" s="64" t="e">
        <f>$G$4-Tableau7[[#This Row],[Mensualité]]-Tableau7[[#This Row],[Intérêts]]</f>
        <v>#VALUE!</v>
      </c>
    </row>
    <row r="912" spans="2:6" x14ac:dyDescent="0.25">
      <c r="B912" s="67" t="str">
        <f t="shared" si="45"/>
        <v>NA</v>
      </c>
      <c r="C912" t="str">
        <f t="shared" si="46"/>
        <v>NA</v>
      </c>
      <c r="D912" s="64" t="e">
        <f t="shared" si="47"/>
        <v>#VALUE!</v>
      </c>
      <c r="E912" s="64" t="e">
        <f>Tableau7[[#This Row],[Mensualité]]-Tableau7[[#This Row],[Intérêts]]</f>
        <v>#VALUE!</v>
      </c>
      <c r="F912" s="64" t="e">
        <f>$G$4-Tableau7[[#This Row],[Mensualité]]-Tableau7[[#This Row],[Intérêts]]</f>
        <v>#VALUE!</v>
      </c>
    </row>
    <row r="913" spans="2:6" x14ac:dyDescent="0.25">
      <c r="B913" s="67" t="str">
        <f t="shared" si="45"/>
        <v>NA</v>
      </c>
      <c r="C913" t="str">
        <f t="shared" si="46"/>
        <v>NA</v>
      </c>
      <c r="D913" s="64" t="e">
        <f t="shared" si="47"/>
        <v>#VALUE!</v>
      </c>
      <c r="E913" s="64" t="e">
        <f>Tableau7[[#This Row],[Mensualité]]-Tableau7[[#This Row],[Intérêts]]</f>
        <v>#VALUE!</v>
      </c>
      <c r="F913" s="64" t="e">
        <f>$G$4-Tableau7[[#This Row],[Mensualité]]-Tableau7[[#This Row],[Intérêts]]</f>
        <v>#VALUE!</v>
      </c>
    </row>
    <row r="914" spans="2:6" x14ac:dyDescent="0.25">
      <c r="B914" s="67" t="str">
        <f t="shared" si="45"/>
        <v>NA</v>
      </c>
      <c r="C914" t="str">
        <f t="shared" si="46"/>
        <v>NA</v>
      </c>
      <c r="D914" s="64" t="e">
        <f t="shared" si="47"/>
        <v>#VALUE!</v>
      </c>
      <c r="E914" s="64" t="e">
        <f>Tableau7[[#This Row],[Mensualité]]-Tableau7[[#This Row],[Intérêts]]</f>
        <v>#VALUE!</v>
      </c>
      <c r="F914" s="64" t="e">
        <f>$G$4-Tableau7[[#This Row],[Mensualité]]-Tableau7[[#This Row],[Intérêts]]</f>
        <v>#VALUE!</v>
      </c>
    </row>
    <row r="915" spans="2:6" x14ac:dyDescent="0.25">
      <c r="B915" s="67" t="str">
        <f t="shared" si="45"/>
        <v>NA</v>
      </c>
      <c r="C915" t="str">
        <f t="shared" si="46"/>
        <v>NA</v>
      </c>
      <c r="D915" s="64" t="e">
        <f t="shared" si="47"/>
        <v>#VALUE!</v>
      </c>
      <c r="E915" s="64" t="e">
        <f>Tableau7[[#This Row],[Mensualité]]-Tableau7[[#This Row],[Intérêts]]</f>
        <v>#VALUE!</v>
      </c>
      <c r="F915" s="64" t="e">
        <f>$G$4-Tableau7[[#This Row],[Mensualité]]-Tableau7[[#This Row],[Intérêts]]</f>
        <v>#VALUE!</v>
      </c>
    </row>
    <row r="916" spans="2:6" x14ac:dyDescent="0.25">
      <c r="B916" s="67" t="str">
        <f t="shared" si="45"/>
        <v>NA</v>
      </c>
      <c r="C916" t="str">
        <f t="shared" si="46"/>
        <v>NA</v>
      </c>
      <c r="D916" s="64" t="e">
        <f t="shared" si="47"/>
        <v>#VALUE!</v>
      </c>
      <c r="E916" s="64" t="e">
        <f>Tableau7[[#This Row],[Mensualité]]-Tableau7[[#This Row],[Intérêts]]</f>
        <v>#VALUE!</v>
      </c>
      <c r="F916" s="64" t="e">
        <f>$G$4-Tableau7[[#This Row],[Mensualité]]-Tableau7[[#This Row],[Intérêts]]</f>
        <v>#VALUE!</v>
      </c>
    </row>
    <row r="917" spans="2:6" x14ac:dyDescent="0.25">
      <c r="B917" s="67" t="str">
        <f t="shared" si="45"/>
        <v>NA</v>
      </c>
      <c r="C917" t="str">
        <f t="shared" si="46"/>
        <v>NA</v>
      </c>
      <c r="D917" s="64" t="e">
        <f t="shared" si="47"/>
        <v>#VALUE!</v>
      </c>
      <c r="E917" s="64" t="e">
        <f>Tableau7[[#This Row],[Mensualité]]-Tableau7[[#This Row],[Intérêts]]</f>
        <v>#VALUE!</v>
      </c>
      <c r="F917" s="64" t="e">
        <f>$G$4-Tableau7[[#This Row],[Mensualité]]-Tableau7[[#This Row],[Intérêts]]</f>
        <v>#VALUE!</v>
      </c>
    </row>
    <row r="918" spans="2:6" x14ac:dyDescent="0.25">
      <c r="B918" s="67" t="str">
        <f t="shared" si="45"/>
        <v>NA</v>
      </c>
      <c r="C918" t="str">
        <f t="shared" si="46"/>
        <v>NA</v>
      </c>
      <c r="D918" s="64" t="e">
        <f t="shared" si="47"/>
        <v>#VALUE!</v>
      </c>
      <c r="E918" s="64" t="e">
        <f>Tableau7[[#This Row],[Mensualité]]-Tableau7[[#This Row],[Intérêts]]</f>
        <v>#VALUE!</v>
      </c>
      <c r="F918" s="64" t="e">
        <f>$G$4-Tableau7[[#This Row],[Mensualité]]-Tableau7[[#This Row],[Intérêts]]</f>
        <v>#VALUE!</v>
      </c>
    </row>
    <row r="919" spans="2:6" x14ac:dyDescent="0.25">
      <c r="B919" s="67" t="str">
        <f t="shared" si="45"/>
        <v>NA</v>
      </c>
      <c r="C919" t="str">
        <f t="shared" si="46"/>
        <v>NA</v>
      </c>
      <c r="D919" s="64" t="e">
        <f t="shared" si="47"/>
        <v>#VALUE!</v>
      </c>
      <c r="E919" s="64" t="e">
        <f>Tableau7[[#This Row],[Mensualité]]-Tableau7[[#This Row],[Intérêts]]</f>
        <v>#VALUE!</v>
      </c>
      <c r="F919" s="64" t="e">
        <f>$G$4-Tableau7[[#This Row],[Mensualité]]-Tableau7[[#This Row],[Intérêts]]</f>
        <v>#VALUE!</v>
      </c>
    </row>
    <row r="920" spans="2:6" x14ac:dyDescent="0.25">
      <c r="B920" s="67" t="str">
        <f t="shared" si="45"/>
        <v>NA</v>
      </c>
      <c r="C920" t="str">
        <f t="shared" si="46"/>
        <v>NA</v>
      </c>
      <c r="D920" s="64" t="e">
        <f t="shared" si="47"/>
        <v>#VALUE!</v>
      </c>
      <c r="E920" s="64" t="e">
        <f>Tableau7[[#This Row],[Mensualité]]-Tableau7[[#This Row],[Intérêts]]</f>
        <v>#VALUE!</v>
      </c>
      <c r="F920" s="64" t="e">
        <f>$G$4-Tableau7[[#This Row],[Mensualité]]-Tableau7[[#This Row],[Intérêts]]</f>
        <v>#VALUE!</v>
      </c>
    </row>
    <row r="921" spans="2:6" x14ac:dyDescent="0.25">
      <c r="B921" s="67" t="str">
        <f t="shared" si="45"/>
        <v>NA</v>
      </c>
      <c r="C921" t="str">
        <f t="shared" si="46"/>
        <v>NA</v>
      </c>
      <c r="D921" s="64" t="e">
        <f t="shared" si="47"/>
        <v>#VALUE!</v>
      </c>
      <c r="E921" s="64" t="e">
        <f>Tableau7[[#This Row],[Mensualité]]-Tableau7[[#This Row],[Intérêts]]</f>
        <v>#VALUE!</v>
      </c>
      <c r="F921" s="64" t="e">
        <f>$G$4-Tableau7[[#This Row],[Mensualité]]-Tableau7[[#This Row],[Intérêts]]</f>
        <v>#VALUE!</v>
      </c>
    </row>
    <row r="922" spans="2:6" x14ac:dyDescent="0.25">
      <c r="B922" s="67" t="str">
        <f t="shared" si="45"/>
        <v>NA</v>
      </c>
      <c r="C922" t="str">
        <f t="shared" si="46"/>
        <v>NA</v>
      </c>
      <c r="D922" s="64" t="e">
        <f t="shared" si="47"/>
        <v>#VALUE!</v>
      </c>
      <c r="E922" s="64" t="e">
        <f>Tableau7[[#This Row],[Mensualité]]-Tableau7[[#This Row],[Intérêts]]</f>
        <v>#VALUE!</v>
      </c>
      <c r="F922" s="64" t="e">
        <f>$G$4-Tableau7[[#This Row],[Mensualité]]-Tableau7[[#This Row],[Intérêts]]</f>
        <v>#VALUE!</v>
      </c>
    </row>
    <row r="923" spans="2:6" x14ac:dyDescent="0.25">
      <c r="B923" s="67" t="str">
        <f t="shared" si="45"/>
        <v>NA</v>
      </c>
      <c r="C923" t="str">
        <f t="shared" si="46"/>
        <v>NA</v>
      </c>
      <c r="D923" s="64" t="e">
        <f t="shared" si="47"/>
        <v>#VALUE!</v>
      </c>
      <c r="E923" s="64" t="e">
        <f>Tableau7[[#This Row],[Mensualité]]-Tableau7[[#This Row],[Intérêts]]</f>
        <v>#VALUE!</v>
      </c>
      <c r="F923" s="64" t="e">
        <f>$G$4-Tableau7[[#This Row],[Mensualité]]-Tableau7[[#This Row],[Intérêts]]</f>
        <v>#VALUE!</v>
      </c>
    </row>
    <row r="924" spans="2:6" x14ac:dyDescent="0.25">
      <c r="B924" s="67" t="str">
        <f t="shared" si="45"/>
        <v>NA</v>
      </c>
      <c r="C924" t="str">
        <f t="shared" si="46"/>
        <v>NA</v>
      </c>
      <c r="D924" s="64" t="e">
        <f t="shared" si="47"/>
        <v>#VALUE!</v>
      </c>
      <c r="E924" s="64" t="e">
        <f>Tableau7[[#This Row],[Mensualité]]-Tableau7[[#This Row],[Intérêts]]</f>
        <v>#VALUE!</v>
      </c>
      <c r="F924" s="64" t="e">
        <f>$G$4-Tableau7[[#This Row],[Mensualité]]-Tableau7[[#This Row],[Intérêts]]</f>
        <v>#VALUE!</v>
      </c>
    </row>
    <row r="925" spans="2:6" x14ac:dyDescent="0.25">
      <c r="B925" s="67" t="str">
        <f t="shared" si="45"/>
        <v>NA</v>
      </c>
      <c r="C925" t="str">
        <f t="shared" si="46"/>
        <v>NA</v>
      </c>
      <c r="D925" s="64" t="e">
        <f t="shared" si="47"/>
        <v>#VALUE!</v>
      </c>
      <c r="E925" s="64" t="e">
        <f>Tableau7[[#This Row],[Mensualité]]-Tableau7[[#This Row],[Intérêts]]</f>
        <v>#VALUE!</v>
      </c>
      <c r="F925" s="64" t="e">
        <f>$G$4-Tableau7[[#This Row],[Mensualité]]-Tableau7[[#This Row],[Intérêts]]</f>
        <v>#VALUE!</v>
      </c>
    </row>
    <row r="926" spans="2:6" x14ac:dyDescent="0.25">
      <c r="B926" s="67" t="str">
        <f t="shared" si="45"/>
        <v>NA</v>
      </c>
      <c r="C926" t="str">
        <f t="shared" si="46"/>
        <v>NA</v>
      </c>
      <c r="D926" s="64" t="e">
        <f t="shared" si="47"/>
        <v>#VALUE!</v>
      </c>
      <c r="E926" s="64" t="e">
        <f>Tableau7[[#This Row],[Mensualité]]-Tableau7[[#This Row],[Intérêts]]</f>
        <v>#VALUE!</v>
      </c>
      <c r="F926" s="64" t="e">
        <f>$G$4-Tableau7[[#This Row],[Mensualité]]-Tableau7[[#This Row],[Intérêts]]</f>
        <v>#VALUE!</v>
      </c>
    </row>
    <row r="927" spans="2:6" x14ac:dyDescent="0.25">
      <c r="B927" s="67" t="str">
        <f t="shared" si="45"/>
        <v>NA</v>
      </c>
      <c r="C927" t="str">
        <f t="shared" si="46"/>
        <v>NA</v>
      </c>
      <c r="D927" s="64" t="e">
        <f t="shared" si="47"/>
        <v>#VALUE!</v>
      </c>
      <c r="E927" s="64" t="e">
        <f>Tableau7[[#This Row],[Mensualité]]-Tableau7[[#This Row],[Intérêts]]</f>
        <v>#VALUE!</v>
      </c>
      <c r="F927" s="64" t="e">
        <f>$G$4-Tableau7[[#This Row],[Mensualité]]-Tableau7[[#This Row],[Intérêts]]</f>
        <v>#VALUE!</v>
      </c>
    </row>
    <row r="928" spans="2:6" x14ac:dyDescent="0.25">
      <c r="B928" s="67" t="str">
        <f t="shared" si="45"/>
        <v>NA</v>
      </c>
      <c r="C928" t="str">
        <f t="shared" si="46"/>
        <v>NA</v>
      </c>
      <c r="D928" s="64" t="e">
        <f t="shared" si="47"/>
        <v>#VALUE!</v>
      </c>
      <c r="E928" s="64" t="e">
        <f>Tableau7[[#This Row],[Mensualité]]-Tableau7[[#This Row],[Intérêts]]</f>
        <v>#VALUE!</v>
      </c>
      <c r="F928" s="64" t="e">
        <f>$G$4-Tableau7[[#This Row],[Mensualité]]-Tableau7[[#This Row],[Intérêts]]</f>
        <v>#VALUE!</v>
      </c>
    </row>
    <row r="929" spans="2:6" x14ac:dyDescent="0.25">
      <c r="B929" s="67" t="str">
        <f t="shared" si="45"/>
        <v>NA</v>
      </c>
      <c r="C929" t="str">
        <f t="shared" si="46"/>
        <v>NA</v>
      </c>
      <c r="D929" s="64" t="e">
        <f t="shared" si="47"/>
        <v>#VALUE!</v>
      </c>
      <c r="E929" s="64" t="e">
        <f>Tableau7[[#This Row],[Mensualité]]-Tableau7[[#This Row],[Intérêts]]</f>
        <v>#VALUE!</v>
      </c>
      <c r="F929" s="64" t="e">
        <f>$G$4-Tableau7[[#This Row],[Mensualité]]-Tableau7[[#This Row],[Intérêts]]</f>
        <v>#VALUE!</v>
      </c>
    </row>
    <row r="930" spans="2:6" x14ac:dyDescent="0.25">
      <c r="B930" s="67" t="str">
        <f t="shared" si="45"/>
        <v>NA</v>
      </c>
      <c r="C930" t="str">
        <f t="shared" si="46"/>
        <v>NA</v>
      </c>
      <c r="D930" s="64" t="e">
        <f t="shared" si="47"/>
        <v>#VALUE!</v>
      </c>
      <c r="E930" s="64" t="e">
        <f>Tableau7[[#This Row],[Mensualité]]-Tableau7[[#This Row],[Intérêts]]</f>
        <v>#VALUE!</v>
      </c>
      <c r="F930" s="64" t="e">
        <f>$G$4-Tableau7[[#This Row],[Mensualité]]-Tableau7[[#This Row],[Intérêts]]</f>
        <v>#VALUE!</v>
      </c>
    </row>
    <row r="931" spans="2:6" x14ac:dyDescent="0.25">
      <c r="B931" s="67" t="str">
        <f t="shared" si="45"/>
        <v>NA</v>
      </c>
      <c r="C931" t="str">
        <f t="shared" si="46"/>
        <v>NA</v>
      </c>
      <c r="D931" s="64" t="e">
        <f t="shared" si="47"/>
        <v>#VALUE!</v>
      </c>
      <c r="E931" s="64" t="e">
        <f>Tableau7[[#This Row],[Mensualité]]-Tableau7[[#This Row],[Intérêts]]</f>
        <v>#VALUE!</v>
      </c>
      <c r="F931" s="64" t="e">
        <f>$G$4-Tableau7[[#This Row],[Mensualité]]-Tableau7[[#This Row],[Intérêts]]</f>
        <v>#VALUE!</v>
      </c>
    </row>
    <row r="932" spans="2:6" x14ac:dyDescent="0.25">
      <c r="B932" s="67" t="str">
        <f t="shared" si="45"/>
        <v>NA</v>
      </c>
      <c r="C932" t="str">
        <f t="shared" si="46"/>
        <v>NA</v>
      </c>
      <c r="D932" s="64" t="e">
        <f t="shared" si="47"/>
        <v>#VALUE!</v>
      </c>
      <c r="E932" s="64" t="e">
        <f>Tableau7[[#This Row],[Mensualité]]-Tableau7[[#This Row],[Intérêts]]</f>
        <v>#VALUE!</v>
      </c>
      <c r="F932" s="64" t="e">
        <f>$G$4-Tableau7[[#This Row],[Mensualité]]-Tableau7[[#This Row],[Intérêts]]</f>
        <v>#VALUE!</v>
      </c>
    </row>
    <row r="933" spans="2:6" x14ac:dyDescent="0.25">
      <c r="B933" s="67" t="str">
        <f t="shared" si="45"/>
        <v>NA</v>
      </c>
      <c r="C933" t="str">
        <f t="shared" si="46"/>
        <v>NA</v>
      </c>
      <c r="D933" s="64" t="e">
        <f t="shared" si="47"/>
        <v>#VALUE!</v>
      </c>
      <c r="E933" s="64" t="e">
        <f>Tableau7[[#This Row],[Mensualité]]-Tableau7[[#This Row],[Intérêts]]</f>
        <v>#VALUE!</v>
      </c>
      <c r="F933" s="64" t="e">
        <f>$G$4-Tableau7[[#This Row],[Mensualité]]-Tableau7[[#This Row],[Intérêts]]</f>
        <v>#VALUE!</v>
      </c>
    </row>
    <row r="934" spans="2:6" x14ac:dyDescent="0.25">
      <c r="B934" s="67" t="str">
        <f t="shared" si="45"/>
        <v>NA</v>
      </c>
      <c r="C934" t="str">
        <f t="shared" si="46"/>
        <v>NA</v>
      </c>
      <c r="D934" s="64" t="e">
        <f t="shared" si="47"/>
        <v>#VALUE!</v>
      </c>
      <c r="E934" s="64" t="e">
        <f>Tableau7[[#This Row],[Mensualité]]-Tableau7[[#This Row],[Intérêts]]</f>
        <v>#VALUE!</v>
      </c>
      <c r="F934" s="64" t="e">
        <f>$G$4-Tableau7[[#This Row],[Mensualité]]-Tableau7[[#This Row],[Intérêts]]</f>
        <v>#VALUE!</v>
      </c>
    </row>
    <row r="935" spans="2:6" x14ac:dyDescent="0.25">
      <c r="B935" s="67" t="str">
        <f t="shared" si="45"/>
        <v>NA</v>
      </c>
      <c r="C935" t="str">
        <f t="shared" si="46"/>
        <v>NA</v>
      </c>
      <c r="D935" s="64" t="e">
        <f t="shared" si="47"/>
        <v>#VALUE!</v>
      </c>
      <c r="E935" s="64" t="e">
        <f>Tableau7[[#This Row],[Mensualité]]-Tableau7[[#This Row],[Intérêts]]</f>
        <v>#VALUE!</v>
      </c>
      <c r="F935" s="64" t="e">
        <f>$G$4-Tableau7[[#This Row],[Mensualité]]-Tableau7[[#This Row],[Intérêts]]</f>
        <v>#VALUE!</v>
      </c>
    </row>
    <row r="936" spans="2:6" x14ac:dyDescent="0.25">
      <c r="B936" s="67" t="str">
        <f t="shared" si="45"/>
        <v>NA</v>
      </c>
      <c r="C936" t="str">
        <f t="shared" si="46"/>
        <v>NA</v>
      </c>
      <c r="D936" s="64" t="e">
        <f t="shared" si="47"/>
        <v>#VALUE!</v>
      </c>
      <c r="E936" s="64" t="e">
        <f>Tableau7[[#This Row],[Mensualité]]-Tableau7[[#This Row],[Intérêts]]</f>
        <v>#VALUE!</v>
      </c>
      <c r="F936" s="64" t="e">
        <f>$G$4-Tableau7[[#This Row],[Mensualité]]-Tableau7[[#This Row],[Intérêts]]</f>
        <v>#VALUE!</v>
      </c>
    </row>
    <row r="937" spans="2:6" x14ac:dyDescent="0.25">
      <c r="B937" s="67" t="str">
        <f t="shared" si="45"/>
        <v>NA</v>
      </c>
      <c r="C937" t="str">
        <f t="shared" si="46"/>
        <v>NA</v>
      </c>
      <c r="D937" s="64" t="e">
        <f t="shared" si="47"/>
        <v>#VALUE!</v>
      </c>
      <c r="E937" s="64" t="e">
        <f>Tableau7[[#This Row],[Mensualité]]-Tableau7[[#This Row],[Intérêts]]</f>
        <v>#VALUE!</v>
      </c>
      <c r="F937" s="64" t="e">
        <f>$G$4-Tableau7[[#This Row],[Mensualité]]-Tableau7[[#This Row],[Intérêts]]</f>
        <v>#VALUE!</v>
      </c>
    </row>
    <row r="938" spans="2:6" x14ac:dyDescent="0.25">
      <c r="B938" s="67" t="str">
        <f t="shared" si="45"/>
        <v>NA</v>
      </c>
      <c r="C938" t="str">
        <f t="shared" si="46"/>
        <v>NA</v>
      </c>
      <c r="D938" s="64" t="e">
        <f t="shared" si="47"/>
        <v>#VALUE!</v>
      </c>
      <c r="E938" s="64" t="e">
        <f>Tableau7[[#This Row],[Mensualité]]-Tableau7[[#This Row],[Intérêts]]</f>
        <v>#VALUE!</v>
      </c>
      <c r="F938" s="64" t="e">
        <f>$G$4-Tableau7[[#This Row],[Mensualité]]-Tableau7[[#This Row],[Intérêts]]</f>
        <v>#VALUE!</v>
      </c>
    </row>
    <row r="939" spans="2:6" x14ac:dyDescent="0.25">
      <c r="B939" s="67" t="str">
        <f t="shared" ref="B939:B1002" si="48">$D$4</f>
        <v>NA</v>
      </c>
      <c r="C939" t="str">
        <f t="shared" ref="C939:C1002" si="49">$H$4</f>
        <v>NA</v>
      </c>
      <c r="D939" s="64" t="e">
        <f t="shared" ref="D939:D1002" si="50">G932*F932/12</f>
        <v>#VALUE!</v>
      </c>
      <c r="E939" s="64" t="e">
        <f>Tableau7[[#This Row],[Mensualité]]-Tableau7[[#This Row],[Intérêts]]</f>
        <v>#VALUE!</v>
      </c>
      <c r="F939" s="64" t="e">
        <f>$G$4-Tableau7[[#This Row],[Mensualité]]-Tableau7[[#This Row],[Intérêts]]</f>
        <v>#VALUE!</v>
      </c>
    </row>
    <row r="940" spans="2:6" x14ac:dyDescent="0.25">
      <c r="B940" s="67" t="str">
        <f t="shared" si="48"/>
        <v>NA</v>
      </c>
      <c r="C940" t="str">
        <f t="shared" si="49"/>
        <v>NA</v>
      </c>
      <c r="D940" s="64" t="e">
        <f t="shared" si="50"/>
        <v>#VALUE!</v>
      </c>
      <c r="E940" s="64" t="e">
        <f>Tableau7[[#This Row],[Mensualité]]-Tableau7[[#This Row],[Intérêts]]</f>
        <v>#VALUE!</v>
      </c>
      <c r="F940" s="64" t="e">
        <f>$G$4-Tableau7[[#This Row],[Mensualité]]-Tableau7[[#This Row],[Intérêts]]</f>
        <v>#VALUE!</v>
      </c>
    </row>
    <row r="941" spans="2:6" x14ac:dyDescent="0.25">
      <c r="B941" s="67" t="str">
        <f t="shared" si="48"/>
        <v>NA</v>
      </c>
      <c r="C941" t="str">
        <f t="shared" si="49"/>
        <v>NA</v>
      </c>
      <c r="D941" s="64" t="e">
        <f t="shared" si="50"/>
        <v>#VALUE!</v>
      </c>
      <c r="E941" s="64" t="e">
        <f>Tableau7[[#This Row],[Mensualité]]-Tableau7[[#This Row],[Intérêts]]</f>
        <v>#VALUE!</v>
      </c>
      <c r="F941" s="64" t="e">
        <f>$G$4-Tableau7[[#This Row],[Mensualité]]-Tableau7[[#This Row],[Intérêts]]</f>
        <v>#VALUE!</v>
      </c>
    </row>
    <row r="942" spans="2:6" x14ac:dyDescent="0.25">
      <c r="B942" s="67" t="str">
        <f t="shared" si="48"/>
        <v>NA</v>
      </c>
      <c r="C942" t="str">
        <f t="shared" si="49"/>
        <v>NA</v>
      </c>
      <c r="D942" s="64" t="e">
        <f t="shared" si="50"/>
        <v>#VALUE!</v>
      </c>
      <c r="E942" s="64" t="e">
        <f>Tableau7[[#This Row],[Mensualité]]-Tableau7[[#This Row],[Intérêts]]</f>
        <v>#VALUE!</v>
      </c>
      <c r="F942" s="64" t="e">
        <f>$G$4-Tableau7[[#This Row],[Mensualité]]-Tableau7[[#This Row],[Intérêts]]</f>
        <v>#VALUE!</v>
      </c>
    </row>
    <row r="943" spans="2:6" x14ac:dyDescent="0.25">
      <c r="B943" s="67" t="str">
        <f t="shared" si="48"/>
        <v>NA</v>
      </c>
      <c r="C943" t="str">
        <f t="shared" si="49"/>
        <v>NA</v>
      </c>
      <c r="D943" s="64" t="e">
        <f t="shared" si="50"/>
        <v>#VALUE!</v>
      </c>
      <c r="E943" s="64" t="e">
        <f>Tableau7[[#This Row],[Mensualité]]-Tableau7[[#This Row],[Intérêts]]</f>
        <v>#VALUE!</v>
      </c>
      <c r="F943" s="64" t="e">
        <f>$G$4-Tableau7[[#This Row],[Mensualité]]-Tableau7[[#This Row],[Intérêts]]</f>
        <v>#VALUE!</v>
      </c>
    </row>
    <row r="944" spans="2:6" x14ac:dyDescent="0.25">
      <c r="B944" s="67" t="str">
        <f t="shared" si="48"/>
        <v>NA</v>
      </c>
      <c r="C944" t="str">
        <f t="shared" si="49"/>
        <v>NA</v>
      </c>
      <c r="D944" s="64" t="e">
        <f t="shared" si="50"/>
        <v>#VALUE!</v>
      </c>
      <c r="E944" s="64" t="e">
        <f>Tableau7[[#This Row],[Mensualité]]-Tableau7[[#This Row],[Intérêts]]</f>
        <v>#VALUE!</v>
      </c>
      <c r="F944" s="64" t="e">
        <f>$G$4-Tableau7[[#This Row],[Mensualité]]-Tableau7[[#This Row],[Intérêts]]</f>
        <v>#VALUE!</v>
      </c>
    </row>
    <row r="945" spans="2:6" x14ac:dyDescent="0.25">
      <c r="B945" s="67" t="str">
        <f t="shared" si="48"/>
        <v>NA</v>
      </c>
      <c r="C945" t="str">
        <f t="shared" si="49"/>
        <v>NA</v>
      </c>
      <c r="D945" s="64" t="e">
        <f t="shared" si="50"/>
        <v>#VALUE!</v>
      </c>
      <c r="E945" s="64" t="e">
        <f>Tableau7[[#This Row],[Mensualité]]-Tableau7[[#This Row],[Intérêts]]</f>
        <v>#VALUE!</v>
      </c>
      <c r="F945" s="64" t="e">
        <f>$G$4-Tableau7[[#This Row],[Mensualité]]-Tableau7[[#This Row],[Intérêts]]</f>
        <v>#VALUE!</v>
      </c>
    </row>
    <row r="946" spans="2:6" x14ac:dyDescent="0.25">
      <c r="B946" s="67" t="str">
        <f t="shared" si="48"/>
        <v>NA</v>
      </c>
      <c r="C946" t="str">
        <f t="shared" si="49"/>
        <v>NA</v>
      </c>
      <c r="D946" s="64" t="e">
        <f t="shared" si="50"/>
        <v>#VALUE!</v>
      </c>
      <c r="E946" s="64" t="e">
        <f>Tableau7[[#This Row],[Mensualité]]-Tableau7[[#This Row],[Intérêts]]</f>
        <v>#VALUE!</v>
      </c>
      <c r="F946" s="64" t="e">
        <f>$G$4-Tableau7[[#This Row],[Mensualité]]-Tableau7[[#This Row],[Intérêts]]</f>
        <v>#VALUE!</v>
      </c>
    </row>
    <row r="947" spans="2:6" x14ac:dyDescent="0.25">
      <c r="B947" s="67" t="str">
        <f t="shared" si="48"/>
        <v>NA</v>
      </c>
      <c r="C947" t="str">
        <f t="shared" si="49"/>
        <v>NA</v>
      </c>
      <c r="D947" s="64" t="e">
        <f t="shared" si="50"/>
        <v>#VALUE!</v>
      </c>
      <c r="E947" s="64" t="e">
        <f>Tableau7[[#This Row],[Mensualité]]-Tableau7[[#This Row],[Intérêts]]</f>
        <v>#VALUE!</v>
      </c>
      <c r="F947" s="64" t="e">
        <f>$G$4-Tableau7[[#This Row],[Mensualité]]-Tableau7[[#This Row],[Intérêts]]</f>
        <v>#VALUE!</v>
      </c>
    </row>
    <row r="948" spans="2:6" x14ac:dyDescent="0.25">
      <c r="B948" s="67" t="str">
        <f t="shared" si="48"/>
        <v>NA</v>
      </c>
      <c r="C948" t="str">
        <f t="shared" si="49"/>
        <v>NA</v>
      </c>
      <c r="D948" s="64" t="e">
        <f t="shared" si="50"/>
        <v>#VALUE!</v>
      </c>
      <c r="E948" s="64" t="e">
        <f>Tableau7[[#This Row],[Mensualité]]-Tableau7[[#This Row],[Intérêts]]</f>
        <v>#VALUE!</v>
      </c>
      <c r="F948" s="64" t="e">
        <f>$G$4-Tableau7[[#This Row],[Mensualité]]-Tableau7[[#This Row],[Intérêts]]</f>
        <v>#VALUE!</v>
      </c>
    </row>
    <row r="949" spans="2:6" x14ac:dyDescent="0.25">
      <c r="B949" s="67" t="str">
        <f t="shared" si="48"/>
        <v>NA</v>
      </c>
      <c r="C949" t="str">
        <f t="shared" si="49"/>
        <v>NA</v>
      </c>
      <c r="D949" s="64" t="e">
        <f t="shared" si="50"/>
        <v>#VALUE!</v>
      </c>
      <c r="E949" s="64" t="e">
        <f>Tableau7[[#This Row],[Mensualité]]-Tableau7[[#This Row],[Intérêts]]</f>
        <v>#VALUE!</v>
      </c>
      <c r="F949" s="64" t="e">
        <f>$G$4-Tableau7[[#This Row],[Mensualité]]-Tableau7[[#This Row],[Intérêts]]</f>
        <v>#VALUE!</v>
      </c>
    </row>
    <row r="950" spans="2:6" x14ac:dyDescent="0.25">
      <c r="B950" s="67" t="str">
        <f t="shared" si="48"/>
        <v>NA</v>
      </c>
      <c r="C950" t="str">
        <f t="shared" si="49"/>
        <v>NA</v>
      </c>
      <c r="D950" s="64" t="e">
        <f t="shared" si="50"/>
        <v>#VALUE!</v>
      </c>
      <c r="E950" s="64" t="e">
        <f>Tableau7[[#This Row],[Mensualité]]-Tableau7[[#This Row],[Intérêts]]</f>
        <v>#VALUE!</v>
      </c>
      <c r="F950" s="64" t="e">
        <f>$G$4-Tableau7[[#This Row],[Mensualité]]-Tableau7[[#This Row],[Intérêts]]</f>
        <v>#VALUE!</v>
      </c>
    </row>
    <row r="951" spans="2:6" x14ac:dyDescent="0.25">
      <c r="B951" s="67" t="str">
        <f t="shared" si="48"/>
        <v>NA</v>
      </c>
      <c r="C951" t="str">
        <f t="shared" si="49"/>
        <v>NA</v>
      </c>
      <c r="D951" s="64" t="e">
        <f t="shared" si="50"/>
        <v>#VALUE!</v>
      </c>
      <c r="E951" s="64" t="e">
        <f>Tableau7[[#This Row],[Mensualité]]-Tableau7[[#This Row],[Intérêts]]</f>
        <v>#VALUE!</v>
      </c>
      <c r="F951" s="64" t="e">
        <f>$G$4-Tableau7[[#This Row],[Mensualité]]-Tableau7[[#This Row],[Intérêts]]</f>
        <v>#VALUE!</v>
      </c>
    </row>
    <row r="952" spans="2:6" x14ac:dyDescent="0.25">
      <c r="B952" s="67" t="str">
        <f t="shared" si="48"/>
        <v>NA</v>
      </c>
      <c r="C952" t="str">
        <f t="shared" si="49"/>
        <v>NA</v>
      </c>
      <c r="D952" s="64" t="e">
        <f t="shared" si="50"/>
        <v>#VALUE!</v>
      </c>
      <c r="E952" s="64" t="e">
        <f>Tableau7[[#This Row],[Mensualité]]-Tableau7[[#This Row],[Intérêts]]</f>
        <v>#VALUE!</v>
      </c>
      <c r="F952" s="64" t="e">
        <f>$G$4-Tableau7[[#This Row],[Mensualité]]-Tableau7[[#This Row],[Intérêts]]</f>
        <v>#VALUE!</v>
      </c>
    </row>
    <row r="953" spans="2:6" x14ac:dyDescent="0.25">
      <c r="B953" s="67" t="str">
        <f t="shared" si="48"/>
        <v>NA</v>
      </c>
      <c r="C953" t="str">
        <f t="shared" si="49"/>
        <v>NA</v>
      </c>
      <c r="D953" s="64" t="e">
        <f t="shared" si="50"/>
        <v>#VALUE!</v>
      </c>
      <c r="E953" s="64" t="e">
        <f>Tableau7[[#This Row],[Mensualité]]-Tableau7[[#This Row],[Intérêts]]</f>
        <v>#VALUE!</v>
      </c>
      <c r="F953" s="64" t="e">
        <f>$G$4-Tableau7[[#This Row],[Mensualité]]-Tableau7[[#This Row],[Intérêts]]</f>
        <v>#VALUE!</v>
      </c>
    </row>
    <row r="954" spans="2:6" x14ac:dyDescent="0.25">
      <c r="B954" s="67" t="str">
        <f t="shared" si="48"/>
        <v>NA</v>
      </c>
      <c r="C954" t="str">
        <f t="shared" si="49"/>
        <v>NA</v>
      </c>
      <c r="D954" s="64" t="e">
        <f t="shared" si="50"/>
        <v>#VALUE!</v>
      </c>
      <c r="E954" s="64" t="e">
        <f>Tableau7[[#This Row],[Mensualité]]-Tableau7[[#This Row],[Intérêts]]</f>
        <v>#VALUE!</v>
      </c>
      <c r="F954" s="64" t="e">
        <f>$G$4-Tableau7[[#This Row],[Mensualité]]-Tableau7[[#This Row],[Intérêts]]</f>
        <v>#VALUE!</v>
      </c>
    </row>
    <row r="955" spans="2:6" x14ac:dyDescent="0.25">
      <c r="B955" s="67" t="str">
        <f t="shared" si="48"/>
        <v>NA</v>
      </c>
      <c r="C955" t="str">
        <f t="shared" si="49"/>
        <v>NA</v>
      </c>
      <c r="D955" s="64" t="e">
        <f t="shared" si="50"/>
        <v>#VALUE!</v>
      </c>
      <c r="E955" s="64" t="e">
        <f>Tableau7[[#This Row],[Mensualité]]-Tableau7[[#This Row],[Intérêts]]</f>
        <v>#VALUE!</v>
      </c>
      <c r="F955" s="64" t="e">
        <f>$G$4-Tableau7[[#This Row],[Mensualité]]-Tableau7[[#This Row],[Intérêts]]</f>
        <v>#VALUE!</v>
      </c>
    </row>
    <row r="956" spans="2:6" x14ac:dyDescent="0.25">
      <c r="B956" s="67" t="str">
        <f t="shared" si="48"/>
        <v>NA</v>
      </c>
      <c r="C956" t="str">
        <f t="shared" si="49"/>
        <v>NA</v>
      </c>
      <c r="D956" s="64" t="e">
        <f t="shared" si="50"/>
        <v>#VALUE!</v>
      </c>
      <c r="E956" s="64" t="e">
        <f>Tableau7[[#This Row],[Mensualité]]-Tableau7[[#This Row],[Intérêts]]</f>
        <v>#VALUE!</v>
      </c>
      <c r="F956" s="64" t="e">
        <f>$G$4-Tableau7[[#This Row],[Mensualité]]-Tableau7[[#This Row],[Intérêts]]</f>
        <v>#VALUE!</v>
      </c>
    </row>
    <row r="957" spans="2:6" x14ac:dyDescent="0.25">
      <c r="B957" s="67" t="str">
        <f t="shared" si="48"/>
        <v>NA</v>
      </c>
      <c r="C957" t="str">
        <f t="shared" si="49"/>
        <v>NA</v>
      </c>
      <c r="D957" s="64" t="e">
        <f t="shared" si="50"/>
        <v>#VALUE!</v>
      </c>
      <c r="E957" s="64" t="e">
        <f>Tableau7[[#This Row],[Mensualité]]-Tableau7[[#This Row],[Intérêts]]</f>
        <v>#VALUE!</v>
      </c>
      <c r="F957" s="64" t="e">
        <f>$G$4-Tableau7[[#This Row],[Mensualité]]-Tableau7[[#This Row],[Intérêts]]</f>
        <v>#VALUE!</v>
      </c>
    </row>
    <row r="958" spans="2:6" x14ac:dyDescent="0.25">
      <c r="B958" s="67" t="str">
        <f t="shared" si="48"/>
        <v>NA</v>
      </c>
      <c r="C958" t="str">
        <f t="shared" si="49"/>
        <v>NA</v>
      </c>
      <c r="D958" s="64" t="e">
        <f t="shared" si="50"/>
        <v>#VALUE!</v>
      </c>
      <c r="E958" s="64" t="e">
        <f>Tableau7[[#This Row],[Mensualité]]-Tableau7[[#This Row],[Intérêts]]</f>
        <v>#VALUE!</v>
      </c>
      <c r="F958" s="64" t="e">
        <f>$G$4-Tableau7[[#This Row],[Mensualité]]-Tableau7[[#This Row],[Intérêts]]</f>
        <v>#VALUE!</v>
      </c>
    </row>
    <row r="959" spans="2:6" x14ac:dyDescent="0.25">
      <c r="B959" s="67" t="str">
        <f t="shared" si="48"/>
        <v>NA</v>
      </c>
      <c r="C959" t="str">
        <f t="shared" si="49"/>
        <v>NA</v>
      </c>
      <c r="D959" s="64" t="e">
        <f t="shared" si="50"/>
        <v>#VALUE!</v>
      </c>
      <c r="E959" s="64" t="e">
        <f>Tableau7[[#This Row],[Mensualité]]-Tableau7[[#This Row],[Intérêts]]</f>
        <v>#VALUE!</v>
      </c>
      <c r="F959" s="64" t="e">
        <f>$G$4-Tableau7[[#This Row],[Mensualité]]-Tableau7[[#This Row],[Intérêts]]</f>
        <v>#VALUE!</v>
      </c>
    </row>
    <row r="960" spans="2:6" x14ac:dyDescent="0.25">
      <c r="B960" s="67" t="str">
        <f t="shared" si="48"/>
        <v>NA</v>
      </c>
      <c r="C960" t="str">
        <f t="shared" si="49"/>
        <v>NA</v>
      </c>
      <c r="D960" s="64" t="e">
        <f t="shared" si="50"/>
        <v>#VALUE!</v>
      </c>
      <c r="E960" s="64" t="e">
        <f>Tableau7[[#This Row],[Mensualité]]-Tableau7[[#This Row],[Intérêts]]</f>
        <v>#VALUE!</v>
      </c>
      <c r="F960" s="64" t="e">
        <f>$G$4-Tableau7[[#This Row],[Mensualité]]-Tableau7[[#This Row],[Intérêts]]</f>
        <v>#VALUE!</v>
      </c>
    </row>
    <row r="961" spans="2:6" x14ac:dyDescent="0.25">
      <c r="B961" s="67" t="str">
        <f t="shared" si="48"/>
        <v>NA</v>
      </c>
      <c r="C961" t="str">
        <f t="shared" si="49"/>
        <v>NA</v>
      </c>
      <c r="D961" s="64" t="e">
        <f t="shared" si="50"/>
        <v>#VALUE!</v>
      </c>
      <c r="E961" s="64" t="e">
        <f>Tableau7[[#This Row],[Mensualité]]-Tableau7[[#This Row],[Intérêts]]</f>
        <v>#VALUE!</v>
      </c>
      <c r="F961" s="64" t="e">
        <f>$G$4-Tableau7[[#This Row],[Mensualité]]-Tableau7[[#This Row],[Intérêts]]</f>
        <v>#VALUE!</v>
      </c>
    </row>
    <row r="962" spans="2:6" x14ac:dyDescent="0.25">
      <c r="B962" s="67" t="str">
        <f t="shared" si="48"/>
        <v>NA</v>
      </c>
      <c r="C962" t="str">
        <f t="shared" si="49"/>
        <v>NA</v>
      </c>
      <c r="D962" s="64" t="e">
        <f t="shared" si="50"/>
        <v>#VALUE!</v>
      </c>
      <c r="E962" s="64" t="e">
        <f>Tableau7[[#This Row],[Mensualité]]-Tableau7[[#This Row],[Intérêts]]</f>
        <v>#VALUE!</v>
      </c>
      <c r="F962" s="64" t="e">
        <f>$G$4-Tableau7[[#This Row],[Mensualité]]-Tableau7[[#This Row],[Intérêts]]</f>
        <v>#VALUE!</v>
      </c>
    </row>
    <row r="963" spans="2:6" x14ac:dyDescent="0.25">
      <c r="B963" s="67" t="str">
        <f t="shared" si="48"/>
        <v>NA</v>
      </c>
      <c r="C963" t="str">
        <f t="shared" si="49"/>
        <v>NA</v>
      </c>
      <c r="D963" s="64" t="e">
        <f t="shared" si="50"/>
        <v>#VALUE!</v>
      </c>
      <c r="E963" s="64" t="e">
        <f>Tableau7[[#This Row],[Mensualité]]-Tableau7[[#This Row],[Intérêts]]</f>
        <v>#VALUE!</v>
      </c>
      <c r="F963" s="64" t="e">
        <f>$G$4-Tableau7[[#This Row],[Mensualité]]-Tableau7[[#This Row],[Intérêts]]</f>
        <v>#VALUE!</v>
      </c>
    </row>
    <row r="964" spans="2:6" x14ac:dyDescent="0.25">
      <c r="B964" s="67" t="str">
        <f t="shared" si="48"/>
        <v>NA</v>
      </c>
      <c r="C964" t="str">
        <f t="shared" si="49"/>
        <v>NA</v>
      </c>
      <c r="D964" s="64" t="e">
        <f t="shared" si="50"/>
        <v>#VALUE!</v>
      </c>
      <c r="E964" s="64" t="e">
        <f>Tableau7[[#This Row],[Mensualité]]-Tableau7[[#This Row],[Intérêts]]</f>
        <v>#VALUE!</v>
      </c>
      <c r="F964" s="64" t="e">
        <f>$G$4-Tableau7[[#This Row],[Mensualité]]-Tableau7[[#This Row],[Intérêts]]</f>
        <v>#VALUE!</v>
      </c>
    </row>
    <row r="965" spans="2:6" x14ac:dyDescent="0.25">
      <c r="B965" s="67" t="str">
        <f t="shared" si="48"/>
        <v>NA</v>
      </c>
      <c r="C965" t="str">
        <f t="shared" si="49"/>
        <v>NA</v>
      </c>
      <c r="D965" s="64" t="e">
        <f t="shared" si="50"/>
        <v>#VALUE!</v>
      </c>
      <c r="E965" s="64" t="e">
        <f>Tableau7[[#This Row],[Mensualité]]-Tableau7[[#This Row],[Intérêts]]</f>
        <v>#VALUE!</v>
      </c>
      <c r="F965" s="64" t="e">
        <f>$G$4-Tableau7[[#This Row],[Mensualité]]-Tableau7[[#This Row],[Intérêts]]</f>
        <v>#VALUE!</v>
      </c>
    </row>
    <row r="966" spans="2:6" x14ac:dyDescent="0.25">
      <c r="B966" s="67" t="str">
        <f t="shared" si="48"/>
        <v>NA</v>
      </c>
      <c r="C966" t="str">
        <f t="shared" si="49"/>
        <v>NA</v>
      </c>
      <c r="D966" s="64" t="e">
        <f t="shared" si="50"/>
        <v>#VALUE!</v>
      </c>
      <c r="E966" s="64" t="e">
        <f>Tableau7[[#This Row],[Mensualité]]-Tableau7[[#This Row],[Intérêts]]</f>
        <v>#VALUE!</v>
      </c>
      <c r="F966" s="64" t="e">
        <f>$G$4-Tableau7[[#This Row],[Mensualité]]-Tableau7[[#This Row],[Intérêts]]</f>
        <v>#VALUE!</v>
      </c>
    </row>
    <row r="967" spans="2:6" x14ac:dyDescent="0.25">
      <c r="B967" s="67" t="str">
        <f t="shared" si="48"/>
        <v>NA</v>
      </c>
      <c r="C967" t="str">
        <f t="shared" si="49"/>
        <v>NA</v>
      </c>
      <c r="D967" s="64" t="e">
        <f t="shared" si="50"/>
        <v>#VALUE!</v>
      </c>
      <c r="E967" s="64" t="e">
        <f>Tableau7[[#This Row],[Mensualité]]-Tableau7[[#This Row],[Intérêts]]</f>
        <v>#VALUE!</v>
      </c>
      <c r="F967" s="64" t="e">
        <f>$G$4-Tableau7[[#This Row],[Mensualité]]-Tableau7[[#This Row],[Intérêts]]</f>
        <v>#VALUE!</v>
      </c>
    </row>
    <row r="968" spans="2:6" x14ac:dyDescent="0.25">
      <c r="B968" s="67" t="str">
        <f t="shared" si="48"/>
        <v>NA</v>
      </c>
      <c r="C968" t="str">
        <f t="shared" si="49"/>
        <v>NA</v>
      </c>
      <c r="D968" s="64" t="e">
        <f t="shared" si="50"/>
        <v>#VALUE!</v>
      </c>
      <c r="E968" s="64" t="e">
        <f>Tableau7[[#This Row],[Mensualité]]-Tableau7[[#This Row],[Intérêts]]</f>
        <v>#VALUE!</v>
      </c>
      <c r="F968" s="64" t="e">
        <f>$G$4-Tableau7[[#This Row],[Mensualité]]-Tableau7[[#This Row],[Intérêts]]</f>
        <v>#VALUE!</v>
      </c>
    </row>
    <row r="969" spans="2:6" x14ac:dyDescent="0.25">
      <c r="B969" s="67" t="str">
        <f t="shared" si="48"/>
        <v>NA</v>
      </c>
      <c r="C969" t="str">
        <f t="shared" si="49"/>
        <v>NA</v>
      </c>
      <c r="D969" s="64" t="e">
        <f t="shared" si="50"/>
        <v>#VALUE!</v>
      </c>
      <c r="E969" s="64" t="e">
        <f>Tableau7[[#This Row],[Mensualité]]-Tableau7[[#This Row],[Intérêts]]</f>
        <v>#VALUE!</v>
      </c>
      <c r="F969" s="64" t="e">
        <f>$G$4-Tableau7[[#This Row],[Mensualité]]-Tableau7[[#This Row],[Intérêts]]</f>
        <v>#VALUE!</v>
      </c>
    </row>
    <row r="970" spans="2:6" x14ac:dyDescent="0.25">
      <c r="B970" s="67" t="str">
        <f t="shared" si="48"/>
        <v>NA</v>
      </c>
      <c r="C970" t="str">
        <f t="shared" si="49"/>
        <v>NA</v>
      </c>
      <c r="D970" s="64" t="e">
        <f t="shared" si="50"/>
        <v>#VALUE!</v>
      </c>
      <c r="E970" s="64" t="e">
        <f>Tableau7[[#This Row],[Mensualité]]-Tableau7[[#This Row],[Intérêts]]</f>
        <v>#VALUE!</v>
      </c>
      <c r="F970" s="64" t="e">
        <f>$G$4-Tableau7[[#This Row],[Mensualité]]-Tableau7[[#This Row],[Intérêts]]</f>
        <v>#VALUE!</v>
      </c>
    </row>
    <row r="971" spans="2:6" x14ac:dyDescent="0.25">
      <c r="B971" s="67" t="str">
        <f t="shared" si="48"/>
        <v>NA</v>
      </c>
      <c r="C971" t="str">
        <f t="shared" si="49"/>
        <v>NA</v>
      </c>
      <c r="D971" s="64" t="e">
        <f t="shared" si="50"/>
        <v>#VALUE!</v>
      </c>
      <c r="E971" s="64" t="e">
        <f>Tableau7[[#This Row],[Mensualité]]-Tableau7[[#This Row],[Intérêts]]</f>
        <v>#VALUE!</v>
      </c>
      <c r="F971" s="64" t="e">
        <f>$G$4-Tableau7[[#This Row],[Mensualité]]-Tableau7[[#This Row],[Intérêts]]</f>
        <v>#VALUE!</v>
      </c>
    </row>
    <row r="972" spans="2:6" x14ac:dyDescent="0.25">
      <c r="B972" s="67" t="str">
        <f t="shared" si="48"/>
        <v>NA</v>
      </c>
      <c r="C972" t="str">
        <f t="shared" si="49"/>
        <v>NA</v>
      </c>
      <c r="D972" s="64" t="e">
        <f t="shared" si="50"/>
        <v>#VALUE!</v>
      </c>
      <c r="E972" s="64" t="e">
        <f>Tableau7[[#This Row],[Mensualité]]-Tableau7[[#This Row],[Intérêts]]</f>
        <v>#VALUE!</v>
      </c>
      <c r="F972" s="64" t="e">
        <f>$G$4-Tableau7[[#This Row],[Mensualité]]-Tableau7[[#This Row],[Intérêts]]</f>
        <v>#VALUE!</v>
      </c>
    </row>
    <row r="973" spans="2:6" x14ac:dyDescent="0.25">
      <c r="B973" s="67" t="str">
        <f t="shared" si="48"/>
        <v>NA</v>
      </c>
      <c r="C973" t="str">
        <f t="shared" si="49"/>
        <v>NA</v>
      </c>
      <c r="D973" s="64" t="e">
        <f t="shared" si="50"/>
        <v>#VALUE!</v>
      </c>
      <c r="E973" s="64" t="e">
        <f>Tableau7[[#This Row],[Mensualité]]-Tableau7[[#This Row],[Intérêts]]</f>
        <v>#VALUE!</v>
      </c>
      <c r="F973" s="64" t="e">
        <f>$G$4-Tableau7[[#This Row],[Mensualité]]-Tableau7[[#This Row],[Intérêts]]</f>
        <v>#VALUE!</v>
      </c>
    </row>
    <row r="974" spans="2:6" x14ac:dyDescent="0.25">
      <c r="B974" s="67" t="str">
        <f t="shared" si="48"/>
        <v>NA</v>
      </c>
      <c r="C974" t="str">
        <f t="shared" si="49"/>
        <v>NA</v>
      </c>
      <c r="D974" s="64" t="e">
        <f t="shared" si="50"/>
        <v>#VALUE!</v>
      </c>
      <c r="E974" s="64" t="e">
        <f>Tableau7[[#This Row],[Mensualité]]-Tableau7[[#This Row],[Intérêts]]</f>
        <v>#VALUE!</v>
      </c>
      <c r="F974" s="64" t="e">
        <f>$G$4-Tableau7[[#This Row],[Mensualité]]-Tableau7[[#This Row],[Intérêts]]</f>
        <v>#VALUE!</v>
      </c>
    </row>
    <row r="975" spans="2:6" x14ac:dyDescent="0.25">
      <c r="B975" s="67" t="str">
        <f t="shared" si="48"/>
        <v>NA</v>
      </c>
      <c r="C975" t="str">
        <f t="shared" si="49"/>
        <v>NA</v>
      </c>
      <c r="D975" s="64" t="e">
        <f t="shared" si="50"/>
        <v>#VALUE!</v>
      </c>
      <c r="E975" s="64" t="e">
        <f>Tableau7[[#This Row],[Mensualité]]-Tableau7[[#This Row],[Intérêts]]</f>
        <v>#VALUE!</v>
      </c>
      <c r="F975" s="64" t="e">
        <f>$G$4-Tableau7[[#This Row],[Mensualité]]-Tableau7[[#This Row],[Intérêts]]</f>
        <v>#VALUE!</v>
      </c>
    </row>
    <row r="976" spans="2:6" x14ac:dyDescent="0.25">
      <c r="B976" s="67" t="str">
        <f t="shared" si="48"/>
        <v>NA</v>
      </c>
      <c r="C976" t="str">
        <f t="shared" si="49"/>
        <v>NA</v>
      </c>
      <c r="D976" s="64" t="e">
        <f t="shared" si="50"/>
        <v>#VALUE!</v>
      </c>
      <c r="E976" s="64" t="e">
        <f>Tableau7[[#This Row],[Mensualité]]-Tableau7[[#This Row],[Intérêts]]</f>
        <v>#VALUE!</v>
      </c>
      <c r="F976" s="64" t="e">
        <f>$G$4-Tableau7[[#This Row],[Mensualité]]-Tableau7[[#This Row],[Intérêts]]</f>
        <v>#VALUE!</v>
      </c>
    </row>
    <row r="977" spans="2:6" x14ac:dyDescent="0.25">
      <c r="B977" s="67" t="str">
        <f t="shared" si="48"/>
        <v>NA</v>
      </c>
      <c r="C977" t="str">
        <f t="shared" si="49"/>
        <v>NA</v>
      </c>
      <c r="D977" s="64" t="e">
        <f t="shared" si="50"/>
        <v>#VALUE!</v>
      </c>
      <c r="E977" s="64" t="e">
        <f>Tableau7[[#This Row],[Mensualité]]-Tableau7[[#This Row],[Intérêts]]</f>
        <v>#VALUE!</v>
      </c>
      <c r="F977" s="64" t="e">
        <f>$G$4-Tableau7[[#This Row],[Mensualité]]-Tableau7[[#This Row],[Intérêts]]</f>
        <v>#VALUE!</v>
      </c>
    </row>
    <row r="978" spans="2:6" x14ac:dyDescent="0.25">
      <c r="B978" s="67" t="str">
        <f t="shared" si="48"/>
        <v>NA</v>
      </c>
      <c r="C978" t="str">
        <f t="shared" si="49"/>
        <v>NA</v>
      </c>
      <c r="D978" s="64" t="e">
        <f t="shared" si="50"/>
        <v>#VALUE!</v>
      </c>
      <c r="E978" s="64" t="e">
        <f>Tableau7[[#This Row],[Mensualité]]-Tableau7[[#This Row],[Intérêts]]</f>
        <v>#VALUE!</v>
      </c>
      <c r="F978" s="64" t="e">
        <f>$G$4-Tableau7[[#This Row],[Mensualité]]-Tableau7[[#This Row],[Intérêts]]</f>
        <v>#VALUE!</v>
      </c>
    </row>
    <row r="979" spans="2:6" x14ac:dyDescent="0.25">
      <c r="B979" s="67" t="str">
        <f t="shared" si="48"/>
        <v>NA</v>
      </c>
      <c r="C979" t="str">
        <f t="shared" si="49"/>
        <v>NA</v>
      </c>
      <c r="D979" s="64" t="e">
        <f t="shared" si="50"/>
        <v>#VALUE!</v>
      </c>
      <c r="E979" s="64" t="e">
        <f>Tableau7[[#This Row],[Mensualité]]-Tableau7[[#This Row],[Intérêts]]</f>
        <v>#VALUE!</v>
      </c>
      <c r="F979" s="64" t="e">
        <f>$G$4-Tableau7[[#This Row],[Mensualité]]-Tableau7[[#This Row],[Intérêts]]</f>
        <v>#VALUE!</v>
      </c>
    </row>
    <row r="980" spans="2:6" x14ac:dyDescent="0.25">
      <c r="B980" s="67" t="str">
        <f t="shared" si="48"/>
        <v>NA</v>
      </c>
      <c r="C980" t="str">
        <f t="shared" si="49"/>
        <v>NA</v>
      </c>
      <c r="D980" s="64" t="e">
        <f t="shared" si="50"/>
        <v>#VALUE!</v>
      </c>
      <c r="E980" s="64" t="e">
        <f>Tableau7[[#This Row],[Mensualité]]-Tableau7[[#This Row],[Intérêts]]</f>
        <v>#VALUE!</v>
      </c>
      <c r="F980" s="64" t="e">
        <f>$G$4-Tableau7[[#This Row],[Mensualité]]-Tableau7[[#This Row],[Intérêts]]</f>
        <v>#VALUE!</v>
      </c>
    </row>
    <row r="981" spans="2:6" x14ac:dyDescent="0.25">
      <c r="B981" s="67" t="str">
        <f t="shared" si="48"/>
        <v>NA</v>
      </c>
      <c r="C981" t="str">
        <f t="shared" si="49"/>
        <v>NA</v>
      </c>
      <c r="D981" s="64" t="e">
        <f t="shared" si="50"/>
        <v>#VALUE!</v>
      </c>
      <c r="E981" s="64" t="e">
        <f>Tableau7[[#This Row],[Mensualité]]-Tableau7[[#This Row],[Intérêts]]</f>
        <v>#VALUE!</v>
      </c>
      <c r="F981" s="64" t="e">
        <f>$G$4-Tableau7[[#This Row],[Mensualité]]-Tableau7[[#This Row],[Intérêts]]</f>
        <v>#VALUE!</v>
      </c>
    </row>
    <row r="982" spans="2:6" x14ac:dyDescent="0.25">
      <c r="B982" s="67" t="str">
        <f t="shared" si="48"/>
        <v>NA</v>
      </c>
      <c r="C982" t="str">
        <f t="shared" si="49"/>
        <v>NA</v>
      </c>
      <c r="D982" s="64" t="e">
        <f t="shared" si="50"/>
        <v>#VALUE!</v>
      </c>
      <c r="E982" s="64" t="e">
        <f>Tableau7[[#This Row],[Mensualité]]-Tableau7[[#This Row],[Intérêts]]</f>
        <v>#VALUE!</v>
      </c>
      <c r="F982" s="64" t="e">
        <f>$G$4-Tableau7[[#This Row],[Mensualité]]-Tableau7[[#This Row],[Intérêts]]</f>
        <v>#VALUE!</v>
      </c>
    </row>
    <row r="983" spans="2:6" x14ac:dyDescent="0.25">
      <c r="B983" s="67" t="str">
        <f t="shared" si="48"/>
        <v>NA</v>
      </c>
      <c r="C983" t="str">
        <f t="shared" si="49"/>
        <v>NA</v>
      </c>
      <c r="D983" s="64" t="e">
        <f t="shared" si="50"/>
        <v>#VALUE!</v>
      </c>
      <c r="E983" s="64" t="e">
        <f>Tableau7[[#This Row],[Mensualité]]-Tableau7[[#This Row],[Intérêts]]</f>
        <v>#VALUE!</v>
      </c>
      <c r="F983" s="64" t="e">
        <f>$G$4-Tableau7[[#This Row],[Mensualité]]-Tableau7[[#This Row],[Intérêts]]</f>
        <v>#VALUE!</v>
      </c>
    </row>
    <row r="984" spans="2:6" x14ac:dyDescent="0.25">
      <c r="B984" s="67" t="str">
        <f t="shared" si="48"/>
        <v>NA</v>
      </c>
      <c r="C984" t="str">
        <f t="shared" si="49"/>
        <v>NA</v>
      </c>
      <c r="D984" s="64" t="e">
        <f t="shared" si="50"/>
        <v>#VALUE!</v>
      </c>
      <c r="E984" s="64" t="e">
        <f>Tableau7[[#This Row],[Mensualité]]-Tableau7[[#This Row],[Intérêts]]</f>
        <v>#VALUE!</v>
      </c>
      <c r="F984" s="64" t="e">
        <f>$G$4-Tableau7[[#This Row],[Mensualité]]-Tableau7[[#This Row],[Intérêts]]</f>
        <v>#VALUE!</v>
      </c>
    </row>
    <row r="985" spans="2:6" x14ac:dyDescent="0.25">
      <c r="B985" s="67" t="str">
        <f t="shared" si="48"/>
        <v>NA</v>
      </c>
      <c r="C985" t="str">
        <f t="shared" si="49"/>
        <v>NA</v>
      </c>
      <c r="D985" s="64" t="e">
        <f t="shared" si="50"/>
        <v>#VALUE!</v>
      </c>
      <c r="E985" s="64" t="e">
        <f>Tableau7[[#This Row],[Mensualité]]-Tableau7[[#This Row],[Intérêts]]</f>
        <v>#VALUE!</v>
      </c>
      <c r="F985" s="64" t="e">
        <f>$G$4-Tableau7[[#This Row],[Mensualité]]-Tableau7[[#This Row],[Intérêts]]</f>
        <v>#VALUE!</v>
      </c>
    </row>
    <row r="986" spans="2:6" x14ac:dyDescent="0.25">
      <c r="B986" s="67" t="str">
        <f t="shared" si="48"/>
        <v>NA</v>
      </c>
      <c r="C986" t="str">
        <f t="shared" si="49"/>
        <v>NA</v>
      </c>
      <c r="D986" s="64" t="e">
        <f t="shared" si="50"/>
        <v>#VALUE!</v>
      </c>
      <c r="E986" s="64" t="e">
        <f>Tableau7[[#This Row],[Mensualité]]-Tableau7[[#This Row],[Intérêts]]</f>
        <v>#VALUE!</v>
      </c>
      <c r="F986" s="64" t="e">
        <f>$G$4-Tableau7[[#This Row],[Mensualité]]-Tableau7[[#This Row],[Intérêts]]</f>
        <v>#VALUE!</v>
      </c>
    </row>
    <row r="987" spans="2:6" x14ac:dyDescent="0.25">
      <c r="B987" s="67" t="str">
        <f t="shared" si="48"/>
        <v>NA</v>
      </c>
      <c r="C987" t="str">
        <f t="shared" si="49"/>
        <v>NA</v>
      </c>
      <c r="D987" s="64" t="e">
        <f t="shared" si="50"/>
        <v>#VALUE!</v>
      </c>
      <c r="E987" s="64" t="e">
        <f>Tableau7[[#This Row],[Mensualité]]-Tableau7[[#This Row],[Intérêts]]</f>
        <v>#VALUE!</v>
      </c>
      <c r="F987" s="64" t="e">
        <f>$G$4-Tableau7[[#This Row],[Mensualité]]-Tableau7[[#This Row],[Intérêts]]</f>
        <v>#VALUE!</v>
      </c>
    </row>
    <row r="988" spans="2:6" x14ac:dyDescent="0.25">
      <c r="B988" s="67" t="str">
        <f t="shared" si="48"/>
        <v>NA</v>
      </c>
      <c r="C988" t="str">
        <f t="shared" si="49"/>
        <v>NA</v>
      </c>
      <c r="D988" s="64" t="e">
        <f t="shared" si="50"/>
        <v>#VALUE!</v>
      </c>
      <c r="E988" s="64" t="e">
        <f>Tableau7[[#This Row],[Mensualité]]-Tableau7[[#This Row],[Intérêts]]</f>
        <v>#VALUE!</v>
      </c>
      <c r="F988" s="64" t="e">
        <f>$G$4-Tableau7[[#This Row],[Mensualité]]-Tableau7[[#This Row],[Intérêts]]</f>
        <v>#VALUE!</v>
      </c>
    </row>
    <row r="989" spans="2:6" x14ac:dyDescent="0.25">
      <c r="B989" s="67" t="str">
        <f t="shared" si="48"/>
        <v>NA</v>
      </c>
      <c r="C989" t="str">
        <f t="shared" si="49"/>
        <v>NA</v>
      </c>
      <c r="D989" s="64" t="e">
        <f t="shared" si="50"/>
        <v>#VALUE!</v>
      </c>
      <c r="E989" s="64" t="e">
        <f>Tableau7[[#This Row],[Mensualité]]-Tableau7[[#This Row],[Intérêts]]</f>
        <v>#VALUE!</v>
      </c>
      <c r="F989" s="64" t="e">
        <f>$G$4-Tableau7[[#This Row],[Mensualité]]-Tableau7[[#This Row],[Intérêts]]</f>
        <v>#VALUE!</v>
      </c>
    </row>
    <row r="990" spans="2:6" x14ac:dyDescent="0.25">
      <c r="B990" s="67" t="str">
        <f t="shared" si="48"/>
        <v>NA</v>
      </c>
      <c r="C990" t="str">
        <f t="shared" si="49"/>
        <v>NA</v>
      </c>
      <c r="D990" s="64" t="e">
        <f t="shared" si="50"/>
        <v>#VALUE!</v>
      </c>
      <c r="E990" s="64" t="e">
        <f>Tableau7[[#This Row],[Mensualité]]-Tableau7[[#This Row],[Intérêts]]</f>
        <v>#VALUE!</v>
      </c>
      <c r="F990" s="64" t="e">
        <f>$G$4-Tableau7[[#This Row],[Mensualité]]-Tableau7[[#This Row],[Intérêts]]</f>
        <v>#VALUE!</v>
      </c>
    </row>
    <row r="991" spans="2:6" x14ac:dyDescent="0.25">
      <c r="B991" s="67" t="str">
        <f t="shared" si="48"/>
        <v>NA</v>
      </c>
      <c r="C991" t="str">
        <f t="shared" si="49"/>
        <v>NA</v>
      </c>
      <c r="D991" s="64" t="e">
        <f t="shared" si="50"/>
        <v>#VALUE!</v>
      </c>
      <c r="E991" s="64" t="e">
        <f>Tableau7[[#This Row],[Mensualité]]-Tableau7[[#This Row],[Intérêts]]</f>
        <v>#VALUE!</v>
      </c>
      <c r="F991" s="64" t="e">
        <f>$G$4-Tableau7[[#This Row],[Mensualité]]-Tableau7[[#This Row],[Intérêts]]</f>
        <v>#VALUE!</v>
      </c>
    </row>
    <row r="992" spans="2:6" x14ac:dyDescent="0.25">
      <c r="B992" s="67" t="str">
        <f t="shared" si="48"/>
        <v>NA</v>
      </c>
      <c r="C992" t="str">
        <f t="shared" si="49"/>
        <v>NA</v>
      </c>
      <c r="D992" s="64" t="e">
        <f t="shared" si="50"/>
        <v>#VALUE!</v>
      </c>
      <c r="E992" s="64" t="e">
        <f>Tableau7[[#This Row],[Mensualité]]-Tableau7[[#This Row],[Intérêts]]</f>
        <v>#VALUE!</v>
      </c>
      <c r="F992" s="64" t="e">
        <f>$G$4-Tableau7[[#This Row],[Mensualité]]-Tableau7[[#This Row],[Intérêts]]</f>
        <v>#VALUE!</v>
      </c>
    </row>
    <row r="993" spans="2:6" x14ac:dyDescent="0.25">
      <c r="B993" s="67" t="str">
        <f t="shared" si="48"/>
        <v>NA</v>
      </c>
      <c r="C993" t="str">
        <f t="shared" si="49"/>
        <v>NA</v>
      </c>
      <c r="D993" s="64" t="e">
        <f t="shared" si="50"/>
        <v>#VALUE!</v>
      </c>
      <c r="E993" s="64" t="e">
        <f>Tableau7[[#This Row],[Mensualité]]-Tableau7[[#This Row],[Intérêts]]</f>
        <v>#VALUE!</v>
      </c>
      <c r="F993" s="64" t="e">
        <f>$G$4-Tableau7[[#This Row],[Mensualité]]-Tableau7[[#This Row],[Intérêts]]</f>
        <v>#VALUE!</v>
      </c>
    </row>
    <row r="994" spans="2:6" x14ac:dyDescent="0.25">
      <c r="B994" s="67" t="str">
        <f t="shared" si="48"/>
        <v>NA</v>
      </c>
      <c r="C994" t="str">
        <f t="shared" si="49"/>
        <v>NA</v>
      </c>
      <c r="D994" s="64" t="e">
        <f t="shared" si="50"/>
        <v>#VALUE!</v>
      </c>
      <c r="E994" s="64" t="e">
        <f>Tableau7[[#This Row],[Mensualité]]-Tableau7[[#This Row],[Intérêts]]</f>
        <v>#VALUE!</v>
      </c>
      <c r="F994" s="64" t="e">
        <f>$G$4-Tableau7[[#This Row],[Mensualité]]-Tableau7[[#This Row],[Intérêts]]</f>
        <v>#VALUE!</v>
      </c>
    </row>
    <row r="995" spans="2:6" x14ac:dyDescent="0.25">
      <c r="B995" s="67" t="str">
        <f t="shared" si="48"/>
        <v>NA</v>
      </c>
      <c r="C995" t="str">
        <f t="shared" si="49"/>
        <v>NA</v>
      </c>
      <c r="D995" s="64" t="e">
        <f t="shared" si="50"/>
        <v>#VALUE!</v>
      </c>
      <c r="E995" s="64" t="e">
        <f>Tableau7[[#This Row],[Mensualité]]-Tableau7[[#This Row],[Intérêts]]</f>
        <v>#VALUE!</v>
      </c>
      <c r="F995" s="64" t="e">
        <f>$G$4-Tableau7[[#This Row],[Mensualité]]-Tableau7[[#This Row],[Intérêts]]</f>
        <v>#VALUE!</v>
      </c>
    </row>
    <row r="996" spans="2:6" x14ac:dyDescent="0.25">
      <c r="B996" s="67" t="str">
        <f t="shared" si="48"/>
        <v>NA</v>
      </c>
      <c r="C996" t="str">
        <f t="shared" si="49"/>
        <v>NA</v>
      </c>
      <c r="D996" s="64" t="e">
        <f t="shared" si="50"/>
        <v>#VALUE!</v>
      </c>
      <c r="E996" s="64" t="e">
        <f>Tableau7[[#This Row],[Mensualité]]-Tableau7[[#This Row],[Intérêts]]</f>
        <v>#VALUE!</v>
      </c>
      <c r="F996" s="64" t="e">
        <f>$G$4-Tableau7[[#This Row],[Mensualité]]-Tableau7[[#This Row],[Intérêts]]</f>
        <v>#VALUE!</v>
      </c>
    </row>
    <row r="997" spans="2:6" x14ac:dyDescent="0.25">
      <c r="B997" s="67" t="str">
        <f t="shared" si="48"/>
        <v>NA</v>
      </c>
      <c r="C997" t="str">
        <f t="shared" si="49"/>
        <v>NA</v>
      </c>
      <c r="D997" s="64" t="e">
        <f t="shared" si="50"/>
        <v>#VALUE!</v>
      </c>
      <c r="E997" s="64" t="e">
        <f>Tableau7[[#This Row],[Mensualité]]-Tableau7[[#This Row],[Intérêts]]</f>
        <v>#VALUE!</v>
      </c>
      <c r="F997" s="64" t="e">
        <f>$G$4-Tableau7[[#This Row],[Mensualité]]-Tableau7[[#This Row],[Intérêts]]</f>
        <v>#VALUE!</v>
      </c>
    </row>
    <row r="998" spans="2:6" x14ac:dyDescent="0.25">
      <c r="B998" s="67" t="str">
        <f t="shared" si="48"/>
        <v>NA</v>
      </c>
      <c r="C998" t="str">
        <f t="shared" si="49"/>
        <v>NA</v>
      </c>
      <c r="D998" s="64" t="e">
        <f t="shared" si="50"/>
        <v>#VALUE!</v>
      </c>
      <c r="E998" s="64" t="e">
        <f>Tableau7[[#This Row],[Mensualité]]-Tableau7[[#This Row],[Intérêts]]</f>
        <v>#VALUE!</v>
      </c>
      <c r="F998" s="64" t="e">
        <f>$G$4-Tableau7[[#This Row],[Mensualité]]-Tableau7[[#This Row],[Intérêts]]</f>
        <v>#VALUE!</v>
      </c>
    </row>
    <row r="999" spans="2:6" x14ac:dyDescent="0.25">
      <c r="B999" s="67" t="str">
        <f t="shared" si="48"/>
        <v>NA</v>
      </c>
      <c r="C999" t="str">
        <f t="shared" si="49"/>
        <v>NA</v>
      </c>
      <c r="D999" s="64" t="e">
        <f t="shared" si="50"/>
        <v>#VALUE!</v>
      </c>
      <c r="E999" s="64" t="e">
        <f>Tableau7[[#This Row],[Mensualité]]-Tableau7[[#This Row],[Intérêts]]</f>
        <v>#VALUE!</v>
      </c>
      <c r="F999" s="64" t="e">
        <f>$G$4-Tableau7[[#This Row],[Mensualité]]-Tableau7[[#This Row],[Intérêts]]</f>
        <v>#VALUE!</v>
      </c>
    </row>
    <row r="1000" spans="2:6" x14ac:dyDescent="0.25">
      <c r="B1000" s="67" t="str">
        <f t="shared" si="48"/>
        <v>NA</v>
      </c>
      <c r="C1000" t="str">
        <f t="shared" si="49"/>
        <v>NA</v>
      </c>
      <c r="D1000" s="64" t="e">
        <f t="shared" si="50"/>
        <v>#VALUE!</v>
      </c>
      <c r="E1000" s="64" t="e">
        <f>Tableau7[[#This Row],[Mensualité]]-Tableau7[[#This Row],[Intérêts]]</f>
        <v>#VALUE!</v>
      </c>
      <c r="F1000" s="64" t="e">
        <f>$G$4-Tableau7[[#This Row],[Mensualité]]-Tableau7[[#This Row],[Intérêts]]</f>
        <v>#VALUE!</v>
      </c>
    </row>
    <row r="1001" spans="2:6" x14ac:dyDescent="0.25">
      <c r="B1001" s="67" t="str">
        <f t="shared" si="48"/>
        <v>NA</v>
      </c>
      <c r="C1001" t="str">
        <f t="shared" si="49"/>
        <v>NA</v>
      </c>
      <c r="D1001" s="64" t="e">
        <f t="shared" si="50"/>
        <v>#VALUE!</v>
      </c>
      <c r="E1001" s="64" t="e">
        <f>Tableau7[[#This Row],[Mensualité]]-Tableau7[[#This Row],[Intérêts]]</f>
        <v>#VALUE!</v>
      </c>
      <c r="F1001" s="64" t="e">
        <f>$G$4-Tableau7[[#This Row],[Mensualité]]-Tableau7[[#This Row],[Intérêts]]</f>
        <v>#VALUE!</v>
      </c>
    </row>
    <row r="1002" spans="2:6" x14ac:dyDescent="0.25">
      <c r="B1002" s="67" t="str">
        <f t="shared" si="48"/>
        <v>NA</v>
      </c>
      <c r="C1002" t="str">
        <f t="shared" si="49"/>
        <v>NA</v>
      </c>
      <c r="D1002" s="64" t="e">
        <f t="shared" si="50"/>
        <v>#VALUE!</v>
      </c>
      <c r="E1002" s="64" t="e">
        <f>Tableau7[[#This Row],[Mensualité]]-Tableau7[[#This Row],[Intérêts]]</f>
        <v>#VALUE!</v>
      </c>
      <c r="F1002" s="64" t="e">
        <f>$G$4-Tableau7[[#This Row],[Mensualité]]-Tableau7[[#This Row],[Intérêts]]</f>
        <v>#VALUE!</v>
      </c>
    </row>
    <row r="1003" spans="2:6" x14ac:dyDescent="0.25">
      <c r="B1003" s="67" t="str">
        <f t="shared" ref="B1003:B1066" si="51">$D$4</f>
        <v>NA</v>
      </c>
      <c r="C1003" t="str">
        <f t="shared" ref="C1003:C1066" si="52">$H$4</f>
        <v>NA</v>
      </c>
      <c r="D1003" s="64" t="e">
        <f t="shared" ref="D1003:D1066" si="53">G996*F996/12</f>
        <v>#VALUE!</v>
      </c>
      <c r="E1003" s="64" t="e">
        <f>Tableau7[[#This Row],[Mensualité]]-Tableau7[[#This Row],[Intérêts]]</f>
        <v>#VALUE!</v>
      </c>
      <c r="F1003" s="64" t="e">
        <f>$G$4-Tableau7[[#This Row],[Mensualité]]-Tableau7[[#This Row],[Intérêts]]</f>
        <v>#VALUE!</v>
      </c>
    </row>
    <row r="1004" spans="2:6" x14ac:dyDescent="0.25">
      <c r="B1004" s="67" t="str">
        <f t="shared" si="51"/>
        <v>NA</v>
      </c>
      <c r="C1004" t="str">
        <f t="shared" si="52"/>
        <v>NA</v>
      </c>
      <c r="D1004" s="64" t="e">
        <f t="shared" si="53"/>
        <v>#VALUE!</v>
      </c>
      <c r="E1004" s="64" t="e">
        <f>Tableau7[[#This Row],[Mensualité]]-Tableau7[[#This Row],[Intérêts]]</f>
        <v>#VALUE!</v>
      </c>
      <c r="F1004" s="64" t="e">
        <f>$G$4-Tableau7[[#This Row],[Mensualité]]-Tableau7[[#This Row],[Intérêts]]</f>
        <v>#VALUE!</v>
      </c>
    </row>
    <row r="1005" spans="2:6" x14ac:dyDescent="0.25">
      <c r="B1005" s="67" t="str">
        <f t="shared" si="51"/>
        <v>NA</v>
      </c>
      <c r="C1005" t="str">
        <f t="shared" si="52"/>
        <v>NA</v>
      </c>
      <c r="D1005" s="64" t="e">
        <f t="shared" si="53"/>
        <v>#VALUE!</v>
      </c>
      <c r="E1005" s="64" t="e">
        <f>Tableau7[[#This Row],[Mensualité]]-Tableau7[[#This Row],[Intérêts]]</f>
        <v>#VALUE!</v>
      </c>
      <c r="F1005" s="64" t="e">
        <f>$G$4-Tableau7[[#This Row],[Mensualité]]-Tableau7[[#This Row],[Intérêts]]</f>
        <v>#VALUE!</v>
      </c>
    </row>
    <row r="1006" spans="2:6" x14ac:dyDescent="0.25">
      <c r="B1006" s="67" t="str">
        <f t="shared" si="51"/>
        <v>NA</v>
      </c>
      <c r="C1006" t="str">
        <f t="shared" si="52"/>
        <v>NA</v>
      </c>
      <c r="D1006" s="64" t="e">
        <f t="shared" si="53"/>
        <v>#VALUE!</v>
      </c>
      <c r="E1006" s="64" t="e">
        <f>Tableau7[[#This Row],[Mensualité]]-Tableau7[[#This Row],[Intérêts]]</f>
        <v>#VALUE!</v>
      </c>
      <c r="F1006" s="64" t="e">
        <f>$G$4-Tableau7[[#This Row],[Mensualité]]-Tableau7[[#This Row],[Intérêts]]</f>
        <v>#VALUE!</v>
      </c>
    </row>
    <row r="1007" spans="2:6" x14ac:dyDescent="0.25">
      <c r="B1007" s="67" t="str">
        <f t="shared" si="51"/>
        <v>NA</v>
      </c>
      <c r="C1007" t="str">
        <f t="shared" si="52"/>
        <v>NA</v>
      </c>
      <c r="D1007" s="64" t="e">
        <f t="shared" si="53"/>
        <v>#VALUE!</v>
      </c>
      <c r="E1007" s="64" t="e">
        <f>Tableau7[[#This Row],[Mensualité]]-Tableau7[[#This Row],[Intérêts]]</f>
        <v>#VALUE!</v>
      </c>
      <c r="F1007" s="64" t="e">
        <f>$G$4-Tableau7[[#This Row],[Mensualité]]-Tableau7[[#This Row],[Intérêts]]</f>
        <v>#VALUE!</v>
      </c>
    </row>
    <row r="1008" spans="2:6" x14ac:dyDescent="0.25">
      <c r="B1008" s="67" t="str">
        <f t="shared" si="51"/>
        <v>NA</v>
      </c>
      <c r="C1008" t="str">
        <f t="shared" si="52"/>
        <v>NA</v>
      </c>
      <c r="D1008" s="64" t="e">
        <f t="shared" si="53"/>
        <v>#VALUE!</v>
      </c>
      <c r="E1008" s="64" t="e">
        <f>Tableau7[[#This Row],[Mensualité]]-Tableau7[[#This Row],[Intérêts]]</f>
        <v>#VALUE!</v>
      </c>
      <c r="F1008" s="64" t="e">
        <f>$G$4-Tableau7[[#This Row],[Mensualité]]-Tableau7[[#This Row],[Intérêts]]</f>
        <v>#VALUE!</v>
      </c>
    </row>
    <row r="1009" spans="2:6" x14ac:dyDescent="0.25">
      <c r="B1009" s="67" t="str">
        <f t="shared" si="51"/>
        <v>NA</v>
      </c>
      <c r="C1009" t="str">
        <f t="shared" si="52"/>
        <v>NA</v>
      </c>
      <c r="D1009" s="64" t="e">
        <f t="shared" si="53"/>
        <v>#VALUE!</v>
      </c>
      <c r="E1009" s="64" t="e">
        <f>Tableau7[[#This Row],[Mensualité]]-Tableau7[[#This Row],[Intérêts]]</f>
        <v>#VALUE!</v>
      </c>
      <c r="F1009" s="64" t="e">
        <f>$G$4-Tableau7[[#This Row],[Mensualité]]-Tableau7[[#This Row],[Intérêts]]</f>
        <v>#VALUE!</v>
      </c>
    </row>
    <row r="1010" spans="2:6" x14ac:dyDescent="0.25">
      <c r="B1010" s="67" t="str">
        <f t="shared" si="51"/>
        <v>NA</v>
      </c>
      <c r="C1010" t="str">
        <f t="shared" si="52"/>
        <v>NA</v>
      </c>
      <c r="D1010" s="64" t="e">
        <f t="shared" si="53"/>
        <v>#VALUE!</v>
      </c>
      <c r="E1010" s="64" t="e">
        <f>Tableau7[[#This Row],[Mensualité]]-Tableau7[[#This Row],[Intérêts]]</f>
        <v>#VALUE!</v>
      </c>
      <c r="F1010" s="64" t="e">
        <f>$G$4-Tableau7[[#This Row],[Mensualité]]-Tableau7[[#This Row],[Intérêts]]</f>
        <v>#VALUE!</v>
      </c>
    </row>
    <row r="1011" spans="2:6" x14ac:dyDescent="0.25">
      <c r="B1011" s="67" t="str">
        <f t="shared" si="51"/>
        <v>NA</v>
      </c>
      <c r="C1011" t="str">
        <f t="shared" si="52"/>
        <v>NA</v>
      </c>
      <c r="D1011" s="64" t="e">
        <f t="shared" si="53"/>
        <v>#VALUE!</v>
      </c>
      <c r="E1011" s="64" t="e">
        <f>Tableau7[[#This Row],[Mensualité]]-Tableau7[[#This Row],[Intérêts]]</f>
        <v>#VALUE!</v>
      </c>
      <c r="F1011" s="64" t="e">
        <f>$G$4-Tableau7[[#This Row],[Mensualité]]-Tableau7[[#This Row],[Intérêts]]</f>
        <v>#VALUE!</v>
      </c>
    </row>
    <row r="1012" spans="2:6" x14ac:dyDescent="0.25">
      <c r="B1012" s="67" t="str">
        <f t="shared" si="51"/>
        <v>NA</v>
      </c>
      <c r="C1012" t="str">
        <f t="shared" si="52"/>
        <v>NA</v>
      </c>
      <c r="D1012" s="64" t="e">
        <f t="shared" si="53"/>
        <v>#VALUE!</v>
      </c>
      <c r="E1012" s="64" t="e">
        <f>Tableau7[[#This Row],[Mensualité]]-Tableau7[[#This Row],[Intérêts]]</f>
        <v>#VALUE!</v>
      </c>
      <c r="F1012" s="64" t="e">
        <f>$G$4-Tableau7[[#This Row],[Mensualité]]-Tableau7[[#This Row],[Intérêts]]</f>
        <v>#VALUE!</v>
      </c>
    </row>
    <row r="1013" spans="2:6" x14ac:dyDescent="0.25">
      <c r="B1013" s="67" t="str">
        <f t="shared" si="51"/>
        <v>NA</v>
      </c>
      <c r="C1013" t="str">
        <f t="shared" si="52"/>
        <v>NA</v>
      </c>
      <c r="D1013" s="64" t="e">
        <f t="shared" si="53"/>
        <v>#VALUE!</v>
      </c>
      <c r="E1013" s="64" t="e">
        <f>Tableau7[[#This Row],[Mensualité]]-Tableau7[[#This Row],[Intérêts]]</f>
        <v>#VALUE!</v>
      </c>
      <c r="F1013" s="64" t="e">
        <f>$G$4-Tableau7[[#This Row],[Mensualité]]-Tableau7[[#This Row],[Intérêts]]</f>
        <v>#VALUE!</v>
      </c>
    </row>
    <row r="1014" spans="2:6" x14ac:dyDescent="0.25">
      <c r="B1014" s="67" t="str">
        <f t="shared" si="51"/>
        <v>NA</v>
      </c>
      <c r="C1014" t="str">
        <f t="shared" si="52"/>
        <v>NA</v>
      </c>
      <c r="D1014" s="64" t="e">
        <f t="shared" si="53"/>
        <v>#VALUE!</v>
      </c>
      <c r="E1014" s="64" t="e">
        <f>Tableau7[[#This Row],[Mensualité]]-Tableau7[[#This Row],[Intérêts]]</f>
        <v>#VALUE!</v>
      </c>
      <c r="F1014" s="64" t="e">
        <f>$G$4-Tableau7[[#This Row],[Mensualité]]-Tableau7[[#This Row],[Intérêts]]</f>
        <v>#VALUE!</v>
      </c>
    </row>
    <row r="1015" spans="2:6" x14ac:dyDescent="0.25">
      <c r="B1015" s="67" t="str">
        <f t="shared" si="51"/>
        <v>NA</v>
      </c>
      <c r="C1015" t="str">
        <f t="shared" si="52"/>
        <v>NA</v>
      </c>
      <c r="D1015" s="64" t="e">
        <f t="shared" si="53"/>
        <v>#VALUE!</v>
      </c>
      <c r="E1015" s="64" t="e">
        <f>Tableau7[[#This Row],[Mensualité]]-Tableau7[[#This Row],[Intérêts]]</f>
        <v>#VALUE!</v>
      </c>
      <c r="F1015" s="64" t="e">
        <f>$G$4-Tableau7[[#This Row],[Mensualité]]-Tableau7[[#This Row],[Intérêts]]</f>
        <v>#VALUE!</v>
      </c>
    </row>
    <row r="1016" spans="2:6" x14ac:dyDescent="0.25">
      <c r="B1016" s="67" t="str">
        <f t="shared" si="51"/>
        <v>NA</v>
      </c>
      <c r="C1016" t="str">
        <f t="shared" si="52"/>
        <v>NA</v>
      </c>
      <c r="D1016" s="64" t="e">
        <f t="shared" si="53"/>
        <v>#VALUE!</v>
      </c>
      <c r="E1016" s="64" t="e">
        <f>Tableau7[[#This Row],[Mensualité]]-Tableau7[[#This Row],[Intérêts]]</f>
        <v>#VALUE!</v>
      </c>
      <c r="F1016" s="64" t="e">
        <f>$G$4-Tableau7[[#This Row],[Mensualité]]-Tableau7[[#This Row],[Intérêts]]</f>
        <v>#VALUE!</v>
      </c>
    </row>
    <row r="1017" spans="2:6" x14ac:dyDescent="0.25">
      <c r="B1017" s="67" t="str">
        <f t="shared" si="51"/>
        <v>NA</v>
      </c>
      <c r="C1017" t="str">
        <f t="shared" si="52"/>
        <v>NA</v>
      </c>
      <c r="D1017" s="64" t="e">
        <f t="shared" si="53"/>
        <v>#VALUE!</v>
      </c>
      <c r="E1017" s="64" t="e">
        <f>Tableau7[[#This Row],[Mensualité]]-Tableau7[[#This Row],[Intérêts]]</f>
        <v>#VALUE!</v>
      </c>
      <c r="F1017" s="64" t="e">
        <f>$G$4-Tableau7[[#This Row],[Mensualité]]-Tableau7[[#This Row],[Intérêts]]</f>
        <v>#VALUE!</v>
      </c>
    </row>
    <row r="1018" spans="2:6" x14ac:dyDescent="0.25">
      <c r="B1018" s="67" t="str">
        <f t="shared" si="51"/>
        <v>NA</v>
      </c>
      <c r="C1018" t="str">
        <f t="shared" si="52"/>
        <v>NA</v>
      </c>
      <c r="D1018" s="64" t="e">
        <f t="shared" si="53"/>
        <v>#VALUE!</v>
      </c>
      <c r="E1018" s="64" t="e">
        <f>Tableau7[[#This Row],[Mensualité]]-Tableau7[[#This Row],[Intérêts]]</f>
        <v>#VALUE!</v>
      </c>
      <c r="F1018" s="64" t="e">
        <f>$G$4-Tableau7[[#This Row],[Mensualité]]-Tableau7[[#This Row],[Intérêts]]</f>
        <v>#VALUE!</v>
      </c>
    </row>
    <row r="1019" spans="2:6" x14ac:dyDescent="0.25">
      <c r="B1019" s="67" t="str">
        <f t="shared" si="51"/>
        <v>NA</v>
      </c>
      <c r="C1019" t="str">
        <f t="shared" si="52"/>
        <v>NA</v>
      </c>
      <c r="D1019" s="64" t="e">
        <f t="shared" si="53"/>
        <v>#VALUE!</v>
      </c>
      <c r="E1019" s="64" t="e">
        <f>Tableau7[[#This Row],[Mensualité]]-Tableau7[[#This Row],[Intérêts]]</f>
        <v>#VALUE!</v>
      </c>
      <c r="F1019" s="64" t="e">
        <f>$G$4-Tableau7[[#This Row],[Mensualité]]-Tableau7[[#This Row],[Intérêts]]</f>
        <v>#VALUE!</v>
      </c>
    </row>
    <row r="1020" spans="2:6" x14ac:dyDescent="0.25">
      <c r="B1020" s="67" t="str">
        <f t="shared" si="51"/>
        <v>NA</v>
      </c>
      <c r="C1020" t="str">
        <f t="shared" si="52"/>
        <v>NA</v>
      </c>
      <c r="D1020" s="64" t="e">
        <f t="shared" si="53"/>
        <v>#VALUE!</v>
      </c>
      <c r="E1020" s="64" t="e">
        <f>Tableau7[[#This Row],[Mensualité]]-Tableau7[[#This Row],[Intérêts]]</f>
        <v>#VALUE!</v>
      </c>
      <c r="F1020" s="64" t="e">
        <f>$G$4-Tableau7[[#This Row],[Mensualité]]-Tableau7[[#This Row],[Intérêts]]</f>
        <v>#VALUE!</v>
      </c>
    </row>
    <row r="1021" spans="2:6" x14ac:dyDescent="0.25">
      <c r="B1021" s="67" t="str">
        <f t="shared" si="51"/>
        <v>NA</v>
      </c>
      <c r="C1021" t="str">
        <f t="shared" si="52"/>
        <v>NA</v>
      </c>
      <c r="D1021" s="64" t="e">
        <f t="shared" si="53"/>
        <v>#VALUE!</v>
      </c>
      <c r="E1021" s="64" t="e">
        <f>Tableau7[[#This Row],[Mensualité]]-Tableau7[[#This Row],[Intérêts]]</f>
        <v>#VALUE!</v>
      </c>
      <c r="F1021" s="64" t="e">
        <f>$G$4-Tableau7[[#This Row],[Mensualité]]-Tableau7[[#This Row],[Intérêts]]</f>
        <v>#VALUE!</v>
      </c>
    </row>
    <row r="1022" spans="2:6" x14ac:dyDescent="0.25">
      <c r="B1022" s="67" t="str">
        <f t="shared" si="51"/>
        <v>NA</v>
      </c>
      <c r="C1022" t="str">
        <f t="shared" si="52"/>
        <v>NA</v>
      </c>
      <c r="D1022" s="64" t="e">
        <f t="shared" si="53"/>
        <v>#VALUE!</v>
      </c>
      <c r="E1022" s="64" t="e">
        <f>Tableau7[[#This Row],[Mensualité]]-Tableau7[[#This Row],[Intérêts]]</f>
        <v>#VALUE!</v>
      </c>
      <c r="F1022" s="64" t="e">
        <f>$G$4-Tableau7[[#This Row],[Mensualité]]-Tableau7[[#This Row],[Intérêts]]</f>
        <v>#VALUE!</v>
      </c>
    </row>
    <row r="1023" spans="2:6" x14ac:dyDescent="0.25">
      <c r="B1023" s="67" t="str">
        <f t="shared" si="51"/>
        <v>NA</v>
      </c>
      <c r="C1023" t="str">
        <f t="shared" si="52"/>
        <v>NA</v>
      </c>
      <c r="D1023" s="64" t="e">
        <f t="shared" si="53"/>
        <v>#VALUE!</v>
      </c>
      <c r="E1023" s="64" t="e">
        <f>Tableau7[[#This Row],[Mensualité]]-Tableau7[[#This Row],[Intérêts]]</f>
        <v>#VALUE!</v>
      </c>
      <c r="F1023" s="64" t="e">
        <f>$G$4-Tableau7[[#This Row],[Mensualité]]-Tableau7[[#This Row],[Intérêts]]</f>
        <v>#VALUE!</v>
      </c>
    </row>
    <row r="1024" spans="2:6" x14ac:dyDescent="0.25">
      <c r="B1024" s="67" t="str">
        <f t="shared" si="51"/>
        <v>NA</v>
      </c>
      <c r="C1024" t="str">
        <f t="shared" si="52"/>
        <v>NA</v>
      </c>
      <c r="D1024" s="64" t="e">
        <f t="shared" si="53"/>
        <v>#VALUE!</v>
      </c>
      <c r="E1024" s="64" t="e">
        <f>Tableau7[[#This Row],[Mensualité]]-Tableau7[[#This Row],[Intérêts]]</f>
        <v>#VALUE!</v>
      </c>
      <c r="F1024" s="64" t="e">
        <f>$G$4-Tableau7[[#This Row],[Mensualité]]-Tableau7[[#This Row],[Intérêts]]</f>
        <v>#VALUE!</v>
      </c>
    </row>
    <row r="1025" spans="2:6" x14ac:dyDescent="0.25">
      <c r="B1025" s="67" t="str">
        <f t="shared" si="51"/>
        <v>NA</v>
      </c>
      <c r="C1025" t="str">
        <f t="shared" si="52"/>
        <v>NA</v>
      </c>
      <c r="D1025" s="64" t="e">
        <f t="shared" si="53"/>
        <v>#VALUE!</v>
      </c>
      <c r="E1025" s="64" t="e">
        <f>Tableau7[[#This Row],[Mensualité]]-Tableau7[[#This Row],[Intérêts]]</f>
        <v>#VALUE!</v>
      </c>
      <c r="F1025" s="64" t="e">
        <f>$G$4-Tableau7[[#This Row],[Mensualité]]-Tableau7[[#This Row],[Intérêts]]</f>
        <v>#VALUE!</v>
      </c>
    </row>
    <row r="1026" spans="2:6" x14ac:dyDescent="0.25">
      <c r="B1026" s="67" t="str">
        <f t="shared" si="51"/>
        <v>NA</v>
      </c>
      <c r="C1026" t="str">
        <f t="shared" si="52"/>
        <v>NA</v>
      </c>
      <c r="D1026" s="64" t="e">
        <f t="shared" si="53"/>
        <v>#VALUE!</v>
      </c>
      <c r="E1026" s="64" t="e">
        <f>Tableau7[[#This Row],[Mensualité]]-Tableau7[[#This Row],[Intérêts]]</f>
        <v>#VALUE!</v>
      </c>
      <c r="F1026" s="64" t="e">
        <f>$G$4-Tableau7[[#This Row],[Mensualité]]-Tableau7[[#This Row],[Intérêts]]</f>
        <v>#VALUE!</v>
      </c>
    </row>
    <row r="1027" spans="2:6" x14ac:dyDescent="0.25">
      <c r="B1027" s="67" t="str">
        <f t="shared" si="51"/>
        <v>NA</v>
      </c>
      <c r="C1027" t="str">
        <f t="shared" si="52"/>
        <v>NA</v>
      </c>
      <c r="D1027" s="64" t="e">
        <f t="shared" si="53"/>
        <v>#VALUE!</v>
      </c>
      <c r="E1027" s="64" t="e">
        <f>Tableau7[[#This Row],[Mensualité]]-Tableau7[[#This Row],[Intérêts]]</f>
        <v>#VALUE!</v>
      </c>
      <c r="F1027" s="64" t="e">
        <f>$G$4-Tableau7[[#This Row],[Mensualité]]-Tableau7[[#This Row],[Intérêts]]</f>
        <v>#VALUE!</v>
      </c>
    </row>
    <row r="1028" spans="2:6" x14ac:dyDescent="0.25">
      <c r="B1028" s="67" t="str">
        <f t="shared" si="51"/>
        <v>NA</v>
      </c>
      <c r="C1028" t="str">
        <f t="shared" si="52"/>
        <v>NA</v>
      </c>
      <c r="D1028" s="64" t="e">
        <f t="shared" si="53"/>
        <v>#VALUE!</v>
      </c>
      <c r="E1028" s="64" t="e">
        <f>Tableau7[[#This Row],[Mensualité]]-Tableau7[[#This Row],[Intérêts]]</f>
        <v>#VALUE!</v>
      </c>
      <c r="F1028" s="64" t="e">
        <f>$G$4-Tableau7[[#This Row],[Mensualité]]-Tableau7[[#This Row],[Intérêts]]</f>
        <v>#VALUE!</v>
      </c>
    </row>
    <row r="1029" spans="2:6" x14ac:dyDescent="0.25">
      <c r="B1029" s="67" t="str">
        <f t="shared" si="51"/>
        <v>NA</v>
      </c>
      <c r="C1029" t="str">
        <f t="shared" si="52"/>
        <v>NA</v>
      </c>
      <c r="D1029" s="64" t="e">
        <f t="shared" si="53"/>
        <v>#VALUE!</v>
      </c>
      <c r="E1029" s="64" t="e">
        <f>Tableau7[[#This Row],[Mensualité]]-Tableau7[[#This Row],[Intérêts]]</f>
        <v>#VALUE!</v>
      </c>
      <c r="F1029" s="64" t="e">
        <f>$G$4-Tableau7[[#This Row],[Mensualité]]-Tableau7[[#This Row],[Intérêts]]</f>
        <v>#VALUE!</v>
      </c>
    </row>
    <row r="1030" spans="2:6" x14ac:dyDescent="0.25">
      <c r="B1030" s="67" t="str">
        <f t="shared" si="51"/>
        <v>NA</v>
      </c>
      <c r="C1030" t="str">
        <f t="shared" si="52"/>
        <v>NA</v>
      </c>
      <c r="D1030" s="64" t="e">
        <f t="shared" si="53"/>
        <v>#VALUE!</v>
      </c>
      <c r="E1030" s="64" t="e">
        <f>Tableau7[[#This Row],[Mensualité]]-Tableau7[[#This Row],[Intérêts]]</f>
        <v>#VALUE!</v>
      </c>
      <c r="F1030" s="64" t="e">
        <f>$G$4-Tableau7[[#This Row],[Mensualité]]-Tableau7[[#This Row],[Intérêts]]</f>
        <v>#VALUE!</v>
      </c>
    </row>
    <row r="1031" spans="2:6" x14ac:dyDescent="0.25">
      <c r="B1031" s="67" t="str">
        <f t="shared" si="51"/>
        <v>NA</v>
      </c>
      <c r="C1031" t="str">
        <f t="shared" si="52"/>
        <v>NA</v>
      </c>
      <c r="D1031" s="64" t="e">
        <f t="shared" si="53"/>
        <v>#VALUE!</v>
      </c>
      <c r="E1031" s="64" t="e">
        <f>Tableau7[[#This Row],[Mensualité]]-Tableau7[[#This Row],[Intérêts]]</f>
        <v>#VALUE!</v>
      </c>
      <c r="F1031" s="64" t="e">
        <f>$G$4-Tableau7[[#This Row],[Mensualité]]-Tableau7[[#This Row],[Intérêts]]</f>
        <v>#VALUE!</v>
      </c>
    </row>
    <row r="1032" spans="2:6" x14ac:dyDescent="0.25">
      <c r="B1032" s="67" t="str">
        <f t="shared" si="51"/>
        <v>NA</v>
      </c>
      <c r="C1032" t="str">
        <f t="shared" si="52"/>
        <v>NA</v>
      </c>
      <c r="D1032" s="64" t="e">
        <f t="shared" si="53"/>
        <v>#VALUE!</v>
      </c>
      <c r="E1032" s="64" t="e">
        <f>Tableau7[[#This Row],[Mensualité]]-Tableau7[[#This Row],[Intérêts]]</f>
        <v>#VALUE!</v>
      </c>
      <c r="F1032" s="64" t="e">
        <f>$G$4-Tableau7[[#This Row],[Mensualité]]-Tableau7[[#This Row],[Intérêts]]</f>
        <v>#VALUE!</v>
      </c>
    </row>
    <row r="1033" spans="2:6" x14ac:dyDescent="0.25">
      <c r="B1033" s="67" t="str">
        <f t="shared" si="51"/>
        <v>NA</v>
      </c>
      <c r="C1033" t="str">
        <f t="shared" si="52"/>
        <v>NA</v>
      </c>
      <c r="D1033" s="64" t="e">
        <f t="shared" si="53"/>
        <v>#VALUE!</v>
      </c>
      <c r="E1033" s="64" t="e">
        <f>Tableau7[[#This Row],[Mensualité]]-Tableau7[[#This Row],[Intérêts]]</f>
        <v>#VALUE!</v>
      </c>
      <c r="F1033" s="64" t="e">
        <f>$G$4-Tableau7[[#This Row],[Mensualité]]-Tableau7[[#This Row],[Intérêts]]</f>
        <v>#VALUE!</v>
      </c>
    </row>
    <row r="1034" spans="2:6" x14ac:dyDescent="0.25">
      <c r="B1034" s="67" t="str">
        <f t="shared" si="51"/>
        <v>NA</v>
      </c>
      <c r="C1034" t="str">
        <f t="shared" si="52"/>
        <v>NA</v>
      </c>
      <c r="D1034" s="64" t="e">
        <f t="shared" si="53"/>
        <v>#VALUE!</v>
      </c>
      <c r="E1034" s="64" t="e">
        <f>Tableau7[[#This Row],[Mensualité]]-Tableau7[[#This Row],[Intérêts]]</f>
        <v>#VALUE!</v>
      </c>
      <c r="F1034" s="64" t="e">
        <f>$G$4-Tableau7[[#This Row],[Mensualité]]-Tableau7[[#This Row],[Intérêts]]</f>
        <v>#VALUE!</v>
      </c>
    </row>
    <row r="1035" spans="2:6" x14ac:dyDescent="0.25">
      <c r="B1035" s="67" t="str">
        <f t="shared" si="51"/>
        <v>NA</v>
      </c>
      <c r="C1035" t="str">
        <f t="shared" si="52"/>
        <v>NA</v>
      </c>
      <c r="D1035" s="64" t="e">
        <f t="shared" si="53"/>
        <v>#VALUE!</v>
      </c>
      <c r="E1035" s="64" t="e">
        <f>Tableau7[[#This Row],[Mensualité]]-Tableau7[[#This Row],[Intérêts]]</f>
        <v>#VALUE!</v>
      </c>
      <c r="F1035" s="64" t="e">
        <f>$G$4-Tableau7[[#This Row],[Mensualité]]-Tableau7[[#This Row],[Intérêts]]</f>
        <v>#VALUE!</v>
      </c>
    </row>
    <row r="1036" spans="2:6" x14ac:dyDescent="0.25">
      <c r="B1036" s="67" t="str">
        <f t="shared" si="51"/>
        <v>NA</v>
      </c>
      <c r="C1036" t="str">
        <f t="shared" si="52"/>
        <v>NA</v>
      </c>
      <c r="D1036" s="64" t="e">
        <f t="shared" si="53"/>
        <v>#VALUE!</v>
      </c>
      <c r="E1036" s="64" t="e">
        <f>Tableau7[[#This Row],[Mensualité]]-Tableau7[[#This Row],[Intérêts]]</f>
        <v>#VALUE!</v>
      </c>
      <c r="F1036" s="64" t="e">
        <f>$G$4-Tableau7[[#This Row],[Mensualité]]-Tableau7[[#This Row],[Intérêts]]</f>
        <v>#VALUE!</v>
      </c>
    </row>
    <row r="1037" spans="2:6" x14ac:dyDescent="0.25">
      <c r="B1037" s="67" t="str">
        <f t="shared" si="51"/>
        <v>NA</v>
      </c>
      <c r="C1037" t="str">
        <f t="shared" si="52"/>
        <v>NA</v>
      </c>
      <c r="D1037" s="64" t="e">
        <f t="shared" si="53"/>
        <v>#VALUE!</v>
      </c>
      <c r="E1037" s="64" t="e">
        <f>Tableau7[[#This Row],[Mensualité]]-Tableau7[[#This Row],[Intérêts]]</f>
        <v>#VALUE!</v>
      </c>
      <c r="F1037" s="64" t="e">
        <f>$G$4-Tableau7[[#This Row],[Mensualité]]-Tableau7[[#This Row],[Intérêts]]</f>
        <v>#VALUE!</v>
      </c>
    </row>
    <row r="1038" spans="2:6" x14ac:dyDescent="0.25">
      <c r="B1038" s="67" t="str">
        <f t="shared" si="51"/>
        <v>NA</v>
      </c>
      <c r="C1038" t="str">
        <f t="shared" si="52"/>
        <v>NA</v>
      </c>
      <c r="D1038" s="64" t="e">
        <f t="shared" si="53"/>
        <v>#VALUE!</v>
      </c>
      <c r="E1038" s="64" t="e">
        <f>Tableau7[[#This Row],[Mensualité]]-Tableau7[[#This Row],[Intérêts]]</f>
        <v>#VALUE!</v>
      </c>
      <c r="F1038" s="64" t="e">
        <f>$G$4-Tableau7[[#This Row],[Mensualité]]-Tableau7[[#This Row],[Intérêts]]</f>
        <v>#VALUE!</v>
      </c>
    </row>
    <row r="1039" spans="2:6" x14ac:dyDescent="0.25">
      <c r="B1039" s="67" t="str">
        <f t="shared" si="51"/>
        <v>NA</v>
      </c>
      <c r="C1039" t="str">
        <f t="shared" si="52"/>
        <v>NA</v>
      </c>
      <c r="D1039" s="64" t="e">
        <f t="shared" si="53"/>
        <v>#VALUE!</v>
      </c>
      <c r="E1039" s="64" t="e">
        <f>Tableau7[[#This Row],[Mensualité]]-Tableau7[[#This Row],[Intérêts]]</f>
        <v>#VALUE!</v>
      </c>
      <c r="F1039" s="64" t="e">
        <f>$G$4-Tableau7[[#This Row],[Mensualité]]-Tableau7[[#This Row],[Intérêts]]</f>
        <v>#VALUE!</v>
      </c>
    </row>
    <row r="1040" spans="2:6" x14ac:dyDescent="0.25">
      <c r="B1040" s="67" t="str">
        <f t="shared" si="51"/>
        <v>NA</v>
      </c>
      <c r="C1040" t="str">
        <f t="shared" si="52"/>
        <v>NA</v>
      </c>
      <c r="D1040" s="64" t="e">
        <f t="shared" si="53"/>
        <v>#VALUE!</v>
      </c>
      <c r="E1040" s="64" t="e">
        <f>Tableau7[[#This Row],[Mensualité]]-Tableau7[[#This Row],[Intérêts]]</f>
        <v>#VALUE!</v>
      </c>
      <c r="F1040" s="64" t="e">
        <f>$G$4-Tableau7[[#This Row],[Mensualité]]-Tableau7[[#This Row],[Intérêts]]</f>
        <v>#VALUE!</v>
      </c>
    </row>
    <row r="1041" spans="2:6" x14ac:dyDescent="0.25">
      <c r="B1041" s="67" t="str">
        <f t="shared" si="51"/>
        <v>NA</v>
      </c>
      <c r="C1041" t="str">
        <f t="shared" si="52"/>
        <v>NA</v>
      </c>
      <c r="D1041" s="64" t="e">
        <f t="shared" si="53"/>
        <v>#VALUE!</v>
      </c>
      <c r="E1041" s="64" t="e">
        <f>Tableau7[[#This Row],[Mensualité]]-Tableau7[[#This Row],[Intérêts]]</f>
        <v>#VALUE!</v>
      </c>
      <c r="F1041" s="64" t="e">
        <f>$G$4-Tableau7[[#This Row],[Mensualité]]-Tableau7[[#This Row],[Intérêts]]</f>
        <v>#VALUE!</v>
      </c>
    </row>
    <row r="1042" spans="2:6" x14ac:dyDescent="0.25">
      <c r="B1042" s="67" t="str">
        <f t="shared" si="51"/>
        <v>NA</v>
      </c>
      <c r="C1042" t="str">
        <f t="shared" si="52"/>
        <v>NA</v>
      </c>
      <c r="D1042" s="64" t="e">
        <f t="shared" si="53"/>
        <v>#VALUE!</v>
      </c>
      <c r="E1042" s="64" t="e">
        <f>Tableau7[[#This Row],[Mensualité]]-Tableau7[[#This Row],[Intérêts]]</f>
        <v>#VALUE!</v>
      </c>
      <c r="F1042" s="64" t="e">
        <f>$G$4-Tableau7[[#This Row],[Mensualité]]-Tableau7[[#This Row],[Intérêts]]</f>
        <v>#VALUE!</v>
      </c>
    </row>
    <row r="1043" spans="2:6" x14ac:dyDescent="0.25">
      <c r="B1043" s="67" t="str">
        <f t="shared" si="51"/>
        <v>NA</v>
      </c>
      <c r="C1043" t="str">
        <f t="shared" si="52"/>
        <v>NA</v>
      </c>
      <c r="D1043" s="64" t="e">
        <f t="shared" si="53"/>
        <v>#VALUE!</v>
      </c>
      <c r="E1043" s="64" t="e">
        <f>Tableau7[[#This Row],[Mensualité]]-Tableau7[[#This Row],[Intérêts]]</f>
        <v>#VALUE!</v>
      </c>
      <c r="F1043" s="64" t="e">
        <f>$G$4-Tableau7[[#This Row],[Mensualité]]-Tableau7[[#This Row],[Intérêts]]</f>
        <v>#VALUE!</v>
      </c>
    </row>
    <row r="1044" spans="2:6" x14ac:dyDescent="0.25">
      <c r="B1044" s="67" t="str">
        <f t="shared" si="51"/>
        <v>NA</v>
      </c>
      <c r="C1044" t="str">
        <f t="shared" si="52"/>
        <v>NA</v>
      </c>
      <c r="D1044" s="64" t="e">
        <f t="shared" si="53"/>
        <v>#VALUE!</v>
      </c>
      <c r="E1044" s="64" t="e">
        <f>Tableau7[[#This Row],[Mensualité]]-Tableau7[[#This Row],[Intérêts]]</f>
        <v>#VALUE!</v>
      </c>
      <c r="F1044" s="64" t="e">
        <f>$G$4-Tableau7[[#This Row],[Mensualité]]-Tableau7[[#This Row],[Intérêts]]</f>
        <v>#VALUE!</v>
      </c>
    </row>
    <row r="1045" spans="2:6" x14ac:dyDescent="0.25">
      <c r="B1045" s="67" t="str">
        <f t="shared" si="51"/>
        <v>NA</v>
      </c>
      <c r="C1045" t="str">
        <f t="shared" si="52"/>
        <v>NA</v>
      </c>
      <c r="D1045" s="64" t="e">
        <f t="shared" si="53"/>
        <v>#VALUE!</v>
      </c>
      <c r="E1045" s="64" t="e">
        <f>Tableau7[[#This Row],[Mensualité]]-Tableau7[[#This Row],[Intérêts]]</f>
        <v>#VALUE!</v>
      </c>
      <c r="F1045" s="64" t="e">
        <f>$G$4-Tableau7[[#This Row],[Mensualité]]-Tableau7[[#This Row],[Intérêts]]</f>
        <v>#VALUE!</v>
      </c>
    </row>
    <row r="1046" spans="2:6" x14ac:dyDescent="0.25">
      <c r="B1046" s="67" t="str">
        <f t="shared" si="51"/>
        <v>NA</v>
      </c>
      <c r="C1046" t="str">
        <f t="shared" si="52"/>
        <v>NA</v>
      </c>
      <c r="D1046" s="64" t="e">
        <f t="shared" si="53"/>
        <v>#VALUE!</v>
      </c>
      <c r="E1046" s="64" t="e">
        <f>Tableau7[[#This Row],[Mensualité]]-Tableau7[[#This Row],[Intérêts]]</f>
        <v>#VALUE!</v>
      </c>
      <c r="F1046" s="64" t="e">
        <f>$G$4-Tableau7[[#This Row],[Mensualité]]-Tableau7[[#This Row],[Intérêts]]</f>
        <v>#VALUE!</v>
      </c>
    </row>
    <row r="1047" spans="2:6" x14ac:dyDescent="0.25">
      <c r="B1047" s="67" t="str">
        <f t="shared" si="51"/>
        <v>NA</v>
      </c>
      <c r="C1047" t="str">
        <f t="shared" si="52"/>
        <v>NA</v>
      </c>
      <c r="D1047" s="64" t="e">
        <f t="shared" si="53"/>
        <v>#VALUE!</v>
      </c>
      <c r="E1047" s="64" t="e">
        <f>Tableau7[[#This Row],[Mensualité]]-Tableau7[[#This Row],[Intérêts]]</f>
        <v>#VALUE!</v>
      </c>
      <c r="F1047" s="64" t="e">
        <f>$G$4-Tableau7[[#This Row],[Mensualité]]-Tableau7[[#This Row],[Intérêts]]</f>
        <v>#VALUE!</v>
      </c>
    </row>
    <row r="1048" spans="2:6" x14ac:dyDescent="0.25">
      <c r="B1048" s="67" t="str">
        <f t="shared" si="51"/>
        <v>NA</v>
      </c>
      <c r="C1048" t="str">
        <f t="shared" si="52"/>
        <v>NA</v>
      </c>
      <c r="D1048" s="64" t="e">
        <f t="shared" si="53"/>
        <v>#VALUE!</v>
      </c>
      <c r="E1048" s="64" t="e">
        <f>Tableau7[[#This Row],[Mensualité]]-Tableau7[[#This Row],[Intérêts]]</f>
        <v>#VALUE!</v>
      </c>
      <c r="F1048" s="64" t="e">
        <f>$G$4-Tableau7[[#This Row],[Mensualité]]-Tableau7[[#This Row],[Intérêts]]</f>
        <v>#VALUE!</v>
      </c>
    </row>
    <row r="1049" spans="2:6" x14ac:dyDescent="0.25">
      <c r="B1049" s="67" t="str">
        <f t="shared" si="51"/>
        <v>NA</v>
      </c>
      <c r="C1049" t="str">
        <f t="shared" si="52"/>
        <v>NA</v>
      </c>
      <c r="D1049" s="64" t="e">
        <f t="shared" si="53"/>
        <v>#VALUE!</v>
      </c>
      <c r="E1049" s="64" t="e">
        <f>Tableau7[[#This Row],[Mensualité]]-Tableau7[[#This Row],[Intérêts]]</f>
        <v>#VALUE!</v>
      </c>
      <c r="F1049" s="64" t="e">
        <f>$G$4-Tableau7[[#This Row],[Mensualité]]-Tableau7[[#This Row],[Intérêts]]</f>
        <v>#VALUE!</v>
      </c>
    </row>
    <row r="1050" spans="2:6" x14ac:dyDescent="0.25">
      <c r="B1050" s="67" t="str">
        <f t="shared" si="51"/>
        <v>NA</v>
      </c>
      <c r="C1050" t="str">
        <f t="shared" si="52"/>
        <v>NA</v>
      </c>
      <c r="D1050" s="64" t="e">
        <f t="shared" si="53"/>
        <v>#VALUE!</v>
      </c>
      <c r="E1050" s="64" t="e">
        <f>Tableau7[[#This Row],[Mensualité]]-Tableau7[[#This Row],[Intérêts]]</f>
        <v>#VALUE!</v>
      </c>
      <c r="F1050" s="64" t="e">
        <f>$G$4-Tableau7[[#This Row],[Mensualité]]-Tableau7[[#This Row],[Intérêts]]</f>
        <v>#VALUE!</v>
      </c>
    </row>
    <row r="1051" spans="2:6" x14ac:dyDescent="0.25">
      <c r="B1051" s="67" t="str">
        <f t="shared" si="51"/>
        <v>NA</v>
      </c>
      <c r="C1051" t="str">
        <f t="shared" si="52"/>
        <v>NA</v>
      </c>
      <c r="D1051" s="64" t="e">
        <f t="shared" si="53"/>
        <v>#VALUE!</v>
      </c>
      <c r="E1051" s="64" t="e">
        <f>Tableau7[[#This Row],[Mensualité]]-Tableau7[[#This Row],[Intérêts]]</f>
        <v>#VALUE!</v>
      </c>
      <c r="F1051" s="64" t="e">
        <f>$G$4-Tableau7[[#This Row],[Mensualité]]-Tableau7[[#This Row],[Intérêts]]</f>
        <v>#VALUE!</v>
      </c>
    </row>
    <row r="1052" spans="2:6" x14ac:dyDescent="0.25">
      <c r="B1052" s="67" t="str">
        <f t="shared" si="51"/>
        <v>NA</v>
      </c>
      <c r="C1052" t="str">
        <f t="shared" si="52"/>
        <v>NA</v>
      </c>
      <c r="D1052" s="64" t="e">
        <f t="shared" si="53"/>
        <v>#VALUE!</v>
      </c>
      <c r="E1052" s="64" t="e">
        <f>Tableau7[[#This Row],[Mensualité]]-Tableau7[[#This Row],[Intérêts]]</f>
        <v>#VALUE!</v>
      </c>
      <c r="F1052" s="64" t="e">
        <f>$G$4-Tableau7[[#This Row],[Mensualité]]-Tableau7[[#This Row],[Intérêts]]</f>
        <v>#VALUE!</v>
      </c>
    </row>
    <row r="1053" spans="2:6" x14ac:dyDescent="0.25">
      <c r="B1053" s="67" t="str">
        <f t="shared" si="51"/>
        <v>NA</v>
      </c>
      <c r="C1053" t="str">
        <f t="shared" si="52"/>
        <v>NA</v>
      </c>
      <c r="D1053" s="64" t="e">
        <f t="shared" si="53"/>
        <v>#VALUE!</v>
      </c>
      <c r="E1053" s="64" t="e">
        <f>Tableau7[[#This Row],[Mensualité]]-Tableau7[[#This Row],[Intérêts]]</f>
        <v>#VALUE!</v>
      </c>
      <c r="F1053" s="64" t="e">
        <f>$G$4-Tableau7[[#This Row],[Mensualité]]-Tableau7[[#This Row],[Intérêts]]</f>
        <v>#VALUE!</v>
      </c>
    </row>
    <row r="1054" spans="2:6" x14ac:dyDescent="0.25">
      <c r="B1054" s="67" t="str">
        <f t="shared" si="51"/>
        <v>NA</v>
      </c>
      <c r="C1054" t="str">
        <f t="shared" si="52"/>
        <v>NA</v>
      </c>
      <c r="D1054" s="64" t="e">
        <f t="shared" si="53"/>
        <v>#VALUE!</v>
      </c>
      <c r="E1054" s="64" t="e">
        <f>Tableau7[[#This Row],[Mensualité]]-Tableau7[[#This Row],[Intérêts]]</f>
        <v>#VALUE!</v>
      </c>
      <c r="F1054" s="64" t="e">
        <f>$G$4-Tableau7[[#This Row],[Mensualité]]-Tableau7[[#This Row],[Intérêts]]</f>
        <v>#VALUE!</v>
      </c>
    </row>
    <row r="1055" spans="2:6" x14ac:dyDescent="0.25">
      <c r="B1055" s="67" t="str">
        <f t="shared" si="51"/>
        <v>NA</v>
      </c>
      <c r="C1055" t="str">
        <f t="shared" si="52"/>
        <v>NA</v>
      </c>
      <c r="D1055" s="64" t="e">
        <f t="shared" si="53"/>
        <v>#VALUE!</v>
      </c>
      <c r="E1055" s="64" t="e">
        <f>Tableau7[[#This Row],[Mensualité]]-Tableau7[[#This Row],[Intérêts]]</f>
        <v>#VALUE!</v>
      </c>
      <c r="F1055" s="64" t="e">
        <f>$G$4-Tableau7[[#This Row],[Mensualité]]-Tableau7[[#This Row],[Intérêts]]</f>
        <v>#VALUE!</v>
      </c>
    </row>
    <row r="1056" spans="2:6" x14ac:dyDescent="0.25">
      <c r="B1056" s="67" t="str">
        <f t="shared" si="51"/>
        <v>NA</v>
      </c>
      <c r="C1056" t="str">
        <f t="shared" si="52"/>
        <v>NA</v>
      </c>
      <c r="D1056" s="64" t="e">
        <f t="shared" si="53"/>
        <v>#VALUE!</v>
      </c>
      <c r="E1056" s="64" t="e">
        <f>Tableau7[[#This Row],[Mensualité]]-Tableau7[[#This Row],[Intérêts]]</f>
        <v>#VALUE!</v>
      </c>
      <c r="F1056" s="64" t="e">
        <f>$G$4-Tableau7[[#This Row],[Mensualité]]-Tableau7[[#This Row],[Intérêts]]</f>
        <v>#VALUE!</v>
      </c>
    </row>
    <row r="1057" spans="2:6" x14ac:dyDescent="0.25">
      <c r="B1057" s="67" t="str">
        <f t="shared" si="51"/>
        <v>NA</v>
      </c>
      <c r="C1057" t="str">
        <f t="shared" si="52"/>
        <v>NA</v>
      </c>
      <c r="D1057" s="64" t="e">
        <f t="shared" si="53"/>
        <v>#VALUE!</v>
      </c>
      <c r="E1057" s="64" t="e">
        <f>Tableau7[[#This Row],[Mensualité]]-Tableau7[[#This Row],[Intérêts]]</f>
        <v>#VALUE!</v>
      </c>
      <c r="F1057" s="64" t="e">
        <f>$G$4-Tableau7[[#This Row],[Mensualité]]-Tableau7[[#This Row],[Intérêts]]</f>
        <v>#VALUE!</v>
      </c>
    </row>
    <row r="1058" spans="2:6" x14ac:dyDescent="0.25">
      <c r="B1058" s="67" t="str">
        <f t="shared" si="51"/>
        <v>NA</v>
      </c>
      <c r="C1058" t="str">
        <f t="shared" si="52"/>
        <v>NA</v>
      </c>
      <c r="D1058" s="64" t="e">
        <f t="shared" si="53"/>
        <v>#VALUE!</v>
      </c>
      <c r="E1058" s="64" t="e">
        <f>Tableau7[[#This Row],[Mensualité]]-Tableau7[[#This Row],[Intérêts]]</f>
        <v>#VALUE!</v>
      </c>
      <c r="F1058" s="64" t="e">
        <f>$G$4-Tableau7[[#This Row],[Mensualité]]-Tableau7[[#This Row],[Intérêts]]</f>
        <v>#VALUE!</v>
      </c>
    </row>
    <row r="1059" spans="2:6" x14ac:dyDescent="0.25">
      <c r="B1059" s="67" t="str">
        <f t="shared" si="51"/>
        <v>NA</v>
      </c>
      <c r="C1059" t="str">
        <f t="shared" si="52"/>
        <v>NA</v>
      </c>
      <c r="D1059" s="64" t="e">
        <f t="shared" si="53"/>
        <v>#VALUE!</v>
      </c>
      <c r="E1059" s="64" t="e">
        <f>Tableau7[[#This Row],[Mensualité]]-Tableau7[[#This Row],[Intérêts]]</f>
        <v>#VALUE!</v>
      </c>
      <c r="F1059" s="64" t="e">
        <f>$G$4-Tableau7[[#This Row],[Mensualité]]-Tableau7[[#This Row],[Intérêts]]</f>
        <v>#VALUE!</v>
      </c>
    </row>
    <row r="1060" spans="2:6" x14ac:dyDescent="0.25">
      <c r="B1060" s="67" t="str">
        <f t="shared" si="51"/>
        <v>NA</v>
      </c>
      <c r="C1060" t="str">
        <f t="shared" si="52"/>
        <v>NA</v>
      </c>
      <c r="D1060" s="64" t="e">
        <f t="shared" si="53"/>
        <v>#VALUE!</v>
      </c>
      <c r="E1060" s="64" t="e">
        <f>Tableau7[[#This Row],[Mensualité]]-Tableau7[[#This Row],[Intérêts]]</f>
        <v>#VALUE!</v>
      </c>
      <c r="F1060" s="64" t="e">
        <f>$G$4-Tableau7[[#This Row],[Mensualité]]-Tableau7[[#This Row],[Intérêts]]</f>
        <v>#VALUE!</v>
      </c>
    </row>
    <row r="1061" spans="2:6" x14ac:dyDescent="0.25">
      <c r="B1061" s="67" t="str">
        <f t="shared" si="51"/>
        <v>NA</v>
      </c>
      <c r="C1061" t="str">
        <f t="shared" si="52"/>
        <v>NA</v>
      </c>
      <c r="D1061" s="64" t="e">
        <f t="shared" si="53"/>
        <v>#VALUE!</v>
      </c>
      <c r="E1061" s="64" t="e">
        <f>Tableau7[[#This Row],[Mensualité]]-Tableau7[[#This Row],[Intérêts]]</f>
        <v>#VALUE!</v>
      </c>
      <c r="F1061" s="64" t="e">
        <f>$G$4-Tableau7[[#This Row],[Mensualité]]-Tableau7[[#This Row],[Intérêts]]</f>
        <v>#VALUE!</v>
      </c>
    </row>
    <row r="1062" spans="2:6" x14ac:dyDescent="0.25">
      <c r="B1062" s="67" t="str">
        <f t="shared" si="51"/>
        <v>NA</v>
      </c>
      <c r="C1062" t="str">
        <f t="shared" si="52"/>
        <v>NA</v>
      </c>
      <c r="D1062" s="64" t="e">
        <f t="shared" si="53"/>
        <v>#VALUE!</v>
      </c>
      <c r="E1062" s="64" t="e">
        <f>Tableau7[[#This Row],[Mensualité]]-Tableau7[[#This Row],[Intérêts]]</f>
        <v>#VALUE!</v>
      </c>
      <c r="F1062" s="64" t="e">
        <f>$G$4-Tableau7[[#This Row],[Mensualité]]-Tableau7[[#This Row],[Intérêts]]</f>
        <v>#VALUE!</v>
      </c>
    </row>
    <row r="1063" spans="2:6" x14ac:dyDescent="0.25">
      <c r="B1063" s="67" t="str">
        <f t="shared" si="51"/>
        <v>NA</v>
      </c>
      <c r="C1063" t="str">
        <f t="shared" si="52"/>
        <v>NA</v>
      </c>
      <c r="D1063" s="64" t="e">
        <f t="shared" si="53"/>
        <v>#VALUE!</v>
      </c>
      <c r="E1063" s="64" t="e">
        <f>Tableau7[[#This Row],[Mensualité]]-Tableau7[[#This Row],[Intérêts]]</f>
        <v>#VALUE!</v>
      </c>
      <c r="F1063" s="64" t="e">
        <f>$G$4-Tableau7[[#This Row],[Mensualité]]-Tableau7[[#This Row],[Intérêts]]</f>
        <v>#VALUE!</v>
      </c>
    </row>
    <row r="1064" spans="2:6" x14ac:dyDescent="0.25">
      <c r="B1064" s="67" t="str">
        <f t="shared" si="51"/>
        <v>NA</v>
      </c>
      <c r="C1064" t="str">
        <f t="shared" si="52"/>
        <v>NA</v>
      </c>
      <c r="D1064" s="64" t="e">
        <f t="shared" si="53"/>
        <v>#VALUE!</v>
      </c>
      <c r="E1064" s="64" t="e">
        <f>Tableau7[[#This Row],[Mensualité]]-Tableau7[[#This Row],[Intérêts]]</f>
        <v>#VALUE!</v>
      </c>
      <c r="F1064" s="64" t="e">
        <f>$G$4-Tableau7[[#This Row],[Mensualité]]-Tableau7[[#This Row],[Intérêts]]</f>
        <v>#VALUE!</v>
      </c>
    </row>
    <row r="1065" spans="2:6" x14ac:dyDescent="0.25">
      <c r="B1065" s="67" t="str">
        <f t="shared" si="51"/>
        <v>NA</v>
      </c>
      <c r="C1065" t="str">
        <f t="shared" si="52"/>
        <v>NA</v>
      </c>
      <c r="D1065" s="64" t="e">
        <f t="shared" si="53"/>
        <v>#VALUE!</v>
      </c>
      <c r="E1065" s="64" t="e">
        <f>Tableau7[[#This Row],[Mensualité]]-Tableau7[[#This Row],[Intérêts]]</f>
        <v>#VALUE!</v>
      </c>
      <c r="F1065" s="64" t="e">
        <f>$G$4-Tableau7[[#This Row],[Mensualité]]-Tableau7[[#This Row],[Intérêts]]</f>
        <v>#VALUE!</v>
      </c>
    </row>
    <row r="1066" spans="2:6" x14ac:dyDescent="0.25">
      <c r="B1066" s="67" t="str">
        <f t="shared" si="51"/>
        <v>NA</v>
      </c>
      <c r="C1066" t="str">
        <f t="shared" si="52"/>
        <v>NA</v>
      </c>
      <c r="D1066" s="64" t="e">
        <f t="shared" si="53"/>
        <v>#VALUE!</v>
      </c>
      <c r="E1066" s="64" t="e">
        <f>Tableau7[[#This Row],[Mensualité]]-Tableau7[[#This Row],[Intérêts]]</f>
        <v>#VALUE!</v>
      </c>
      <c r="F1066" s="64" t="e">
        <f>$G$4-Tableau7[[#This Row],[Mensualité]]-Tableau7[[#This Row],[Intérêts]]</f>
        <v>#VALUE!</v>
      </c>
    </row>
    <row r="1067" spans="2:6" x14ac:dyDescent="0.25">
      <c r="B1067" s="67" t="str">
        <f t="shared" ref="B1067:B1099" si="54">$D$4</f>
        <v>NA</v>
      </c>
      <c r="C1067" t="str">
        <f t="shared" ref="C1067:C1099" si="55">$H$4</f>
        <v>NA</v>
      </c>
      <c r="D1067" s="64" t="e">
        <f t="shared" ref="D1067:D1130" si="56">G1060*F1060/12</f>
        <v>#VALUE!</v>
      </c>
      <c r="E1067" s="64" t="e">
        <f>Tableau7[[#This Row],[Mensualité]]-Tableau7[[#This Row],[Intérêts]]</f>
        <v>#VALUE!</v>
      </c>
      <c r="F1067" s="64" t="e">
        <f>$G$4-Tableau7[[#This Row],[Mensualité]]-Tableau7[[#This Row],[Intérêts]]</f>
        <v>#VALUE!</v>
      </c>
    </row>
    <row r="1068" spans="2:6" x14ac:dyDescent="0.25">
      <c r="B1068" s="67" t="str">
        <f t="shared" si="54"/>
        <v>NA</v>
      </c>
      <c r="C1068" t="str">
        <f t="shared" si="55"/>
        <v>NA</v>
      </c>
      <c r="D1068" s="64" t="e">
        <f t="shared" si="56"/>
        <v>#VALUE!</v>
      </c>
      <c r="E1068" s="64" t="e">
        <f>Tableau7[[#This Row],[Mensualité]]-Tableau7[[#This Row],[Intérêts]]</f>
        <v>#VALUE!</v>
      </c>
      <c r="F1068" s="64" t="e">
        <f>$G$4-Tableau7[[#This Row],[Mensualité]]-Tableau7[[#This Row],[Intérêts]]</f>
        <v>#VALUE!</v>
      </c>
    </row>
    <row r="1069" spans="2:6" x14ac:dyDescent="0.25">
      <c r="B1069" s="67" t="str">
        <f t="shared" si="54"/>
        <v>NA</v>
      </c>
      <c r="C1069" t="str">
        <f t="shared" si="55"/>
        <v>NA</v>
      </c>
      <c r="D1069" s="64" t="e">
        <f t="shared" si="56"/>
        <v>#VALUE!</v>
      </c>
      <c r="E1069" s="64" t="e">
        <f>Tableau7[[#This Row],[Mensualité]]-Tableau7[[#This Row],[Intérêts]]</f>
        <v>#VALUE!</v>
      </c>
      <c r="F1069" s="64" t="e">
        <f>$G$4-Tableau7[[#This Row],[Mensualité]]-Tableau7[[#This Row],[Intérêts]]</f>
        <v>#VALUE!</v>
      </c>
    </row>
    <row r="1070" spans="2:6" x14ac:dyDescent="0.25">
      <c r="B1070" s="67" t="str">
        <f t="shared" si="54"/>
        <v>NA</v>
      </c>
      <c r="C1070" t="str">
        <f t="shared" si="55"/>
        <v>NA</v>
      </c>
      <c r="D1070" s="64" t="e">
        <f t="shared" si="56"/>
        <v>#VALUE!</v>
      </c>
      <c r="E1070" s="64" t="e">
        <f>Tableau7[[#This Row],[Mensualité]]-Tableau7[[#This Row],[Intérêts]]</f>
        <v>#VALUE!</v>
      </c>
      <c r="F1070" s="64" t="e">
        <f>$G$4-Tableau7[[#This Row],[Mensualité]]-Tableau7[[#This Row],[Intérêts]]</f>
        <v>#VALUE!</v>
      </c>
    </row>
    <row r="1071" spans="2:6" x14ac:dyDescent="0.25">
      <c r="B1071" s="67" t="str">
        <f t="shared" si="54"/>
        <v>NA</v>
      </c>
      <c r="C1071" t="str">
        <f t="shared" si="55"/>
        <v>NA</v>
      </c>
      <c r="D1071" s="64" t="e">
        <f t="shared" si="56"/>
        <v>#VALUE!</v>
      </c>
      <c r="E1071" s="64" t="e">
        <f>Tableau7[[#This Row],[Mensualité]]-Tableau7[[#This Row],[Intérêts]]</f>
        <v>#VALUE!</v>
      </c>
      <c r="F1071" s="64" t="e">
        <f>$G$4-Tableau7[[#This Row],[Mensualité]]-Tableau7[[#This Row],[Intérêts]]</f>
        <v>#VALUE!</v>
      </c>
    </row>
    <row r="1072" spans="2:6" x14ac:dyDescent="0.25">
      <c r="B1072" s="67" t="str">
        <f t="shared" si="54"/>
        <v>NA</v>
      </c>
      <c r="C1072" t="str">
        <f t="shared" si="55"/>
        <v>NA</v>
      </c>
      <c r="D1072" s="64" t="e">
        <f t="shared" si="56"/>
        <v>#VALUE!</v>
      </c>
      <c r="E1072" s="64" t="e">
        <f>Tableau7[[#This Row],[Mensualité]]-Tableau7[[#This Row],[Intérêts]]</f>
        <v>#VALUE!</v>
      </c>
      <c r="F1072" s="64" t="e">
        <f>$G$4-Tableau7[[#This Row],[Mensualité]]-Tableau7[[#This Row],[Intérêts]]</f>
        <v>#VALUE!</v>
      </c>
    </row>
    <row r="1073" spans="2:6" x14ac:dyDescent="0.25">
      <c r="B1073" s="67" t="str">
        <f t="shared" si="54"/>
        <v>NA</v>
      </c>
      <c r="C1073" t="str">
        <f t="shared" si="55"/>
        <v>NA</v>
      </c>
      <c r="D1073" s="64" t="e">
        <f t="shared" si="56"/>
        <v>#VALUE!</v>
      </c>
      <c r="E1073" s="64" t="e">
        <f>Tableau7[[#This Row],[Mensualité]]-Tableau7[[#This Row],[Intérêts]]</f>
        <v>#VALUE!</v>
      </c>
      <c r="F1073" s="64" t="e">
        <f>$G$4-Tableau7[[#This Row],[Mensualité]]-Tableau7[[#This Row],[Intérêts]]</f>
        <v>#VALUE!</v>
      </c>
    </row>
    <row r="1074" spans="2:6" x14ac:dyDescent="0.25">
      <c r="B1074" s="67" t="str">
        <f t="shared" si="54"/>
        <v>NA</v>
      </c>
      <c r="C1074" t="str">
        <f t="shared" si="55"/>
        <v>NA</v>
      </c>
      <c r="D1074" s="64" t="e">
        <f t="shared" si="56"/>
        <v>#VALUE!</v>
      </c>
      <c r="E1074" s="64" t="e">
        <f>Tableau7[[#This Row],[Mensualité]]-Tableau7[[#This Row],[Intérêts]]</f>
        <v>#VALUE!</v>
      </c>
      <c r="F1074" s="64" t="e">
        <f>$G$4-Tableau7[[#This Row],[Mensualité]]-Tableau7[[#This Row],[Intérêts]]</f>
        <v>#VALUE!</v>
      </c>
    </row>
    <row r="1075" spans="2:6" x14ac:dyDescent="0.25">
      <c r="B1075" s="67" t="str">
        <f t="shared" si="54"/>
        <v>NA</v>
      </c>
      <c r="C1075" t="str">
        <f t="shared" si="55"/>
        <v>NA</v>
      </c>
      <c r="D1075" s="64" t="e">
        <f t="shared" si="56"/>
        <v>#VALUE!</v>
      </c>
      <c r="E1075" s="64" t="e">
        <f>Tableau7[[#This Row],[Mensualité]]-Tableau7[[#This Row],[Intérêts]]</f>
        <v>#VALUE!</v>
      </c>
      <c r="F1075" s="64" t="e">
        <f>$G$4-Tableau7[[#This Row],[Mensualité]]-Tableau7[[#This Row],[Intérêts]]</f>
        <v>#VALUE!</v>
      </c>
    </row>
    <row r="1076" spans="2:6" x14ac:dyDescent="0.25">
      <c r="B1076" s="67" t="str">
        <f t="shared" si="54"/>
        <v>NA</v>
      </c>
      <c r="C1076" t="str">
        <f t="shared" si="55"/>
        <v>NA</v>
      </c>
      <c r="D1076" s="64" t="e">
        <f t="shared" si="56"/>
        <v>#VALUE!</v>
      </c>
      <c r="E1076" s="64" t="e">
        <f>Tableau7[[#This Row],[Mensualité]]-Tableau7[[#This Row],[Intérêts]]</f>
        <v>#VALUE!</v>
      </c>
      <c r="F1076" s="64" t="e">
        <f>$G$4-Tableau7[[#This Row],[Mensualité]]-Tableau7[[#This Row],[Intérêts]]</f>
        <v>#VALUE!</v>
      </c>
    </row>
    <row r="1077" spans="2:6" x14ac:dyDescent="0.25">
      <c r="B1077" s="67" t="str">
        <f t="shared" si="54"/>
        <v>NA</v>
      </c>
      <c r="C1077" t="str">
        <f t="shared" si="55"/>
        <v>NA</v>
      </c>
      <c r="D1077" s="64" t="e">
        <f t="shared" si="56"/>
        <v>#VALUE!</v>
      </c>
      <c r="E1077" s="64" t="e">
        <f>Tableau7[[#This Row],[Mensualité]]-Tableau7[[#This Row],[Intérêts]]</f>
        <v>#VALUE!</v>
      </c>
      <c r="F1077" s="64" t="e">
        <f>$G$4-Tableau7[[#This Row],[Mensualité]]-Tableau7[[#This Row],[Intérêts]]</f>
        <v>#VALUE!</v>
      </c>
    </row>
    <row r="1078" spans="2:6" x14ac:dyDescent="0.25">
      <c r="B1078" s="67" t="str">
        <f t="shared" si="54"/>
        <v>NA</v>
      </c>
      <c r="C1078" t="str">
        <f t="shared" si="55"/>
        <v>NA</v>
      </c>
      <c r="D1078" s="64" t="e">
        <f t="shared" si="56"/>
        <v>#VALUE!</v>
      </c>
      <c r="E1078" s="64" t="e">
        <f>Tableau7[[#This Row],[Mensualité]]-Tableau7[[#This Row],[Intérêts]]</f>
        <v>#VALUE!</v>
      </c>
      <c r="F1078" s="64" t="e">
        <f>$G$4-Tableau7[[#This Row],[Mensualité]]-Tableau7[[#This Row],[Intérêts]]</f>
        <v>#VALUE!</v>
      </c>
    </row>
    <row r="1079" spans="2:6" x14ac:dyDescent="0.25">
      <c r="B1079" s="67" t="str">
        <f t="shared" si="54"/>
        <v>NA</v>
      </c>
      <c r="C1079" t="str">
        <f t="shared" si="55"/>
        <v>NA</v>
      </c>
      <c r="D1079" s="64" t="e">
        <f t="shared" si="56"/>
        <v>#VALUE!</v>
      </c>
      <c r="E1079" s="64" t="e">
        <f>Tableau7[[#This Row],[Mensualité]]-Tableau7[[#This Row],[Intérêts]]</f>
        <v>#VALUE!</v>
      </c>
      <c r="F1079" s="64" t="e">
        <f>$G$4-Tableau7[[#This Row],[Mensualité]]-Tableau7[[#This Row],[Intérêts]]</f>
        <v>#VALUE!</v>
      </c>
    </row>
    <row r="1080" spans="2:6" x14ac:dyDescent="0.25">
      <c r="B1080" s="67" t="str">
        <f t="shared" si="54"/>
        <v>NA</v>
      </c>
      <c r="C1080" t="str">
        <f t="shared" si="55"/>
        <v>NA</v>
      </c>
      <c r="D1080" s="64" t="e">
        <f t="shared" si="56"/>
        <v>#VALUE!</v>
      </c>
      <c r="E1080" s="64" t="e">
        <f>Tableau7[[#This Row],[Mensualité]]-Tableau7[[#This Row],[Intérêts]]</f>
        <v>#VALUE!</v>
      </c>
      <c r="F1080" s="64" t="e">
        <f>$G$4-Tableau7[[#This Row],[Mensualité]]-Tableau7[[#This Row],[Intérêts]]</f>
        <v>#VALUE!</v>
      </c>
    </row>
    <row r="1081" spans="2:6" x14ac:dyDescent="0.25">
      <c r="B1081" s="67" t="str">
        <f t="shared" si="54"/>
        <v>NA</v>
      </c>
      <c r="C1081" t="str">
        <f t="shared" si="55"/>
        <v>NA</v>
      </c>
      <c r="D1081" s="64" t="e">
        <f t="shared" si="56"/>
        <v>#VALUE!</v>
      </c>
      <c r="E1081" s="64" t="e">
        <f>Tableau7[[#This Row],[Mensualité]]-Tableau7[[#This Row],[Intérêts]]</f>
        <v>#VALUE!</v>
      </c>
      <c r="F1081" s="64" t="e">
        <f>$G$4-Tableau7[[#This Row],[Mensualité]]-Tableau7[[#This Row],[Intérêts]]</f>
        <v>#VALUE!</v>
      </c>
    </row>
    <row r="1082" spans="2:6" x14ac:dyDescent="0.25">
      <c r="B1082" s="67" t="str">
        <f t="shared" si="54"/>
        <v>NA</v>
      </c>
      <c r="C1082" t="str">
        <f t="shared" si="55"/>
        <v>NA</v>
      </c>
      <c r="D1082" s="64" t="e">
        <f t="shared" si="56"/>
        <v>#VALUE!</v>
      </c>
      <c r="E1082" s="64" t="e">
        <f>Tableau7[[#This Row],[Mensualité]]-Tableau7[[#This Row],[Intérêts]]</f>
        <v>#VALUE!</v>
      </c>
      <c r="F1082" s="64" t="e">
        <f>$G$4-Tableau7[[#This Row],[Mensualité]]-Tableau7[[#This Row],[Intérêts]]</f>
        <v>#VALUE!</v>
      </c>
    </row>
    <row r="1083" spans="2:6" x14ac:dyDescent="0.25">
      <c r="B1083" s="67" t="str">
        <f t="shared" si="54"/>
        <v>NA</v>
      </c>
      <c r="C1083" t="str">
        <f t="shared" si="55"/>
        <v>NA</v>
      </c>
      <c r="D1083" s="64" t="e">
        <f t="shared" si="56"/>
        <v>#VALUE!</v>
      </c>
      <c r="E1083" s="64" t="e">
        <f>Tableau7[[#This Row],[Mensualité]]-Tableau7[[#This Row],[Intérêts]]</f>
        <v>#VALUE!</v>
      </c>
      <c r="F1083" s="64" t="e">
        <f>$G$4-Tableau7[[#This Row],[Mensualité]]-Tableau7[[#This Row],[Intérêts]]</f>
        <v>#VALUE!</v>
      </c>
    </row>
    <row r="1084" spans="2:6" x14ac:dyDescent="0.25">
      <c r="B1084" s="67" t="str">
        <f t="shared" si="54"/>
        <v>NA</v>
      </c>
      <c r="C1084" t="str">
        <f t="shared" si="55"/>
        <v>NA</v>
      </c>
      <c r="D1084" s="64" t="e">
        <f t="shared" si="56"/>
        <v>#VALUE!</v>
      </c>
      <c r="E1084" s="64" t="e">
        <f>Tableau7[[#This Row],[Mensualité]]-Tableau7[[#This Row],[Intérêts]]</f>
        <v>#VALUE!</v>
      </c>
      <c r="F1084" s="64" t="e">
        <f>$G$4-Tableau7[[#This Row],[Mensualité]]-Tableau7[[#This Row],[Intérêts]]</f>
        <v>#VALUE!</v>
      </c>
    </row>
    <row r="1085" spans="2:6" x14ac:dyDescent="0.25">
      <c r="B1085" s="67" t="str">
        <f t="shared" si="54"/>
        <v>NA</v>
      </c>
      <c r="C1085" t="str">
        <f t="shared" si="55"/>
        <v>NA</v>
      </c>
      <c r="D1085" s="64" t="e">
        <f t="shared" si="56"/>
        <v>#VALUE!</v>
      </c>
      <c r="E1085" s="64" t="e">
        <f>Tableau7[[#This Row],[Mensualité]]-Tableau7[[#This Row],[Intérêts]]</f>
        <v>#VALUE!</v>
      </c>
      <c r="F1085" s="64" t="e">
        <f>$G$4-Tableau7[[#This Row],[Mensualité]]-Tableau7[[#This Row],[Intérêts]]</f>
        <v>#VALUE!</v>
      </c>
    </row>
    <row r="1086" spans="2:6" x14ac:dyDescent="0.25">
      <c r="B1086" s="67" t="str">
        <f t="shared" si="54"/>
        <v>NA</v>
      </c>
      <c r="C1086" t="str">
        <f t="shared" si="55"/>
        <v>NA</v>
      </c>
      <c r="D1086" s="64" t="e">
        <f t="shared" si="56"/>
        <v>#VALUE!</v>
      </c>
      <c r="E1086" s="64" t="e">
        <f>Tableau7[[#This Row],[Mensualité]]-Tableau7[[#This Row],[Intérêts]]</f>
        <v>#VALUE!</v>
      </c>
      <c r="F1086" s="64" t="e">
        <f>$G$4-Tableau7[[#This Row],[Mensualité]]-Tableau7[[#This Row],[Intérêts]]</f>
        <v>#VALUE!</v>
      </c>
    </row>
    <row r="1087" spans="2:6" x14ac:dyDescent="0.25">
      <c r="B1087" s="67" t="str">
        <f t="shared" si="54"/>
        <v>NA</v>
      </c>
      <c r="C1087" t="str">
        <f t="shared" si="55"/>
        <v>NA</v>
      </c>
      <c r="D1087" s="64" t="e">
        <f t="shared" si="56"/>
        <v>#VALUE!</v>
      </c>
      <c r="E1087" s="64" t="e">
        <f>Tableau7[[#This Row],[Mensualité]]-Tableau7[[#This Row],[Intérêts]]</f>
        <v>#VALUE!</v>
      </c>
      <c r="F1087" s="64" t="e">
        <f>$G$4-Tableau7[[#This Row],[Mensualité]]-Tableau7[[#This Row],[Intérêts]]</f>
        <v>#VALUE!</v>
      </c>
    </row>
    <row r="1088" spans="2:6" x14ac:dyDescent="0.25">
      <c r="B1088" s="67" t="str">
        <f t="shared" si="54"/>
        <v>NA</v>
      </c>
      <c r="C1088" t="str">
        <f t="shared" si="55"/>
        <v>NA</v>
      </c>
      <c r="D1088" s="64" t="e">
        <f t="shared" si="56"/>
        <v>#VALUE!</v>
      </c>
      <c r="E1088" s="64" t="e">
        <f>Tableau7[[#This Row],[Mensualité]]-Tableau7[[#This Row],[Intérêts]]</f>
        <v>#VALUE!</v>
      </c>
      <c r="F1088" s="64" t="e">
        <f>$G$4-Tableau7[[#This Row],[Mensualité]]-Tableau7[[#This Row],[Intérêts]]</f>
        <v>#VALUE!</v>
      </c>
    </row>
    <row r="1089" spans="2:6" x14ac:dyDescent="0.25">
      <c r="B1089" s="67" t="str">
        <f t="shared" si="54"/>
        <v>NA</v>
      </c>
      <c r="C1089" t="str">
        <f t="shared" si="55"/>
        <v>NA</v>
      </c>
      <c r="D1089" s="64" t="e">
        <f t="shared" si="56"/>
        <v>#VALUE!</v>
      </c>
      <c r="E1089" s="64" t="e">
        <f>Tableau7[[#This Row],[Mensualité]]-Tableau7[[#This Row],[Intérêts]]</f>
        <v>#VALUE!</v>
      </c>
      <c r="F1089" s="64" t="e">
        <f>$G$4-Tableau7[[#This Row],[Mensualité]]-Tableau7[[#This Row],[Intérêts]]</f>
        <v>#VALUE!</v>
      </c>
    </row>
    <row r="1090" spans="2:6" x14ac:dyDescent="0.25">
      <c r="B1090" s="67" t="str">
        <f t="shared" si="54"/>
        <v>NA</v>
      </c>
      <c r="C1090" t="str">
        <f t="shared" si="55"/>
        <v>NA</v>
      </c>
      <c r="D1090" s="64" t="e">
        <f t="shared" si="56"/>
        <v>#VALUE!</v>
      </c>
      <c r="E1090" s="64" t="e">
        <f>Tableau7[[#This Row],[Mensualité]]-Tableau7[[#This Row],[Intérêts]]</f>
        <v>#VALUE!</v>
      </c>
      <c r="F1090" s="64" t="e">
        <f>$G$4-Tableau7[[#This Row],[Mensualité]]-Tableau7[[#This Row],[Intérêts]]</f>
        <v>#VALUE!</v>
      </c>
    </row>
    <row r="1091" spans="2:6" x14ac:dyDescent="0.25">
      <c r="B1091" s="67" t="str">
        <f t="shared" si="54"/>
        <v>NA</v>
      </c>
      <c r="C1091" t="str">
        <f t="shared" si="55"/>
        <v>NA</v>
      </c>
      <c r="D1091" s="64" t="e">
        <f t="shared" si="56"/>
        <v>#VALUE!</v>
      </c>
      <c r="E1091" s="64" t="e">
        <f>Tableau7[[#This Row],[Mensualité]]-Tableau7[[#This Row],[Intérêts]]</f>
        <v>#VALUE!</v>
      </c>
      <c r="F1091" s="64" t="e">
        <f>$G$4-Tableau7[[#This Row],[Mensualité]]-Tableau7[[#This Row],[Intérêts]]</f>
        <v>#VALUE!</v>
      </c>
    </row>
    <row r="1092" spans="2:6" x14ac:dyDescent="0.25">
      <c r="B1092" s="67" t="str">
        <f t="shared" si="54"/>
        <v>NA</v>
      </c>
      <c r="C1092" t="str">
        <f t="shared" si="55"/>
        <v>NA</v>
      </c>
      <c r="D1092" s="64" t="e">
        <f t="shared" si="56"/>
        <v>#VALUE!</v>
      </c>
      <c r="E1092" s="64" t="e">
        <f>Tableau7[[#This Row],[Mensualité]]-Tableau7[[#This Row],[Intérêts]]</f>
        <v>#VALUE!</v>
      </c>
      <c r="F1092" s="64" t="e">
        <f>$G$4-Tableau7[[#This Row],[Mensualité]]-Tableau7[[#This Row],[Intérêts]]</f>
        <v>#VALUE!</v>
      </c>
    </row>
    <row r="1093" spans="2:6" x14ac:dyDescent="0.25">
      <c r="B1093" s="67" t="str">
        <f t="shared" si="54"/>
        <v>NA</v>
      </c>
      <c r="C1093" t="str">
        <f t="shared" si="55"/>
        <v>NA</v>
      </c>
      <c r="D1093" s="64" t="e">
        <f t="shared" si="56"/>
        <v>#VALUE!</v>
      </c>
      <c r="E1093" s="64" t="e">
        <f>Tableau7[[#This Row],[Mensualité]]-Tableau7[[#This Row],[Intérêts]]</f>
        <v>#VALUE!</v>
      </c>
      <c r="F1093" s="64" t="e">
        <f>$G$4-Tableau7[[#This Row],[Mensualité]]-Tableau7[[#This Row],[Intérêts]]</f>
        <v>#VALUE!</v>
      </c>
    </row>
    <row r="1094" spans="2:6" x14ac:dyDescent="0.25">
      <c r="B1094" s="67" t="str">
        <f t="shared" si="54"/>
        <v>NA</v>
      </c>
      <c r="C1094" t="str">
        <f t="shared" si="55"/>
        <v>NA</v>
      </c>
      <c r="D1094" s="64" t="e">
        <f t="shared" si="56"/>
        <v>#VALUE!</v>
      </c>
      <c r="E1094" s="64" t="e">
        <f>Tableau7[[#This Row],[Mensualité]]-Tableau7[[#This Row],[Intérêts]]</f>
        <v>#VALUE!</v>
      </c>
      <c r="F1094" s="64" t="e">
        <f>$G$4-Tableau7[[#This Row],[Mensualité]]-Tableau7[[#This Row],[Intérêts]]</f>
        <v>#VALUE!</v>
      </c>
    </row>
    <row r="1095" spans="2:6" x14ac:dyDescent="0.25">
      <c r="B1095" s="67" t="str">
        <f t="shared" si="54"/>
        <v>NA</v>
      </c>
      <c r="C1095" t="str">
        <f t="shared" si="55"/>
        <v>NA</v>
      </c>
      <c r="D1095" s="64" t="e">
        <f t="shared" si="56"/>
        <v>#VALUE!</v>
      </c>
      <c r="E1095" s="64" t="e">
        <f>Tableau7[[#This Row],[Mensualité]]-Tableau7[[#This Row],[Intérêts]]</f>
        <v>#VALUE!</v>
      </c>
      <c r="F1095" s="64" t="e">
        <f>$G$4-Tableau7[[#This Row],[Mensualité]]-Tableau7[[#This Row],[Intérêts]]</f>
        <v>#VALUE!</v>
      </c>
    </row>
    <row r="1096" spans="2:6" x14ac:dyDescent="0.25">
      <c r="B1096" s="67" t="str">
        <f t="shared" si="54"/>
        <v>NA</v>
      </c>
      <c r="C1096" t="str">
        <f t="shared" si="55"/>
        <v>NA</v>
      </c>
      <c r="D1096" s="64" t="e">
        <f t="shared" si="56"/>
        <v>#VALUE!</v>
      </c>
      <c r="E1096" s="64" t="e">
        <f>Tableau7[[#This Row],[Mensualité]]-Tableau7[[#This Row],[Intérêts]]</f>
        <v>#VALUE!</v>
      </c>
      <c r="F1096" s="64" t="e">
        <f>$G$4-Tableau7[[#This Row],[Mensualité]]-Tableau7[[#This Row],[Intérêts]]</f>
        <v>#VALUE!</v>
      </c>
    </row>
    <row r="1097" spans="2:6" x14ac:dyDescent="0.25">
      <c r="B1097" s="67" t="str">
        <f t="shared" si="54"/>
        <v>NA</v>
      </c>
      <c r="C1097" t="str">
        <f t="shared" si="55"/>
        <v>NA</v>
      </c>
      <c r="D1097" s="64" t="e">
        <f t="shared" si="56"/>
        <v>#VALUE!</v>
      </c>
      <c r="E1097" s="64" t="e">
        <f>Tableau7[[#This Row],[Mensualité]]-Tableau7[[#This Row],[Intérêts]]</f>
        <v>#VALUE!</v>
      </c>
      <c r="F1097" s="64" t="e">
        <f>$G$4-Tableau7[[#This Row],[Mensualité]]-Tableau7[[#This Row],[Intérêts]]</f>
        <v>#VALUE!</v>
      </c>
    </row>
    <row r="1098" spans="2:6" x14ac:dyDescent="0.25">
      <c r="B1098" s="67" t="str">
        <f t="shared" si="54"/>
        <v>NA</v>
      </c>
      <c r="C1098" t="str">
        <f t="shared" si="55"/>
        <v>NA</v>
      </c>
      <c r="D1098" s="64" t="e">
        <f t="shared" si="56"/>
        <v>#VALUE!</v>
      </c>
      <c r="E1098" s="64" t="e">
        <f>Tableau7[[#This Row],[Mensualité]]-Tableau7[[#This Row],[Intérêts]]</f>
        <v>#VALUE!</v>
      </c>
      <c r="F1098" s="64" t="e">
        <f>$G$4-Tableau7[[#This Row],[Mensualité]]-Tableau7[[#This Row],[Intérêts]]</f>
        <v>#VALUE!</v>
      </c>
    </row>
    <row r="1099" spans="2:6" x14ac:dyDescent="0.25">
      <c r="B1099" s="67" t="str">
        <f t="shared" si="54"/>
        <v>NA</v>
      </c>
      <c r="C1099" t="str">
        <f t="shared" si="55"/>
        <v>NA</v>
      </c>
      <c r="D1099" s="64" t="e">
        <f t="shared" si="56"/>
        <v>#VALUE!</v>
      </c>
      <c r="E1099" s="64" t="e">
        <f>Tableau7[[#This Row],[Mensualité]]-Tableau7[[#This Row],[Intérêts]]</f>
        <v>#VALUE!</v>
      </c>
      <c r="F1099" s="64" t="e">
        <f>$G$4-Tableau7[[#This Row],[Mensualité]]-Tableau7[[#This Row],[Intérêts]]</f>
        <v>#VALUE!</v>
      </c>
    </row>
    <row r="1100" spans="2:6" x14ac:dyDescent="0.25">
      <c r="B1100" s="67"/>
      <c r="D1100" s="64"/>
      <c r="E1100" s="64"/>
      <c r="F1100" s="64"/>
    </row>
  </sheetData>
  <mergeCells count="1">
    <mergeCell ref="B8:F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1">
                <anchor moveWithCells="1" sizeWithCells="1">
                  <from>
                    <xdr:col>1</xdr:col>
                    <xdr:colOff>790575</xdr:colOff>
                    <xdr:row>4</xdr:row>
                    <xdr:rowOff>152400</xdr:rowOff>
                  </from>
                  <to>
                    <xdr:col>2</xdr:col>
                    <xdr:colOff>333375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13B1FE-7896-4F58-AA5B-03660E4233CA}">
          <x14:formula1>
            <xm:f>D_Emprunts!$E$6:$E$7</xm:f>
          </x14:formula1>
          <xm:sqref>B4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K25"/>
  <sheetViews>
    <sheetView workbookViewId="0">
      <selection activeCell="N24" sqref="N24"/>
    </sheetView>
  </sheetViews>
  <sheetFormatPr baseColWidth="10" defaultRowHeight="15" x14ac:dyDescent="0.25"/>
  <cols>
    <col min="1" max="1" width="37.28515625" bestFit="1" customWidth="1"/>
    <col min="2" max="8" width="5.7109375" customWidth="1"/>
    <col min="9" max="9" width="18.42578125" bestFit="1" customWidth="1"/>
    <col min="10" max="10" width="13.28515625" bestFit="1" customWidth="1"/>
    <col min="11" max="11" width="12.140625" bestFit="1" customWidth="1"/>
  </cols>
  <sheetData>
    <row r="1" spans="1:11" ht="20.100000000000001" customHeight="1" x14ac:dyDescent="0.25">
      <c r="A1" s="86" t="s">
        <v>30</v>
      </c>
      <c r="B1" s="86"/>
      <c r="C1" s="86"/>
      <c r="D1" s="86"/>
      <c r="E1" s="86"/>
      <c r="F1" s="86"/>
      <c r="G1" s="86"/>
      <c r="H1" s="86"/>
    </row>
    <row r="2" spans="1:11" ht="15" customHeight="1" x14ac:dyDescent="0.25">
      <c r="A2" s="100" t="s">
        <v>67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1" ht="15" customHeight="1" x14ac:dyDescent="0.25">
      <c r="A3" s="87" t="s">
        <v>72</v>
      </c>
      <c r="B3" s="88"/>
      <c r="C3" s="88"/>
      <c r="D3" s="88"/>
      <c r="E3" s="88"/>
      <c r="F3" s="88"/>
      <c r="G3" s="88"/>
      <c r="H3" s="88"/>
      <c r="I3" s="88"/>
      <c r="J3" s="88"/>
      <c r="K3" s="89"/>
    </row>
    <row r="4" spans="1:11" ht="15" customHeight="1" x14ac:dyDescent="0.25">
      <c r="A4" s="10"/>
      <c r="B4" s="87" t="s">
        <v>25</v>
      </c>
      <c r="C4" s="88"/>
      <c r="D4" s="89"/>
      <c r="E4" s="87" t="s">
        <v>26</v>
      </c>
      <c r="F4" s="88"/>
      <c r="G4" s="88"/>
      <c r="H4" s="89"/>
      <c r="I4" s="1" t="s">
        <v>50</v>
      </c>
      <c r="J4" s="1" t="s">
        <v>51</v>
      </c>
      <c r="K4" s="1" t="s">
        <v>52</v>
      </c>
    </row>
    <row r="5" spans="1:11" ht="15" customHeight="1" x14ac:dyDescent="0.25">
      <c r="A5" s="1" t="s">
        <v>48</v>
      </c>
      <c r="B5" s="96"/>
      <c r="C5" s="97"/>
      <c r="D5" s="98"/>
      <c r="E5" s="96">
        <v>299.63</v>
      </c>
      <c r="F5" s="97"/>
      <c r="G5" s="97"/>
      <c r="H5" s="98"/>
      <c r="I5" s="18">
        <v>51000</v>
      </c>
      <c r="J5" s="18">
        <v>44257.14</v>
      </c>
      <c r="K5" s="19">
        <v>49044</v>
      </c>
    </row>
    <row r="6" spans="1:11" ht="15" customHeight="1" x14ac:dyDescent="0.25">
      <c r="A6" s="1" t="s">
        <v>49</v>
      </c>
      <c r="B6" s="96"/>
      <c r="C6" s="97"/>
      <c r="D6" s="98"/>
      <c r="E6" s="96">
        <v>212.1</v>
      </c>
      <c r="F6" s="97"/>
      <c r="G6" s="97"/>
      <c r="H6" s="98"/>
      <c r="I6" s="18">
        <v>7110</v>
      </c>
      <c r="J6" s="18">
        <v>1684.24</v>
      </c>
      <c r="K6" s="19">
        <v>44175</v>
      </c>
    </row>
    <row r="7" spans="1:11" ht="15" customHeight="1" x14ac:dyDescent="0.25">
      <c r="A7" s="1"/>
      <c r="B7" s="99"/>
      <c r="C7" s="99"/>
      <c r="D7" s="99"/>
      <c r="E7" s="99"/>
      <c r="F7" s="99"/>
      <c r="G7" s="99"/>
      <c r="H7" s="99"/>
      <c r="I7" s="1"/>
      <c r="J7" s="1"/>
      <c r="K7" s="1"/>
    </row>
    <row r="8" spans="1:11" ht="15" customHeight="1" x14ac:dyDescent="0.25">
      <c r="A8" s="1"/>
      <c r="B8" s="99"/>
      <c r="C8" s="99"/>
      <c r="D8" s="99"/>
      <c r="E8" s="99"/>
      <c r="F8" s="99"/>
      <c r="G8" s="99"/>
      <c r="H8" s="99"/>
      <c r="I8" s="1"/>
      <c r="J8" s="1"/>
      <c r="K8" s="1"/>
    </row>
    <row r="9" spans="1:11" ht="15" customHeight="1" x14ac:dyDescent="0.25">
      <c r="A9" s="1"/>
      <c r="B9" s="96"/>
      <c r="C9" s="97"/>
      <c r="D9" s="98"/>
      <c r="E9" s="96"/>
      <c r="F9" s="97"/>
      <c r="G9" s="97"/>
      <c r="H9" s="98"/>
      <c r="I9" s="1"/>
      <c r="J9" s="1"/>
      <c r="K9" s="19"/>
    </row>
    <row r="10" spans="1:11" ht="15" customHeight="1" x14ac:dyDescent="0.25">
      <c r="A10" s="1"/>
      <c r="B10" s="96"/>
      <c r="C10" s="97"/>
      <c r="D10" s="98"/>
      <c r="E10" s="96"/>
      <c r="F10" s="97"/>
      <c r="G10" s="97"/>
      <c r="H10" s="98"/>
      <c r="I10" s="1"/>
      <c r="J10" s="1"/>
      <c r="K10" s="1"/>
    </row>
    <row r="11" spans="1:11" ht="15.75" x14ac:dyDescent="0.25">
      <c r="A11" s="11" t="s">
        <v>75</v>
      </c>
      <c r="B11" s="95">
        <f>SUM(B5:D10)</f>
        <v>0</v>
      </c>
      <c r="C11" s="95"/>
      <c r="D11" s="95"/>
      <c r="E11" s="96">
        <f>SUM(E5:H10)</f>
        <v>511.73</v>
      </c>
      <c r="F11" s="97"/>
      <c r="G11" s="97"/>
      <c r="H11" s="97"/>
      <c r="I11" s="97"/>
      <c r="J11" s="97"/>
      <c r="K11" s="98"/>
    </row>
    <row r="12" spans="1:11" ht="15.75" customHeight="1" x14ac:dyDescent="0.25">
      <c r="A12" s="102" t="s">
        <v>73</v>
      </c>
      <c r="B12" s="103"/>
      <c r="C12" s="103"/>
      <c r="D12" s="103"/>
      <c r="E12" s="103"/>
      <c r="F12" s="103"/>
      <c r="G12" s="103"/>
      <c r="H12" s="103"/>
      <c r="I12" s="103"/>
      <c r="J12" s="103"/>
      <c r="K12" s="104"/>
    </row>
    <row r="13" spans="1:11" ht="15.75" customHeight="1" x14ac:dyDescent="0.25">
      <c r="A13" s="3"/>
      <c r="B13" s="96" t="s">
        <v>25</v>
      </c>
      <c r="C13" s="97"/>
      <c r="D13" s="98"/>
      <c r="E13" s="96" t="s">
        <v>26</v>
      </c>
      <c r="F13" s="97"/>
      <c r="G13" s="97"/>
      <c r="H13" s="98"/>
      <c r="I13" s="1"/>
      <c r="J13" s="1"/>
      <c r="K13" s="1"/>
    </row>
    <row r="14" spans="1:11" ht="15.75" x14ac:dyDescent="0.25">
      <c r="A14" s="3" t="s">
        <v>69</v>
      </c>
      <c r="B14" s="96"/>
      <c r="C14" s="97"/>
      <c r="D14" s="98"/>
      <c r="E14" s="96">
        <v>339.83</v>
      </c>
      <c r="F14" s="97"/>
      <c r="G14" s="97"/>
      <c r="H14" s="98"/>
      <c r="I14" s="1">
        <v>19500</v>
      </c>
      <c r="J14" s="1">
        <v>13830.01</v>
      </c>
      <c r="K14" s="19">
        <v>45209</v>
      </c>
    </row>
    <row r="15" spans="1:11" ht="15.75" x14ac:dyDescent="0.25">
      <c r="A15" s="3"/>
      <c r="B15" s="96"/>
      <c r="C15" s="97"/>
      <c r="D15" s="98"/>
      <c r="E15" s="96"/>
      <c r="F15" s="97"/>
      <c r="G15" s="97"/>
      <c r="H15" s="98"/>
      <c r="I15" s="1"/>
      <c r="J15" s="1"/>
      <c r="K15" s="1"/>
    </row>
    <row r="16" spans="1:11" ht="15.75" x14ac:dyDescent="0.25">
      <c r="A16" s="3"/>
      <c r="B16" s="96"/>
      <c r="C16" s="97"/>
      <c r="D16" s="98"/>
      <c r="E16" s="96"/>
      <c r="F16" s="97"/>
      <c r="G16" s="97"/>
      <c r="H16" s="98"/>
      <c r="I16" s="1"/>
      <c r="J16" s="1"/>
      <c r="K16" s="1"/>
    </row>
    <row r="17" spans="1:11" ht="15.75" x14ac:dyDescent="0.25">
      <c r="A17" s="3"/>
      <c r="B17" s="96"/>
      <c r="C17" s="97"/>
      <c r="D17" s="98"/>
      <c r="E17" s="96"/>
      <c r="F17" s="97"/>
      <c r="G17" s="97"/>
      <c r="H17" s="98"/>
      <c r="I17" s="1"/>
      <c r="J17" s="1"/>
      <c r="K17" s="1"/>
    </row>
    <row r="18" spans="1:11" ht="15.75" x14ac:dyDescent="0.25">
      <c r="A18" s="3"/>
      <c r="B18" s="96"/>
      <c r="C18" s="97"/>
      <c r="D18" s="98"/>
      <c r="E18" s="96"/>
      <c r="F18" s="97"/>
      <c r="G18" s="97"/>
      <c r="H18" s="98"/>
      <c r="I18" s="1"/>
      <c r="J18" s="1"/>
      <c r="K18" s="1"/>
    </row>
    <row r="19" spans="1:11" ht="15.75" x14ac:dyDescent="0.25">
      <c r="A19" s="3" t="s">
        <v>74</v>
      </c>
      <c r="B19" s="96">
        <f>SUM(B14:D18)</f>
        <v>0</v>
      </c>
      <c r="C19" s="97"/>
      <c r="D19" s="98"/>
      <c r="E19" s="96">
        <f>SUM(E14:H18)</f>
        <v>339.83</v>
      </c>
      <c r="F19" s="97"/>
      <c r="G19" s="97"/>
      <c r="H19" s="97"/>
      <c r="I19" s="97"/>
      <c r="J19" s="97"/>
      <c r="K19" s="98"/>
    </row>
    <row r="20" spans="1:11" x14ac:dyDescent="0.25">
      <c r="A20" s="101" t="s">
        <v>68</v>
      </c>
      <c r="B20" s="101"/>
      <c r="C20" s="101"/>
      <c r="D20" s="101"/>
      <c r="E20" s="101"/>
      <c r="F20" s="101"/>
      <c r="G20" s="101"/>
      <c r="H20" s="101"/>
      <c r="I20" s="101"/>
      <c r="J20" s="101"/>
      <c r="K20" s="101"/>
    </row>
    <row r="21" spans="1:11" ht="15.75" customHeight="1" x14ac:dyDescent="0.25">
      <c r="A21" s="24" t="s">
        <v>69</v>
      </c>
      <c r="B21" s="105">
        <v>347.45</v>
      </c>
      <c r="C21" s="105"/>
      <c r="D21" s="105"/>
      <c r="E21" s="105"/>
      <c r="F21" s="105"/>
      <c r="G21" s="105"/>
      <c r="H21" s="105"/>
      <c r="I21" s="105"/>
      <c r="J21" s="105"/>
      <c r="K21" s="105"/>
    </row>
    <row r="22" spans="1:11" ht="15.75" customHeight="1" x14ac:dyDescent="0.25">
      <c r="A22" s="3" t="s">
        <v>70</v>
      </c>
      <c r="B22" s="105">
        <v>248.97</v>
      </c>
      <c r="C22" s="105"/>
      <c r="D22" s="105"/>
      <c r="E22" s="105"/>
      <c r="F22" s="105"/>
      <c r="G22" s="105"/>
      <c r="H22" s="105"/>
      <c r="I22" s="105"/>
      <c r="J22" s="105"/>
      <c r="K22" s="105"/>
    </row>
    <row r="23" spans="1:11" ht="15.75" customHeight="1" x14ac:dyDescent="0.25">
      <c r="A23" s="3" t="s">
        <v>71</v>
      </c>
      <c r="B23" s="95">
        <v>463.58</v>
      </c>
      <c r="C23" s="95"/>
      <c r="D23" s="95"/>
      <c r="E23" s="95"/>
      <c r="F23" s="95"/>
      <c r="G23" s="95"/>
      <c r="H23" s="95"/>
      <c r="I23" s="95"/>
      <c r="J23" s="95"/>
      <c r="K23" s="95"/>
    </row>
    <row r="24" spans="1:11" x14ac:dyDescent="0.25">
      <c r="A24" s="5" t="s">
        <v>76</v>
      </c>
      <c r="B24" s="90">
        <f>SUM(B21:K23)</f>
        <v>1060</v>
      </c>
      <c r="C24" s="91"/>
      <c r="D24" s="91"/>
      <c r="E24" s="91"/>
      <c r="F24" s="91"/>
      <c r="G24" s="91"/>
      <c r="H24" s="91"/>
      <c r="I24" s="91"/>
      <c r="J24" s="91"/>
      <c r="K24" s="92"/>
    </row>
    <row r="25" spans="1:11" ht="30" customHeight="1" x14ac:dyDescent="0.25">
      <c r="A25" s="25" t="s">
        <v>77</v>
      </c>
      <c r="B25" s="93">
        <f>SUM(E11+E19+B24)</f>
        <v>1911.56</v>
      </c>
      <c r="C25" s="94"/>
      <c r="D25" s="94"/>
      <c r="E25" s="94"/>
      <c r="F25" s="94"/>
      <c r="G25" s="94"/>
      <c r="H25" s="94"/>
      <c r="I25" s="94"/>
      <c r="J25" s="94"/>
      <c r="K25" s="94"/>
    </row>
  </sheetData>
  <mergeCells count="40">
    <mergeCell ref="B22:K22"/>
    <mergeCell ref="B23:K23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K19"/>
    <mergeCell ref="B21:K21"/>
    <mergeCell ref="A2:K2"/>
    <mergeCell ref="A20:K20"/>
    <mergeCell ref="A3:K3"/>
    <mergeCell ref="A12:K12"/>
    <mergeCell ref="B13:D13"/>
    <mergeCell ref="E13:H13"/>
    <mergeCell ref="B14:D14"/>
    <mergeCell ref="E14:H14"/>
    <mergeCell ref="B7:D7"/>
    <mergeCell ref="B5:D5"/>
    <mergeCell ref="E5:H5"/>
    <mergeCell ref="A1:H1"/>
    <mergeCell ref="B4:D4"/>
    <mergeCell ref="E4:H4"/>
    <mergeCell ref="B24:K24"/>
    <mergeCell ref="B25:K25"/>
    <mergeCell ref="B11:D11"/>
    <mergeCell ref="E11:K11"/>
    <mergeCell ref="B6:D6"/>
    <mergeCell ref="E6:H6"/>
    <mergeCell ref="B9:D9"/>
    <mergeCell ref="E9:H9"/>
    <mergeCell ref="B10:D10"/>
    <mergeCell ref="E10:H10"/>
    <mergeCell ref="E7:H7"/>
    <mergeCell ref="B8:D8"/>
    <mergeCell ref="E8:H8"/>
  </mergeCells>
  <pageMargins left="0.7" right="0.7" top="0.75" bottom="0.75" header="0.3" footer="0.3"/>
  <pageSetup paperSize="9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25"/>
  <sheetViews>
    <sheetView workbookViewId="0">
      <selection activeCell="B4" sqref="B4:D4"/>
    </sheetView>
  </sheetViews>
  <sheetFormatPr baseColWidth="10" defaultRowHeight="15" x14ac:dyDescent="0.25"/>
  <cols>
    <col min="1" max="1" width="15.7109375" customWidth="1"/>
    <col min="2" max="4" width="12.7109375" customWidth="1"/>
    <col min="5" max="5" width="18.42578125" customWidth="1"/>
    <col min="6" max="6" width="13.28515625" customWidth="1"/>
    <col min="7" max="7" width="11.7109375" customWidth="1"/>
    <col min="8" max="11" width="8.7109375" customWidth="1"/>
  </cols>
  <sheetData>
    <row r="1" spans="1:8" ht="20.100000000000001" customHeight="1" x14ac:dyDescent="0.25">
      <c r="A1" s="99" t="s">
        <v>30</v>
      </c>
      <c r="B1" s="99"/>
      <c r="C1" s="99"/>
      <c r="D1" s="99"/>
      <c r="E1" s="99"/>
      <c r="F1" s="99"/>
      <c r="G1" s="99"/>
      <c r="H1" s="99"/>
    </row>
    <row r="2" spans="1:8" ht="15" customHeight="1" x14ac:dyDescent="0.25">
      <c r="A2" s="99" t="s">
        <v>66</v>
      </c>
      <c r="B2" s="99"/>
      <c r="C2" s="99"/>
      <c r="D2" s="99"/>
      <c r="E2" s="99"/>
      <c r="F2" s="99"/>
      <c r="G2" s="99"/>
      <c r="H2" s="1"/>
    </row>
    <row r="3" spans="1:8" ht="15.75" x14ac:dyDescent="0.25">
      <c r="A3" s="106" t="s">
        <v>53</v>
      </c>
      <c r="B3" s="107"/>
      <c r="C3" s="107"/>
      <c r="D3" s="108"/>
      <c r="E3" s="20" t="s">
        <v>50</v>
      </c>
      <c r="F3" s="20" t="s">
        <v>51</v>
      </c>
      <c r="G3" s="20" t="s">
        <v>52</v>
      </c>
    </row>
    <row r="4" spans="1:8" ht="15" customHeight="1" x14ac:dyDescent="0.25">
      <c r="A4" s="1" t="s">
        <v>54</v>
      </c>
      <c r="B4" s="96">
        <v>0</v>
      </c>
      <c r="C4" s="97"/>
      <c r="D4" s="98"/>
      <c r="E4" s="18">
        <v>80000</v>
      </c>
      <c r="F4" s="18">
        <v>80000</v>
      </c>
      <c r="G4" s="19">
        <v>44303</v>
      </c>
    </row>
    <row r="5" spans="1:8" ht="15" customHeight="1" x14ac:dyDescent="0.25">
      <c r="A5" s="1" t="s">
        <v>55</v>
      </c>
      <c r="B5" s="96"/>
      <c r="C5" s="97"/>
      <c r="D5" s="98"/>
      <c r="E5" s="18">
        <v>80000</v>
      </c>
      <c r="F5" s="18">
        <f>SUM(E7-B5)</f>
        <v>80000</v>
      </c>
      <c r="G5" s="19">
        <v>44303</v>
      </c>
    </row>
    <row r="6" spans="1:8" ht="15" customHeight="1" x14ac:dyDescent="0.25">
      <c r="A6" s="1" t="s">
        <v>56</v>
      </c>
      <c r="B6" s="96"/>
      <c r="C6" s="97"/>
      <c r="D6" s="98"/>
      <c r="E6" s="18">
        <v>80000</v>
      </c>
      <c r="F6" s="18"/>
      <c r="G6" s="19">
        <v>44303</v>
      </c>
    </row>
    <row r="7" spans="1:8" ht="15" customHeight="1" x14ac:dyDescent="0.25">
      <c r="A7" s="1" t="s">
        <v>57</v>
      </c>
      <c r="B7" s="96"/>
      <c r="C7" s="97"/>
      <c r="D7" s="98"/>
      <c r="E7" s="18">
        <v>80000</v>
      </c>
      <c r="F7" s="18"/>
      <c r="G7" s="19">
        <v>44303</v>
      </c>
    </row>
    <row r="8" spans="1:8" ht="15" customHeight="1" x14ac:dyDescent="0.25">
      <c r="A8" s="1" t="s">
        <v>58</v>
      </c>
      <c r="B8" s="96"/>
      <c r="C8" s="97"/>
      <c r="D8" s="98"/>
      <c r="E8" s="18">
        <v>80000</v>
      </c>
      <c r="F8" s="18"/>
      <c r="G8" s="19">
        <v>44303</v>
      </c>
    </row>
    <row r="9" spans="1:8" ht="15" customHeight="1" x14ac:dyDescent="0.25">
      <c r="A9" s="1" t="s">
        <v>59</v>
      </c>
      <c r="B9" s="96"/>
      <c r="C9" s="97"/>
      <c r="D9" s="98"/>
      <c r="E9" s="18">
        <v>80000</v>
      </c>
      <c r="F9" s="18"/>
      <c r="G9" s="19">
        <v>44303</v>
      </c>
    </row>
    <row r="10" spans="1:8" ht="15" customHeight="1" x14ac:dyDescent="0.25">
      <c r="A10" s="1" t="s">
        <v>60</v>
      </c>
      <c r="B10" s="96"/>
      <c r="C10" s="97"/>
      <c r="D10" s="98"/>
      <c r="E10" s="18">
        <v>80000</v>
      </c>
      <c r="F10" s="18"/>
      <c r="G10" s="19">
        <v>44303</v>
      </c>
    </row>
    <row r="11" spans="1:8" ht="15.75" x14ac:dyDescent="0.25">
      <c r="A11" s="3" t="s">
        <v>61</v>
      </c>
      <c r="B11" s="96"/>
      <c r="C11" s="97"/>
      <c r="D11" s="98"/>
      <c r="E11" s="18">
        <v>80000</v>
      </c>
      <c r="F11" s="18"/>
      <c r="G11" s="19">
        <v>44303</v>
      </c>
    </row>
    <row r="12" spans="1:8" ht="11.25" customHeight="1" x14ac:dyDescent="0.25">
      <c r="A12" s="3" t="s">
        <v>62</v>
      </c>
      <c r="B12" s="96"/>
      <c r="C12" s="97"/>
      <c r="D12" s="98"/>
      <c r="E12" s="18">
        <v>80000</v>
      </c>
      <c r="F12" s="18"/>
      <c r="G12" s="19">
        <v>44303</v>
      </c>
    </row>
    <row r="13" spans="1:8" ht="15.75" hidden="1" customHeight="1" x14ac:dyDescent="0.25">
      <c r="A13" s="3"/>
      <c r="B13" s="96"/>
      <c r="C13" s="97"/>
      <c r="D13" s="98"/>
      <c r="E13" s="18">
        <v>80000</v>
      </c>
      <c r="F13" s="18"/>
      <c r="G13" s="19">
        <v>44303</v>
      </c>
    </row>
    <row r="14" spans="1:8" ht="15.75" hidden="1" customHeight="1" x14ac:dyDescent="0.25">
      <c r="A14" s="3"/>
      <c r="B14" s="96"/>
      <c r="C14" s="97"/>
      <c r="D14" s="98"/>
      <c r="E14" s="18">
        <v>80000</v>
      </c>
      <c r="F14" s="18"/>
      <c r="G14" s="19">
        <v>44303</v>
      </c>
    </row>
    <row r="15" spans="1:8" ht="15.75" x14ac:dyDescent="0.25">
      <c r="A15" s="3" t="s">
        <v>63</v>
      </c>
      <c r="B15" s="96"/>
      <c r="C15" s="97"/>
      <c r="D15" s="98"/>
      <c r="E15" s="18">
        <v>80000</v>
      </c>
      <c r="F15" s="18"/>
      <c r="G15" s="19">
        <v>44303</v>
      </c>
    </row>
    <row r="16" spans="1:8" ht="15.75" x14ac:dyDescent="0.25">
      <c r="A16" s="3" t="s">
        <v>64</v>
      </c>
      <c r="B16" s="96"/>
      <c r="C16" s="97"/>
      <c r="D16" s="98"/>
      <c r="E16" s="18">
        <v>80000</v>
      </c>
      <c r="F16" s="18"/>
      <c r="G16" s="19">
        <v>44303</v>
      </c>
    </row>
    <row r="17" spans="1:8" ht="15.75" x14ac:dyDescent="0.25">
      <c r="A17" s="3" t="s">
        <v>65</v>
      </c>
      <c r="B17" s="96"/>
      <c r="C17" s="97"/>
      <c r="D17" s="98"/>
      <c r="E17" s="18">
        <v>80000</v>
      </c>
      <c r="F17" s="18"/>
      <c r="G17" s="19">
        <v>44303</v>
      </c>
    </row>
    <row r="18" spans="1:8" ht="15.75" x14ac:dyDescent="0.25">
      <c r="A18" s="3"/>
      <c r="B18" s="96"/>
      <c r="C18" s="97"/>
      <c r="D18" s="98"/>
      <c r="E18" s="18">
        <v>80000</v>
      </c>
      <c r="F18" s="18"/>
      <c r="G18" s="19">
        <v>44303</v>
      </c>
    </row>
    <row r="19" spans="1:8" ht="15.75" x14ac:dyDescent="0.25">
      <c r="A19" s="3"/>
      <c r="B19" s="96"/>
      <c r="C19" s="97"/>
      <c r="D19" s="98"/>
      <c r="E19" s="18">
        <v>80000</v>
      </c>
      <c r="F19" s="18"/>
      <c r="G19" s="19">
        <v>44303</v>
      </c>
    </row>
    <row r="20" spans="1:8" ht="15.75" x14ac:dyDescent="0.25">
      <c r="A20" s="3"/>
      <c r="B20" s="96"/>
      <c r="C20" s="97"/>
      <c r="D20" s="98"/>
      <c r="E20" s="18">
        <v>80000</v>
      </c>
      <c r="F20" s="18"/>
      <c r="G20" s="19">
        <v>44303</v>
      </c>
    </row>
    <row r="21" spans="1:8" ht="15.75" x14ac:dyDescent="0.25">
      <c r="A21" s="3"/>
      <c r="B21" s="96"/>
      <c r="C21" s="97"/>
      <c r="D21" s="98"/>
      <c r="E21" s="18">
        <v>80000</v>
      </c>
      <c r="F21" s="18"/>
      <c r="G21" s="19">
        <v>44303</v>
      </c>
    </row>
    <row r="22" spans="1:8" ht="15.75" x14ac:dyDescent="0.25">
      <c r="A22" s="3"/>
      <c r="B22" s="96"/>
      <c r="C22" s="97"/>
      <c r="D22" s="98"/>
      <c r="E22" s="18">
        <v>80000</v>
      </c>
      <c r="F22" s="18"/>
      <c r="G22" s="19">
        <v>44303</v>
      </c>
    </row>
    <row r="23" spans="1:8" ht="15.75" x14ac:dyDescent="0.25">
      <c r="A23" s="3"/>
      <c r="B23" s="96"/>
      <c r="C23" s="97"/>
      <c r="D23" s="98"/>
      <c r="E23" s="18">
        <v>80000</v>
      </c>
      <c r="F23" s="18"/>
      <c r="G23" s="19">
        <v>44303</v>
      </c>
    </row>
    <row r="24" spans="1:8" ht="15.75" x14ac:dyDescent="0.25">
      <c r="A24" s="3"/>
      <c r="B24" s="96"/>
      <c r="C24" s="97"/>
      <c r="D24" s="98"/>
      <c r="E24" s="18">
        <v>80000</v>
      </c>
      <c r="F24" s="18"/>
      <c r="G24" s="19">
        <v>44303</v>
      </c>
    </row>
    <row r="25" spans="1:8" ht="15.75" x14ac:dyDescent="0.25">
      <c r="A25" s="5" t="s">
        <v>3</v>
      </c>
      <c r="B25" s="96">
        <f>SUM(B4:D24)</f>
        <v>0</v>
      </c>
      <c r="C25" s="97"/>
      <c r="D25" s="98"/>
      <c r="E25" s="18">
        <v>80000</v>
      </c>
      <c r="F25" s="1"/>
      <c r="G25" s="19">
        <v>44303</v>
      </c>
      <c r="H25" s="22"/>
    </row>
  </sheetData>
  <mergeCells count="25">
    <mergeCell ref="B17:D17"/>
    <mergeCell ref="B18:D18"/>
    <mergeCell ref="B19:D19"/>
    <mergeCell ref="B14:D14"/>
    <mergeCell ref="B15:D15"/>
    <mergeCell ref="B16:D16"/>
    <mergeCell ref="B23:D23"/>
    <mergeCell ref="B24:D24"/>
    <mergeCell ref="B25:D25"/>
    <mergeCell ref="B20:D20"/>
    <mergeCell ref="B21:D21"/>
    <mergeCell ref="B22:D22"/>
    <mergeCell ref="A1:H1"/>
    <mergeCell ref="B4:D4"/>
    <mergeCell ref="B13:D13"/>
    <mergeCell ref="B8:D8"/>
    <mergeCell ref="B9:D9"/>
    <mergeCell ref="B10:D10"/>
    <mergeCell ref="B5:D5"/>
    <mergeCell ref="B6:D6"/>
    <mergeCell ref="B7:D7"/>
    <mergeCell ref="A3:D3"/>
    <mergeCell ref="A2:G2"/>
    <mergeCell ref="B11:D11"/>
    <mergeCell ref="B12:D12"/>
  </mergeCells>
  <pageMargins left="0.7" right="0.7" top="0.75" bottom="0.75" header="0.3" footer="0.3"/>
  <pageSetup paperSize="9" orientation="landscape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G23"/>
  <sheetViews>
    <sheetView workbookViewId="0">
      <selection activeCell="H22" sqref="H22"/>
    </sheetView>
  </sheetViews>
  <sheetFormatPr baseColWidth="10" defaultRowHeight="15" x14ac:dyDescent="0.25"/>
  <cols>
    <col min="1" max="1" width="17.140625" bestFit="1" customWidth="1"/>
    <col min="2" max="2" width="24.28515625" bestFit="1" customWidth="1"/>
  </cols>
  <sheetData>
    <row r="2" spans="1:7" ht="18.75" x14ac:dyDescent="0.3">
      <c r="E2" s="82" t="s">
        <v>147</v>
      </c>
      <c r="F2" s="82"/>
      <c r="G2" s="82"/>
    </row>
    <row r="4" spans="1:7" ht="15.75" x14ac:dyDescent="0.25">
      <c r="A4" s="36" t="s">
        <v>149</v>
      </c>
      <c r="B4" s="36" t="s">
        <v>151</v>
      </c>
      <c r="E4" s="51" t="s">
        <v>130</v>
      </c>
      <c r="F4" s="52" t="s">
        <v>150</v>
      </c>
      <c r="G4" s="53" t="s">
        <v>148</v>
      </c>
    </row>
    <row r="5" spans="1:7" x14ac:dyDescent="0.25">
      <c r="A5" s="32"/>
      <c r="E5" s="48"/>
      <c r="F5" s="49"/>
      <c r="G5" s="50"/>
    </row>
    <row r="6" spans="1:7" x14ac:dyDescent="0.25">
      <c r="A6" s="33" t="s">
        <v>78</v>
      </c>
      <c r="B6" t="s">
        <v>152</v>
      </c>
    </row>
    <row r="7" spans="1:7" x14ac:dyDescent="0.25">
      <c r="A7" s="33" t="s">
        <v>80</v>
      </c>
      <c r="B7" t="s">
        <v>153</v>
      </c>
    </row>
    <row r="8" spans="1:7" x14ac:dyDescent="0.25">
      <c r="A8" s="33" t="s">
        <v>108</v>
      </c>
    </row>
    <row r="9" spans="1:7" x14ac:dyDescent="0.25">
      <c r="A9" s="33" t="s">
        <v>81</v>
      </c>
    </row>
    <row r="10" spans="1:7" x14ac:dyDescent="0.25">
      <c r="A10" s="33" t="s">
        <v>82</v>
      </c>
    </row>
    <row r="11" spans="1:7" x14ac:dyDescent="0.25">
      <c r="A11" s="33" t="s">
        <v>83</v>
      </c>
    </row>
    <row r="12" spans="1:7" x14ac:dyDescent="0.25">
      <c r="A12" s="33" t="s">
        <v>84</v>
      </c>
    </row>
    <row r="13" spans="1:7" x14ac:dyDescent="0.25">
      <c r="A13" s="33" t="s">
        <v>85</v>
      </c>
    </row>
    <row r="14" spans="1:7" x14ac:dyDescent="0.25">
      <c r="A14" s="34"/>
    </row>
    <row r="15" spans="1:7" x14ac:dyDescent="0.25">
      <c r="A15" s="34"/>
    </row>
    <row r="16" spans="1:7" x14ac:dyDescent="0.25">
      <c r="A16" s="34"/>
    </row>
    <row r="17" spans="1:1" x14ac:dyDescent="0.25">
      <c r="A17" s="29"/>
    </row>
    <row r="18" spans="1:1" x14ac:dyDescent="0.25">
      <c r="A18" s="34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</sheetData>
  <mergeCells count="1">
    <mergeCell ref="E2:G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26"/>
  <sheetViews>
    <sheetView workbookViewId="0">
      <selection activeCell="A4" sqref="A4:A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9" t="s">
        <v>30</v>
      </c>
      <c r="B1" s="109"/>
      <c r="C1" s="109"/>
      <c r="D1" s="109"/>
      <c r="E1" s="109"/>
      <c r="F1" s="109"/>
      <c r="G1" s="109"/>
      <c r="H1" s="109"/>
    </row>
    <row r="2" spans="1:8" ht="15" customHeight="1" x14ac:dyDescent="0.25">
      <c r="A2" s="100" t="s">
        <v>79</v>
      </c>
      <c r="B2" s="100"/>
      <c r="C2" s="100"/>
      <c r="D2" s="100"/>
      <c r="E2" s="100"/>
      <c r="F2" s="100"/>
      <c r="G2" s="100"/>
      <c r="H2" s="100"/>
    </row>
    <row r="3" spans="1:8" ht="15" customHeight="1" x14ac:dyDescent="0.25">
      <c r="A3" s="10"/>
      <c r="B3" s="87" t="s">
        <v>25</v>
      </c>
      <c r="C3" s="88"/>
      <c r="D3" s="89"/>
      <c r="E3" s="87" t="s">
        <v>26</v>
      </c>
      <c r="F3" s="88"/>
      <c r="G3" s="88"/>
      <c r="H3" s="89"/>
    </row>
    <row r="4" spans="1:8" ht="15" customHeight="1" x14ac:dyDescent="0.25">
      <c r="A4" s="12" t="s">
        <v>78</v>
      </c>
      <c r="B4" s="96"/>
      <c r="C4" s="97"/>
      <c r="D4" s="98"/>
      <c r="E4" s="96">
        <v>1502</v>
      </c>
      <c r="F4" s="97"/>
      <c r="G4" s="97"/>
      <c r="H4" s="98"/>
    </row>
    <row r="5" spans="1:8" ht="15" customHeight="1" x14ac:dyDescent="0.25">
      <c r="A5" s="12" t="s">
        <v>80</v>
      </c>
      <c r="B5" s="96"/>
      <c r="C5" s="97"/>
      <c r="D5" s="98"/>
      <c r="E5" s="96">
        <v>2241</v>
      </c>
      <c r="F5" s="97"/>
      <c r="G5" s="97"/>
      <c r="H5" s="98"/>
    </row>
    <row r="6" spans="1:8" ht="15" customHeight="1" x14ac:dyDescent="0.25">
      <c r="A6" s="12" t="s">
        <v>108</v>
      </c>
      <c r="B6" s="96"/>
      <c r="C6" s="97"/>
      <c r="D6" s="98"/>
      <c r="E6" s="96">
        <v>500</v>
      </c>
      <c r="F6" s="97"/>
      <c r="G6" s="97"/>
      <c r="H6" s="98"/>
    </row>
    <row r="7" spans="1:8" ht="15" customHeight="1" x14ac:dyDescent="0.25">
      <c r="A7" s="12"/>
      <c r="B7" s="96"/>
      <c r="C7" s="97"/>
      <c r="D7" s="98"/>
      <c r="E7" s="96"/>
      <c r="F7" s="97"/>
      <c r="G7" s="97"/>
      <c r="H7" s="98"/>
    </row>
    <row r="8" spans="1:8" ht="15" customHeight="1" x14ac:dyDescent="0.25">
      <c r="A8" s="12"/>
      <c r="B8" s="96"/>
      <c r="C8" s="97"/>
      <c r="D8" s="98"/>
      <c r="E8" s="96"/>
      <c r="F8" s="97"/>
      <c r="G8" s="97"/>
      <c r="H8" s="98"/>
    </row>
    <row r="9" spans="1:8" ht="15" customHeight="1" x14ac:dyDescent="0.25">
      <c r="A9" s="12"/>
      <c r="B9" s="96"/>
      <c r="C9" s="97"/>
      <c r="D9" s="98"/>
      <c r="E9" s="96"/>
      <c r="F9" s="97"/>
      <c r="G9" s="97"/>
      <c r="H9" s="98"/>
    </row>
    <row r="10" spans="1:8" ht="15" customHeight="1" x14ac:dyDescent="0.25">
      <c r="A10" s="12"/>
      <c r="B10" s="96"/>
      <c r="C10" s="97"/>
      <c r="D10" s="98"/>
      <c r="E10" s="96"/>
      <c r="F10" s="97"/>
      <c r="G10" s="97"/>
      <c r="H10" s="98"/>
    </row>
    <row r="11" spans="1:8" ht="15.75" x14ac:dyDescent="0.25">
      <c r="A11" s="11"/>
      <c r="B11" s="96"/>
      <c r="C11" s="97"/>
      <c r="D11" s="98"/>
      <c r="E11" s="96"/>
      <c r="F11" s="97"/>
      <c r="G11" s="97"/>
      <c r="H11" s="98"/>
    </row>
    <row r="12" spans="1:8" ht="15.75" x14ac:dyDescent="0.25">
      <c r="A12" s="11"/>
      <c r="B12" s="96"/>
      <c r="C12" s="97"/>
      <c r="D12" s="98"/>
      <c r="E12" s="96"/>
      <c r="F12" s="97"/>
      <c r="G12" s="97"/>
      <c r="H12" s="98"/>
    </row>
    <row r="13" spans="1:8" ht="15.75" x14ac:dyDescent="0.25">
      <c r="A13" s="11"/>
      <c r="B13" s="96"/>
      <c r="C13" s="97"/>
      <c r="D13" s="98"/>
      <c r="E13" s="96"/>
      <c r="F13" s="97"/>
      <c r="G13" s="97"/>
      <c r="H13" s="98"/>
    </row>
    <row r="14" spans="1:8" ht="15.75" x14ac:dyDescent="0.25">
      <c r="A14" s="11"/>
      <c r="B14" s="96"/>
      <c r="C14" s="97"/>
      <c r="D14" s="98"/>
      <c r="E14" s="105"/>
      <c r="F14" s="105"/>
      <c r="G14" s="105"/>
      <c r="H14" s="105"/>
    </row>
    <row r="15" spans="1:8" ht="15.75" x14ac:dyDescent="0.25">
      <c r="A15" s="3"/>
      <c r="B15" s="96"/>
      <c r="C15" s="97"/>
      <c r="D15" s="98"/>
      <c r="E15" s="105"/>
      <c r="F15" s="105"/>
      <c r="G15" s="105"/>
      <c r="H15" s="105"/>
    </row>
    <row r="16" spans="1:8" ht="15.75" x14ac:dyDescent="0.25">
      <c r="A16" s="11"/>
      <c r="B16" s="96"/>
      <c r="C16" s="97"/>
      <c r="D16" s="98"/>
      <c r="E16" s="105"/>
      <c r="F16" s="105"/>
      <c r="G16" s="105"/>
      <c r="H16" s="105"/>
    </row>
    <row r="17" spans="1:8" ht="15.75" x14ac:dyDescent="0.25">
      <c r="A17" s="3"/>
      <c r="B17" s="96"/>
      <c r="C17" s="97"/>
      <c r="D17" s="98"/>
      <c r="E17" s="105"/>
      <c r="F17" s="105"/>
      <c r="G17" s="105"/>
      <c r="H17" s="105"/>
    </row>
    <row r="18" spans="1:8" ht="15.75" x14ac:dyDescent="0.25">
      <c r="A18" s="3"/>
      <c r="B18" s="96"/>
      <c r="C18" s="97"/>
      <c r="D18" s="98"/>
      <c r="E18" s="105"/>
      <c r="F18" s="105"/>
      <c r="G18" s="105"/>
      <c r="H18" s="105"/>
    </row>
    <row r="19" spans="1:8" ht="15.75" x14ac:dyDescent="0.25">
      <c r="A19" s="3"/>
      <c r="B19" s="96"/>
      <c r="C19" s="97"/>
      <c r="D19" s="98"/>
      <c r="E19" s="105"/>
      <c r="F19" s="105"/>
      <c r="G19" s="105"/>
      <c r="H19" s="105"/>
    </row>
    <row r="20" spans="1:8" ht="15.75" x14ac:dyDescent="0.25">
      <c r="A20" s="3"/>
      <c r="B20" s="96"/>
      <c r="C20" s="97"/>
      <c r="D20" s="98"/>
      <c r="E20" s="105"/>
      <c r="F20" s="105"/>
      <c r="G20" s="105"/>
      <c r="H20" s="105"/>
    </row>
    <row r="21" spans="1:8" ht="15.75" x14ac:dyDescent="0.25">
      <c r="A21" s="3"/>
      <c r="B21" s="96"/>
      <c r="C21" s="97"/>
      <c r="D21" s="98"/>
      <c r="E21" s="105"/>
      <c r="F21" s="105"/>
      <c r="G21" s="105"/>
      <c r="H21" s="105"/>
    </row>
    <row r="22" spans="1:8" ht="15.75" x14ac:dyDescent="0.25">
      <c r="A22" s="3"/>
      <c r="B22" s="96"/>
      <c r="C22" s="97"/>
      <c r="D22" s="98"/>
      <c r="E22" s="105"/>
      <c r="F22" s="105"/>
      <c r="G22" s="105"/>
      <c r="H22" s="105"/>
    </row>
    <row r="23" spans="1:8" ht="15.75" x14ac:dyDescent="0.25">
      <c r="A23" s="3"/>
      <c r="B23" s="96"/>
      <c r="C23" s="97"/>
      <c r="D23" s="98"/>
      <c r="E23" s="105"/>
      <c r="F23" s="105"/>
      <c r="G23" s="105"/>
      <c r="H23" s="105"/>
    </row>
    <row r="24" spans="1:8" ht="15.75" x14ac:dyDescent="0.25">
      <c r="A24" s="3"/>
      <c r="B24" s="96"/>
      <c r="C24" s="97"/>
      <c r="D24" s="98"/>
      <c r="E24" s="105"/>
      <c r="F24" s="105"/>
      <c r="G24" s="105"/>
      <c r="H24" s="105"/>
    </row>
    <row r="25" spans="1:8" ht="15.75" x14ac:dyDescent="0.25">
      <c r="A25" s="5" t="s">
        <v>3</v>
      </c>
      <c r="B25" s="96">
        <f>SUM(B4:D24)</f>
        <v>0</v>
      </c>
      <c r="C25" s="97"/>
      <c r="D25" s="98"/>
      <c r="E25" s="105">
        <f>SUM(E4:H24)</f>
        <v>4243</v>
      </c>
      <c r="F25" s="105"/>
      <c r="G25" s="105"/>
      <c r="H25" s="105"/>
    </row>
    <row r="26" spans="1:8" x14ac:dyDescent="0.25">
      <c r="A26" s="2" t="s">
        <v>27</v>
      </c>
      <c r="B26" s="105">
        <f>SUM(E25-B25)</f>
        <v>4243</v>
      </c>
      <c r="C26" s="105"/>
      <c r="D26" s="105"/>
      <c r="E26" s="105"/>
      <c r="F26" s="105"/>
      <c r="G26" s="105"/>
      <c r="H26" s="10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H26"/>
  <sheetViews>
    <sheetView workbookViewId="0">
      <selection activeCell="A4" sqref="A4:A8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9" t="s">
        <v>30</v>
      </c>
      <c r="B1" s="109"/>
      <c r="C1" s="109"/>
      <c r="D1" s="109"/>
      <c r="E1" s="109"/>
      <c r="F1" s="109"/>
      <c r="G1" s="109"/>
      <c r="H1" s="109"/>
    </row>
    <row r="2" spans="1:8" ht="15" customHeight="1" x14ac:dyDescent="0.25">
      <c r="A2" s="100" t="s">
        <v>79</v>
      </c>
      <c r="B2" s="100"/>
      <c r="C2" s="100"/>
      <c r="D2" s="100"/>
      <c r="E2" s="100"/>
      <c r="F2" s="100"/>
      <c r="G2" s="100"/>
      <c r="H2" s="100"/>
    </row>
    <row r="3" spans="1:8" ht="15" customHeight="1" x14ac:dyDescent="0.25">
      <c r="A3" s="10"/>
      <c r="B3" s="87" t="s">
        <v>25</v>
      </c>
      <c r="C3" s="88"/>
      <c r="D3" s="89"/>
      <c r="E3" s="87" t="s">
        <v>26</v>
      </c>
      <c r="F3" s="88"/>
      <c r="G3" s="88"/>
      <c r="H3" s="89"/>
    </row>
    <row r="4" spans="1:8" ht="15" customHeight="1" x14ac:dyDescent="0.25">
      <c r="A4" s="12" t="s">
        <v>81</v>
      </c>
      <c r="B4" s="96"/>
      <c r="C4" s="97"/>
      <c r="D4" s="98"/>
      <c r="E4" s="96">
        <v>1707.35</v>
      </c>
      <c r="F4" s="97"/>
      <c r="G4" s="97"/>
      <c r="H4" s="98"/>
    </row>
    <row r="5" spans="1:8" ht="15" customHeight="1" x14ac:dyDescent="0.25">
      <c r="A5" s="12" t="s">
        <v>82</v>
      </c>
      <c r="B5" s="96"/>
      <c r="C5" s="97"/>
      <c r="D5" s="98"/>
      <c r="E5" s="96">
        <v>1427.82</v>
      </c>
      <c r="F5" s="97"/>
      <c r="G5" s="97"/>
      <c r="H5" s="98"/>
    </row>
    <row r="6" spans="1:8" ht="15" customHeight="1" x14ac:dyDescent="0.25">
      <c r="A6" s="12" t="s">
        <v>83</v>
      </c>
      <c r="B6" s="96"/>
      <c r="C6" s="97"/>
      <c r="D6" s="98"/>
      <c r="E6" s="96">
        <v>989.83</v>
      </c>
      <c r="F6" s="97"/>
      <c r="G6" s="97"/>
      <c r="H6" s="98"/>
    </row>
    <row r="7" spans="1:8" ht="15" customHeight="1" x14ac:dyDescent="0.25">
      <c r="A7" s="12" t="s">
        <v>84</v>
      </c>
      <c r="B7" s="96"/>
      <c r="C7" s="97"/>
      <c r="D7" s="98"/>
      <c r="E7" s="96">
        <v>1639.32</v>
      </c>
      <c r="F7" s="97"/>
      <c r="G7" s="97"/>
      <c r="H7" s="98"/>
    </row>
    <row r="8" spans="1:8" ht="15" customHeight="1" x14ac:dyDescent="0.25">
      <c r="A8" s="12" t="s">
        <v>85</v>
      </c>
      <c r="B8" s="96"/>
      <c r="C8" s="97"/>
      <c r="D8" s="98"/>
      <c r="E8" s="96">
        <v>654.51</v>
      </c>
      <c r="F8" s="97"/>
      <c r="G8" s="97"/>
      <c r="H8" s="98"/>
    </row>
    <row r="9" spans="1:8" ht="15" customHeight="1" x14ac:dyDescent="0.25">
      <c r="A9" s="12" t="s">
        <v>108</v>
      </c>
      <c r="B9" s="96"/>
      <c r="C9" s="97"/>
      <c r="D9" s="98"/>
      <c r="E9" s="96">
        <v>3500</v>
      </c>
      <c r="F9" s="97"/>
      <c r="G9" s="97"/>
      <c r="H9" s="98"/>
    </row>
    <row r="10" spans="1:8" ht="15" customHeight="1" x14ac:dyDescent="0.25">
      <c r="A10" s="12"/>
      <c r="B10" s="96"/>
      <c r="C10" s="97"/>
      <c r="D10" s="98"/>
      <c r="E10" s="96"/>
      <c r="F10" s="97"/>
      <c r="G10" s="97"/>
      <c r="H10" s="98"/>
    </row>
    <row r="11" spans="1:8" ht="15.75" x14ac:dyDescent="0.25">
      <c r="A11" s="11"/>
      <c r="B11" s="96"/>
      <c r="C11" s="97"/>
      <c r="D11" s="98"/>
      <c r="E11" s="96"/>
      <c r="F11" s="97"/>
      <c r="G11" s="97"/>
      <c r="H11" s="98"/>
    </row>
    <row r="12" spans="1:8" ht="15.75" x14ac:dyDescent="0.25">
      <c r="A12" s="11"/>
      <c r="B12" s="96"/>
      <c r="C12" s="97"/>
      <c r="D12" s="98"/>
      <c r="E12" s="96"/>
      <c r="F12" s="97"/>
      <c r="G12" s="97"/>
      <c r="H12" s="98"/>
    </row>
    <row r="13" spans="1:8" ht="15.75" x14ac:dyDescent="0.25">
      <c r="A13" s="11"/>
      <c r="B13" s="96"/>
      <c r="C13" s="97"/>
      <c r="D13" s="98"/>
      <c r="E13" s="96"/>
      <c r="F13" s="97"/>
      <c r="G13" s="97"/>
      <c r="H13" s="98"/>
    </row>
    <row r="14" spans="1:8" ht="15.75" x14ac:dyDescent="0.25">
      <c r="A14" s="11"/>
      <c r="B14" s="96"/>
      <c r="C14" s="97"/>
      <c r="D14" s="98"/>
      <c r="E14" s="105"/>
      <c r="F14" s="105"/>
      <c r="G14" s="105"/>
      <c r="H14" s="105"/>
    </row>
    <row r="15" spans="1:8" ht="15.75" x14ac:dyDescent="0.25">
      <c r="A15" s="3"/>
      <c r="B15" s="96"/>
      <c r="C15" s="97"/>
      <c r="D15" s="98"/>
      <c r="E15" s="105"/>
      <c r="F15" s="105"/>
      <c r="G15" s="105"/>
      <c r="H15" s="105"/>
    </row>
    <row r="16" spans="1:8" ht="15.75" x14ac:dyDescent="0.25">
      <c r="A16" s="11"/>
      <c r="B16" s="96"/>
      <c r="C16" s="97"/>
      <c r="D16" s="98"/>
      <c r="E16" s="105"/>
      <c r="F16" s="105"/>
      <c r="G16" s="105"/>
      <c r="H16" s="105"/>
    </row>
    <row r="17" spans="1:8" ht="15.75" x14ac:dyDescent="0.25">
      <c r="A17" s="3"/>
      <c r="B17" s="96"/>
      <c r="C17" s="97"/>
      <c r="D17" s="98"/>
      <c r="E17" s="105"/>
      <c r="F17" s="105"/>
      <c r="G17" s="105"/>
      <c r="H17" s="105"/>
    </row>
    <row r="18" spans="1:8" ht="15.75" x14ac:dyDescent="0.25">
      <c r="A18" s="3"/>
      <c r="B18" s="96"/>
      <c r="C18" s="97"/>
      <c r="D18" s="98"/>
      <c r="E18" s="105"/>
      <c r="F18" s="105"/>
      <c r="G18" s="105"/>
      <c r="H18" s="105"/>
    </row>
    <row r="19" spans="1:8" ht="15.75" x14ac:dyDescent="0.25">
      <c r="A19" s="3"/>
      <c r="B19" s="96"/>
      <c r="C19" s="97"/>
      <c r="D19" s="98"/>
      <c r="E19" s="105"/>
      <c r="F19" s="105"/>
      <c r="G19" s="105"/>
      <c r="H19" s="105"/>
    </row>
    <row r="20" spans="1:8" ht="15.75" x14ac:dyDescent="0.25">
      <c r="A20" s="3"/>
      <c r="B20" s="96"/>
      <c r="C20" s="97"/>
      <c r="D20" s="98"/>
      <c r="E20" s="105"/>
      <c r="F20" s="105"/>
      <c r="G20" s="105"/>
      <c r="H20" s="105"/>
    </row>
    <row r="21" spans="1:8" ht="15.75" x14ac:dyDescent="0.25">
      <c r="A21" s="3"/>
      <c r="B21" s="96"/>
      <c r="C21" s="97"/>
      <c r="D21" s="98"/>
      <c r="E21" s="105"/>
      <c r="F21" s="105"/>
      <c r="G21" s="105"/>
      <c r="H21" s="105"/>
    </row>
    <row r="22" spans="1:8" ht="15.75" x14ac:dyDescent="0.25">
      <c r="A22" s="3"/>
      <c r="B22" s="96"/>
      <c r="C22" s="97"/>
      <c r="D22" s="98"/>
      <c r="E22" s="105"/>
      <c r="F22" s="105"/>
      <c r="G22" s="105"/>
      <c r="H22" s="105"/>
    </row>
    <row r="23" spans="1:8" ht="15.75" x14ac:dyDescent="0.25">
      <c r="A23" s="3"/>
      <c r="B23" s="96"/>
      <c r="C23" s="97"/>
      <c r="D23" s="98"/>
      <c r="E23" s="105"/>
      <c r="F23" s="105"/>
      <c r="G23" s="105"/>
      <c r="H23" s="105"/>
    </row>
    <row r="24" spans="1:8" ht="15.75" x14ac:dyDescent="0.25">
      <c r="A24" s="3"/>
      <c r="B24" s="96"/>
      <c r="C24" s="97"/>
      <c r="D24" s="98"/>
      <c r="E24" s="105"/>
      <c r="F24" s="105"/>
      <c r="G24" s="105"/>
      <c r="H24" s="105"/>
    </row>
    <row r="25" spans="1:8" ht="15.75" x14ac:dyDescent="0.25">
      <c r="A25" s="5" t="s">
        <v>3</v>
      </c>
      <c r="B25" s="96">
        <f>SUM(B4:D24)</f>
        <v>0</v>
      </c>
      <c r="C25" s="97"/>
      <c r="D25" s="98"/>
      <c r="E25" s="105">
        <f>SUM(E4:H24)</f>
        <v>9918.83</v>
      </c>
      <c r="F25" s="105"/>
      <c r="G25" s="105"/>
      <c r="H25" s="105"/>
    </row>
    <row r="26" spans="1:8" x14ac:dyDescent="0.25">
      <c r="A26" s="2" t="s">
        <v>27</v>
      </c>
      <c r="B26" s="105">
        <f>SUM(E25-B25)</f>
        <v>9918.83</v>
      </c>
      <c r="C26" s="105"/>
      <c r="D26" s="105"/>
      <c r="E26" s="105"/>
      <c r="F26" s="105"/>
      <c r="G26" s="105"/>
      <c r="H26" s="10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F11"/>
  <sheetViews>
    <sheetView workbookViewId="0">
      <selection activeCell="D4" sqref="D4:F5"/>
    </sheetView>
  </sheetViews>
  <sheetFormatPr baseColWidth="10" defaultRowHeight="15" x14ac:dyDescent="0.25"/>
  <cols>
    <col min="1" max="1" width="23.5703125" bestFit="1" customWidth="1"/>
  </cols>
  <sheetData>
    <row r="4" spans="1:6" x14ac:dyDescent="0.25">
      <c r="A4" s="40" t="s">
        <v>154</v>
      </c>
      <c r="D4" s="51" t="s">
        <v>130</v>
      </c>
      <c r="E4" s="52" t="s">
        <v>155</v>
      </c>
      <c r="F4" s="53" t="s">
        <v>156</v>
      </c>
    </row>
    <row r="5" spans="1:6" x14ac:dyDescent="0.25">
      <c r="D5" s="48"/>
      <c r="E5" s="49"/>
      <c r="F5" s="50"/>
    </row>
    <row r="6" spans="1:6" x14ac:dyDescent="0.25">
      <c r="A6" s="33" t="s">
        <v>87</v>
      </c>
    </row>
    <row r="7" spans="1:6" x14ac:dyDescent="0.25">
      <c r="A7" s="33" t="s">
        <v>88</v>
      </c>
    </row>
    <row r="8" spans="1:6" x14ac:dyDescent="0.25">
      <c r="A8" s="33" t="s">
        <v>89</v>
      </c>
    </row>
    <row r="9" spans="1:6" x14ac:dyDescent="0.25">
      <c r="A9" s="39" t="s">
        <v>90</v>
      </c>
    </row>
    <row r="10" spans="1:6" x14ac:dyDescent="0.25">
      <c r="A10" s="33" t="s">
        <v>91</v>
      </c>
    </row>
    <row r="11" spans="1:6" x14ac:dyDescent="0.25">
      <c r="A11" s="3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/>
  <dimension ref="A1:H26"/>
  <sheetViews>
    <sheetView workbookViewId="0">
      <selection activeCell="M28" sqref="M28"/>
    </sheetView>
  </sheetViews>
  <sheetFormatPr baseColWidth="10" defaultRowHeight="15" x14ac:dyDescent="0.25"/>
  <cols>
    <col min="1" max="1" width="19.85546875" bestFit="1" customWidth="1"/>
  </cols>
  <sheetData>
    <row r="1" spans="1:8" ht="20.100000000000001" customHeight="1" x14ac:dyDescent="0.25">
      <c r="A1" s="109" t="s">
        <v>30</v>
      </c>
      <c r="B1" s="109"/>
      <c r="C1" s="109"/>
      <c r="D1" s="109"/>
      <c r="E1" s="109"/>
      <c r="F1" s="109"/>
      <c r="G1" s="109"/>
      <c r="H1" s="109"/>
    </row>
    <row r="2" spans="1:8" ht="15" customHeight="1" x14ac:dyDescent="0.25">
      <c r="A2" s="100" t="s">
        <v>86</v>
      </c>
      <c r="B2" s="100"/>
      <c r="C2" s="100"/>
      <c r="D2" s="100"/>
      <c r="E2" s="100"/>
      <c r="F2" s="100"/>
      <c r="G2" s="100"/>
      <c r="H2" s="100"/>
    </row>
    <row r="3" spans="1:8" ht="15" customHeight="1" x14ac:dyDescent="0.25">
      <c r="A3" s="10"/>
      <c r="B3" s="87" t="s">
        <v>25</v>
      </c>
      <c r="C3" s="88"/>
      <c r="D3" s="89"/>
      <c r="E3" s="87" t="s">
        <v>26</v>
      </c>
      <c r="F3" s="88"/>
      <c r="G3" s="88"/>
      <c r="H3" s="89"/>
    </row>
    <row r="4" spans="1:8" ht="15" customHeight="1" x14ac:dyDescent="0.25">
      <c r="A4" s="12" t="s">
        <v>87</v>
      </c>
      <c r="B4" s="96"/>
      <c r="C4" s="97"/>
      <c r="D4" s="98"/>
      <c r="E4" s="96">
        <v>942.04</v>
      </c>
      <c r="F4" s="97"/>
      <c r="G4" s="97"/>
      <c r="H4" s="98"/>
    </row>
    <row r="5" spans="1:8" ht="15" customHeight="1" x14ac:dyDescent="0.25">
      <c r="A5" s="12" t="s">
        <v>88</v>
      </c>
      <c r="B5" s="96"/>
      <c r="C5" s="97"/>
      <c r="D5" s="98"/>
      <c r="E5" s="96">
        <v>4419</v>
      </c>
      <c r="F5" s="97"/>
      <c r="G5" s="97"/>
      <c r="H5" s="98"/>
    </row>
    <row r="6" spans="1:8" ht="15.75" x14ac:dyDescent="0.25">
      <c r="A6" s="12" t="s">
        <v>89</v>
      </c>
      <c r="B6" s="96"/>
      <c r="C6" s="97"/>
      <c r="D6" s="98"/>
      <c r="E6" s="96">
        <v>1441.48</v>
      </c>
      <c r="F6" s="97"/>
      <c r="G6" s="97"/>
      <c r="H6" s="98"/>
    </row>
    <row r="7" spans="1:8" ht="15.75" x14ac:dyDescent="0.25">
      <c r="A7" s="26" t="s">
        <v>90</v>
      </c>
      <c r="B7" s="96"/>
      <c r="C7" s="97"/>
      <c r="D7" s="98"/>
      <c r="E7" s="96">
        <v>1639.32</v>
      </c>
      <c r="F7" s="97"/>
      <c r="G7" s="97"/>
      <c r="H7" s="98"/>
    </row>
    <row r="8" spans="1:8" ht="15" customHeight="1" x14ac:dyDescent="0.25">
      <c r="A8" s="12" t="s">
        <v>91</v>
      </c>
      <c r="B8" s="96"/>
      <c r="C8" s="97"/>
      <c r="D8" s="98"/>
      <c r="E8" s="96">
        <v>654.51</v>
      </c>
      <c r="F8" s="97"/>
      <c r="G8" s="97"/>
      <c r="H8" s="98"/>
    </row>
    <row r="9" spans="1:8" ht="15" customHeight="1" x14ac:dyDescent="0.25">
      <c r="A9" s="12" t="s">
        <v>92</v>
      </c>
      <c r="B9" s="96"/>
      <c r="C9" s="97"/>
      <c r="D9" s="98"/>
      <c r="E9" s="96">
        <v>996.96</v>
      </c>
      <c r="F9" s="97"/>
      <c r="G9" s="97"/>
      <c r="H9" s="98"/>
    </row>
    <row r="10" spans="1:8" ht="15" customHeight="1" x14ac:dyDescent="0.25">
      <c r="A10" s="12"/>
      <c r="B10" s="96"/>
      <c r="C10" s="97"/>
      <c r="D10" s="98"/>
      <c r="E10" s="96"/>
      <c r="F10" s="97"/>
      <c r="G10" s="97"/>
      <c r="H10" s="98"/>
    </row>
    <row r="11" spans="1:8" ht="15.75" x14ac:dyDescent="0.25">
      <c r="A11" s="11"/>
      <c r="B11" s="96"/>
      <c r="C11" s="97"/>
      <c r="D11" s="98"/>
      <c r="E11" s="96"/>
      <c r="F11" s="97"/>
      <c r="G11" s="97"/>
      <c r="H11" s="98"/>
    </row>
    <row r="12" spans="1:8" ht="15.75" x14ac:dyDescent="0.25">
      <c r="A12" s="11"/>
      <c r="B12" s="96"/>
      <c r="C12" s="97"/>
      <c r="D12" s="98"/>
      <c r="E12" s="96"/>
      <c r="F12" s="97"/>
      <c r="G12" s="97"/>
      <c r="H12" s="98"/>
    </row>
    <row r="13" spans="1:8" ht="15.75" x14ac:dyDescent="0.25">
      <c r="A13" s="11"/>
      <c r="B13" s="96"/>
      <c r="C13" s="97"/>
      <c r="D13" s="98"/>
      <c r="E13" s="96"/>
      <c r="F13" s="97"/>
      <c r="G13" s="97"/>
      <c r="H13" s="98"/>
    </row>
    <row r="14" spans="1:8" ht="15.75" x14ac:dyDescent="0.25">
      <c r="A14" s="11"/>
      <c r="B14" s="96"/>
      <c r="C14" s="97"/>
      <c r="D14" s="98"/>
      <c r="E14" s="105"/>
      <c r="F14" s="105"/>
      <c r="G14" s="105"/>
      <c r="H14" s="105"/>
    </row>
    <row r="15" spans="1:8" ht="15.75" x14ac:dyDescent="0.25">
      <c r="A15" s="3"/>
      <c r="B15" s="96"/>
      <c r="C15" s="97"/>
      <c r="D15" s="98"/>
      <c r="E15" s="105"/>
      <c r="F15" s="105"/>
      <c r="G15" s="105"/>
      <c r="H15" s="105"/>
    </row>
    <row r="16" spans="1:8" ht="15.75" x14ac:dyDescent="0.25">
      <c r="A16" s="11"/>
      <c r="B16" s="96"/>
      <c r="C16" s="97"/>
      <c r="D16" s="98"/>
      <c r="E16" s="105"/>
      <c r="F16" s="105"/>
      <c r="G16" s="105"/>
      <c r="H16" s="105"/>
    </row>
    <row r="17" spans="1:8" ht="15.75" x14ac:dyDescent="0.25">
      <c r="A17" s="3"/>
      <c r="B17" s="96"/>
      <c r="C17" s="97"/>
      <c r="D17" s="98"/>
      <c r="E17" s="105"/>
      <c r="F17" s="105"/>
      <c r="G17" s="105"/>
      <c r="H17" s="105"/>
    </row>
    <row r="18" spans="1:8" ht="15.75" x14ac:dyDescent="0.25">
      <c r="A18" s="3"/>
      <c r="B18" s="96"/>
      <c r="C18" s="97"/>
      <c r="D18" s="98"/>
      <c r="E18" s="105"/>
      <c r="F18" s="105"/>
      <c r="G18" s="105"/>
      <c r="H18" s="105"/>
    </row>
    <row r="19" spans="1:8" ht="15.75" x14ac:dyDescent="0.25">
      <c r="A19" s="3"/>
      <c r="B19" s="96"/>
      <c r="C19" s="97"/>
      <c r="D19" s="98"/>
      <c r="E19" s="105"/>
      <c r="F19" s="105"/>
      <c r="G19" s="105"/>
      <c r="H19" s="105"/>
    </row>
    <row r="20" spans="1:8" ht="15.75" x14ac:dyDescent="0.25">
      <c r="A20" s="3"/>
      <c r="B20" s="96"/>
      <c r="C20" s="97"/>
      <c r="D20" s="98"/>
      <c r="E20" s="105"/>
      <c r="F20" s="105"/>
      <c r="G20" s="105"/>
      <c r="H20" s="105"/>
    </row>
    <row r="21" spans="1:8" ht="15.75" x14ac:dyDescent="0.25">
      <c r="A21" s="3"/>
      <c r="B21" s="96"/>
      <c r="C21" s="97"/>
      <c r="D21" s="98"/>
      <c r="E21" s="105"/>
      <c r="F21" s="105"/>
      <c r="G21" s="105"/>
      <c r="H21" s="105"/>
    </row>
    <row r="22" spans="1:8" ht="15.75" x14ac:dyDescent="0.25">
      <c r="A22" s="3"/>
      <c r="B22" s="96"/>
      <c r="C22" s="97"/>
      <c r="D22" s="98"/>
      <c r="E22" s="105"/>
      <c r="F22" s="105"/>
      <c r="G22" s="105"/>
      <c r="H22" s="105"/>
    </row>
    <row r="23" spans="1:8" ht="15.75" x14ac:dyDescent="0.25">
      <c r="A23" s="3"/>
      <c r="B23" s="96"/>
      <c r="C23" s="97"/>
      <c r="D23" s="98"/>
      <c r="E23" s="105"/>
      <c r="F23" s="105"/>
      <c r="G23" s="105"/>
      <c r="H23" s="105"/>
    </row>
    <row r="24" spans="1:8" ht="15.75" x14ac:dyDescent="0.25">
      <c r="A24" s="3"/>
      <c r="B24" s="96"/>
      <c r="C24" s="97"/>
      <c r="D24" s="98"/>
      <c r="E24" s="105"/>
      <c r="F24" s="105"/>
      <c r="G24" s="105"/>
      <c r="H24" s="105"/>
    </row>
    <row r="25" spans="1:8" ht="15.75" x14ac:dyDescent="0.25">
      <c r="A25" s="5" t="s">
        <v>3</v>
      </c>
      <c r="B25" s="96">
        <f>SUM(B4:D24)</f>
        <v>0</v>
      </c>
      <c r="C25" s="97"/>
      <c r="D25" s="98"/>
      <c r="E25" s="105">
        <f>SUM(E4:H24)</f>
        <v>10093.310000000001</v>
      </c>
      <c r="F25" s="105"/>
      <c r="G25" s="105"/>
      <c r="H25" s="105"/>
    </row>
    <row r="26" spans="1:8" x14ac:dyDescent="0.25">
      <c r="A26" s="2" t="s">
        <v>27</v>
      </c>
      <c r="B26" s="105">
        <f>SUM(E25-B25)</f>
        <v>10093.310000000001</v>
      </c>
      <c r="C26" s="105"/>
      <c r="D26" s="105"/>
      <c r="E26" s="105"/>
      <c r="F26" s="105"/>
      <c r="G26" s="105"/>
      <c r="H26" s="10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H39"/>
  <sheetViews>
    <sheetView workbookViewId="0">
      <selection activeCell="E4" sqref="E4:H4"/>
    </sheetView>
  </sheetViews>
  <sheetFormatPr baseColWidth="10" defaultRowHeight="15" x14ac:dyDescent="0.25"/>
  <cols>
    <col min="1" max="1" width="24.85546875" bestFit="1" customWidth="1"/>
  </cols>
  <sheetData>
    <row r="1" spans="1:8" ht="20.100000000000001" customHeight="1" x14ac:dyDescent="0.25">
      <c r="A1" s="109" t="s">
        <v>30</v>
      </c>
      <c r="B1" s="109"/>
      <c r="C1" s="109"/>
      <c r="D1" s="109"/>
      <c r="E1" s="109"/>
      <c r="F1" s="109"/>
      <c r="G1" s="109"/>
      <c r="H1" s="109"/>
    </row>
    <row r="2" spans="1:8" ht="15" customHeight="1" x14ac:dyDescent="0.25">
      <c r="A2" s="100" t="s">
        <v>97</v>
      </c>
      <c r="B2" s="100"/>
      <c r="C2" s="100"/>
      <c r="D2" s="100"/>
      <c r="E2" s="100"/>
      <c r="F2" s="100"/>
      <c r="G2" s="100"/>
      <c r="H2" s="100"/>
    </row>
    <row r="3" spans="1:8" ht="15" customHeight="1" x14ac:dyDescent="0.25">
      <c r="A3" s="17" t="s">
        <v>98</v>
      </c>
      <c r="B3" s="87" t="s">
        <v>25</v>
      </c>
      <c r="C3" s="88"/>
      <c r="D3" s="89"/>
      <c r="E3" s="87" t="s">
        <v>26</v>
      </c>
      <c r="F3" s="88"/>
      <c r="G3" s="88"/>
      <c r="H3" s="89"/>
    </row>
    <row r="4" spans="1:8" ht="15" customHeight="1" x14ac:dyDescent="0.25">
      <c r="A4" s="12" t="s">
        <v>13</v>
      </c>
      <c r="B4" s="96">
        <f>SUM(Encaissement!B10)</f>
        <v>0</v>
      </c>
      <c r="C4" s="97"/>
      <c r="D4" s="98"/>
      <c r="E4" s="96">
        <f>SUM(Encaissement!G10)</f>
        <v>50000</v>
      </c>
      <c r="F4" s="97"/>
      <c r="G4" s="97"/>
      <c r="H4" s="98"/>
    </row>
    <row r="5" spans="1:8" ht="15" customHeight="1" x14ac:dyDescent="0.25">
      <c r="A5" s="12" t="s">
        <v>99</v>
      </c>
      <c r="B5" s="96">
        <f>SUM(Encaissement!B23)</f>
        <v>0</v>
      </c>
      <c r="C5" s="97"/>
      <c r="D5" s="98"/>
      <c r="E5" s="96">
        <f>SUM(Encaissement!G23)</f>
        <v>11254</v>
      </c>
      <c r="F5" s="97"/>
      <c r="G5" s="97"/>
      <c r="H5" s="98"/>
    </row>
    <row r="6" spans="1:8" ht="15.75" x14ac:dyDescent="0.25">
      <c r="A6" s="26" t="s">
        <v>12</v>
      </c>
      <c r="B6" s="96">
        <f>SUM('Charge magasin'!B25:D25)</f>
        <v>0</v>
      </c>
      <c r="C6" s="97"/>
      <c r="D6" s="98"/>
      <c r="E6" s="96">
        <f>SUM('Charge magasin'!E25:H25)</f>
        <v>4389.99</v>
      </c>
      <c r="F6" s="97"/>
      <c r="G6" s="97"/>
      <c r="H6" s="98"/>
    </row>
    <row r="7" spans="1:8" ht="15.75" x14ac:dyDescent="0.25">
      <c r="A7" s="12" t="s">
        <v>100</v>
      </c>
      <c r="B7" s="96">
        <f>SUM('Salaire magasin'!B25:D25)</f>
        <v>0</v>
      </c>
      <c r="C7" s="97"/>
      <c r="D7" s="98"/>
      <c r="E7" s="96">
        <f>SUM('Salaire magasin'!E25:H25)</f>
        <v>4243</v>
      </c>
      <c r="F7" s="97"/>
      <c r="G7" s="97"/>
      <c r="H7" s="98"/>
    </row>
    <row r="8" spans="1:8" ht="15" customHeight="1" x14ac:dyDescent="0.25">
      <c r="A8" s="12"/>
      <c r="B8" s="96"/>
      <c r="C8" s="97"/>
      <c r="D8" s="98"/>
      <c r="E8" s="96"/>
      <c r="F8" s="97"/>
      <c r="G8" s="97"/>
      <c r="H8" s="98"/>
    </row>
    <row r="9" spans="1:8" ht="15" customHeight="1" x14ac:dyDescent="0.25">
      <c r="A9" s="12"/>
      <c r="B9" s="96"/>
      <c r="C9" s="97"/>
      <c r="D9" s="98"/>
      <c r="E9" s="96"/>
      <c r="F9" s="97"/>
      <c r="G9" s="97"/>
      <c r="H9" s="98"/>
    </row>
    <row r="10" spans="1:8" ht="15" customHeight="1" x14ac:dyDescent="0.25">
      <c r="A10" s="11"/>
      <c r="B10" s="96"/>
      <c r="C10" s="97"/>
      <c r="D10" s="98"/>
      <c r="E10" s="96"/>
      <c r="F10" s="97"/>
      <c r="G10" s="97"/>
      <c r="H10" s="98"/>
    </row>
    <row r="11" spans="1:8" ht="20.100000000000001" customHeight="1" x14ac:dyDescent="0.25">
      <c r="A11" s="27" t="s">
        <v>104</v>
      </c>
      <c r="B11" s="116">
        <f>SUM(B4)-B5-B6-B7</f>
        <v>0</v>
      </c>
      <c r="C11" s="117"/>
      <c r="D11" s="118"/>
      <c r="E11" s="116">
        <f>SUM(E4)-E5-E6-E7</f>
        <v>30113.010000000002</v>
      </c>
      <c r="F11" s="117"/>
      <c r="G11" s="117"/>
      <c r="H11" s="118"/>
    </row>
    <row r="12" spans="1:8" ht="15.75" x14ac:dyDescent="0.25">
      <c r="A12" s="11" t="s">
        <v>101</v>
      </c>
      <c r="B12" s="96">
        <f>SUM(Encaissement!B7)</f>
        <v>0</v>
      </c>
      <c r="C12" s="97"/>
      <c r="D12" s="98"/>
      <c r="E12" s="96">
        <f>SUM(Encaissement!G7)</f>
        <v>0</v>
      </c>
      <c r="F12" s="97"/>
      <c r="G12" s="97"/>
      <c r="H12" s="98"/>
    </row>
    <row r="13" spans="1:8" ht="15.75" x14ac:dyDescent="0.25">
      <c r="A13" s="11" t="s">
        <v>102</v>
      </c>
      <c r="B13" s="96">
        <f>SUM(Encaissement!B32)</f>
        <v>0</v>
      </c>
      <c r="C13" s="97"/>
      <c r="D13" s="98"/>
      <c r="E13" s="105">
        <f>SUM(E12)</f>
        <v>0</v>
      </c>
      <c r="F13" s="105"/>
      <c r="G13" s="105"/>
      <c r="H13" s="105"/>
    </row>
    <row r="14" spans="1:8" ht="15.75" x14ac:dyDescent="0.25">
      <c r="A14" s="3" t="s">
        <v>33</v>
      </c>
      <c r="B14" s="96">
        <f>SUM('Charge enterprise'!B25:D25)</f>
        <v>0</v>
      </c>
      <c r="C14" s="97"/>
      <c r="D14" s="98"/>
      <c r="E14" s="105">
        <f>SUM('Charge enterprise'!E25:H25)</f>
        <v>2648.4599999999996</v>
      </c>
      <c r="F14" s="105"/>
      <c r="G14" s="105"/>
      <c r="H14" s="105"/>
    </row>
    <row r="15" spans="1:8" ht="15.75" x14ac:dyDescent="0.25">
      <c r="A15" s="11" t="s">
        <v>103</v>
      </c>
      <c r="B15" s="96">
        <f>SUM('Salaire entreprise'!B25:D25)</f>
        <v>0</v>
      </c>
      <c r="C15" s="97"/>
      <c r="D15" s="98"/>
      <c r="E15" s="105">
        <f>SUM('Salaire entreprise'!E25:H25)</f>
        <v>9918.83</v>
      </c>
      <c r="F15" s="105"/>
      <c r="G15" s="105"/>
      <c r="H15" s="105"/>
    </row>
    <row r="16" spans="1:8" ht="15.75" x14ac:dyDescent="0.25">
      <c r="A16" s="3"/>
      <c r="B16" s="96"/>
      <c r="C16" s="97"/>
      <c r="D16" s="98"/>
      <c r="E16" s="105"/>
      <c r="F16" s="105"/>
      <c r="G16" s="105"/>
      <c r="H16" s="105"/>
    </row>
    <row r="17" spans="1:8" ht="15.75" x14ac:dyDescent="0.25">
      <c r="A17" s="3"/>
      <c r="B17" s="96"/>
      <c r="C17" s="97"/>
      <c r="D17" s="98"/>
      <c r="E17" s="105"/>
      <c r="F17" s="105"/>
      <c r="G17" s="105"/>
      <c r="H17" s="105"/>
    </row>
    <row r="18" spans="1:8" ht="15.75" x14ac:dyDescent="0.25">
      <c r="A18" s="3"/>
      <c r="B18" s="96"/>
      <c r="C18" s="97"/>
      <c r="D18" s="98"/>
      <c r="E18" s="105"/>
      <c r="F18" s="105"/>
      <c r="G18" s="105"/>
      <c r="H18" s="105"/>
    </row>
    <row r="19" spans="1:8" ht="20.100000000000001" customHeight="1" x14ac:dyDescent="0.25">
      <c r="A19" s="28" t="s">
        <v>105</v>
      </c>
      <c r="B19" s="112"/>
      <c r="C19" s="113"/>
      <c r="D19" s="114"/>
      <c r="E19" s="115">
        <f>SUM(E12)-E13-E14-E15</f>
        <v>-12567.289999999999</v>
      </c>
      <c r="F19" s="115"/>
      <c r="G19" s="115"/>
      <c r="H19" s="115"/>
    </row>
    <row r="20" spans="1:8" ht="15.75" x14ac:dyDescent="0.25">
      <c r="A20" s="3" t="s">
        <v>106</v>
      </c>
      <c r="B20" s="96">
        <f>SUM('Charge commune'!B4:D4)</f>
        <v>0</v>
      </c>
      <c r="C20" s="97"/>
      <c r="D20" s="98"/>
      <c r="E20" s="105">
        <f>SUM('Charge commune'!E25:H25)</f>
        <v>680</v>
      </c>
      <c r="F20" s="105"/>
      <c r="G20" s="105"/>
      <c r="H20" s="105"/>
    </row>
    <row r="21" spans="1:8" ht="15.75" x14ac:dyDescent="0.25">
      <c r="A21" s="3" t="s">
        <v>67</v>
      </c>
      <c r="B21" s="96">
        <f>SUM(Emprunt!B11+Emprunt!B19)</f>
        <v>0</v>
      </c>
      <c r="C21" s="97"/>
      <c r="D21" s="98"/>
      <c r="E21" s="105">
        <f>SUM(Emprunt!B25)</f>
        <v>1911.56</v>
      </c>
      <c r="F21" s="105"/>
      <c r="G21" s="105"/>
      <c r="H21" s="105"/>
    </row>
    <row r="22" spans="1:8" ht="15.75" x14ac:dyDescent="0.25">
      <c r="A22" s="3" t="s">
        <v>107</v>
      </c>
      <c r="B22" s="96">
        <f>SUM('charges sociales'!B25:D25)</f>
        <v>0</v>
      </c>
      <c r="C22" s="97"/>
      <c r="D22" s="98"/>
      <c r="E22" s="105">
        <f>SUM('charges sociales'!E25:H25)</f>
        <v>10093.310000000001</v>
      </c>
      <c r="F22" s="105"/>
      <c r="G22" s="105"/>
      <c r="H22" s="105"/>
    </row>
    <row r="23" spans="1:8" ht="15.75" x14ac:dyDescent="0.25">
      <c r="A23" s="3"/>
      <c r="B23" s="96"/>
      <c r="C23" s="97"/>
      <c r="D23" s="98"/>
      <c r="E23" s="90"/>
      <c r="F23" s="110"/>
      <c r="G23" s="110"/>
      <c r="H23" s="111"/>
    </row>
    <row r="24" spans="1:8" ht="15.75" x14ac:dyDescent="0.25">
      <c r="A24" s="3"/>
      <c r="B24" s="96"/>
      <c r="C24" s="97"/>
      <c r="D24" s="98"/>
      <c r="E24" s="90"/>
      <c r="F24" s="110"/>
      <c r="G24" s="110"/>
      <c r="H24" s="111"/>
    </row>
    <row r="25" spans="1:8" ht="15.75" x14ac:dyDescent="0.25">
      <c r="A25" s="3"/>
      <c r="B25" s="96"/>
      <c r="C25" s="97"/>
      <c r="D25" s="98"/>
      <c r="E25" s="90"/>
      <c r="F25" s="110"/>
      <c r="G25" s="110"/>
      <c r="H25" s="111"/>
    </row>
    <row r="26" spans="1:8" ht="15.75" x14ac:dyDescent="0.25">
      <c r="A26" s="3" t="s">
        <v>109</v>
      </c>
      <c r="B26" s="96"/>
      <c r="C26" s="97"/>
      <c r="D26" s="98"/>
      <c r="E26" s="90"/>
      <c r="F26" s="110"/>
      <c r="G26" s="110"/>
      <c r="H26" s="111"/>
    </row>
    <row r="27" spans="1:8" ht="15.75" x14ac:dyDescent="0.25">
      <c r="A27" s="3"/>
      <c r="B27" s="96"/>
      <c r="C27" s="97"/>
      <c r="D27" s="98"/>
      <c r="E27" s="90"/>
      <c r="F27" s="110"/>
      <c r="G27" s="110"/>
      <c r="H27" s="111"/>
    </row>
    <row r="28" spans="1:8" ht="15.75" x14ac:dyDescent="0.25">
      <c r="A28" s="3"/>
      <c r="B28" s="96"/>
      <c r="C28" s="97"/>
      <c r="D28" s="98"/>
      <c r="E28" s="90"/>
      <c r="F28" s="110"/>
      <c r="G28" s="110"/>
      <c r="H28" s="111"/>
    </row>
    <row r="29" spans="1:8" ht="15.75" x14ac:dyDescent="0.25">
      <c r="A29" s="3"/>
      <c r="B29" s="96"/>
      <c r="C29" s="97"/>
      <c r="D29" s="98"/>
      <c r="E29" s="90"/>
      <c r="F29" s="110"/>
      <c r="G29" s="110"/>
      <c r="H29" s="111"/>
    </row>
    <row r="30" spans="1:8" ht="15.75" x14ac:dyDescent="0.25">
      <c r="A30" s="3" t="s">
        <v>110</v>
      </c>
      <c r="B30" s="14"/>
      <c r="C30" s="15"/>
      <c r="D30" s="16"/>
      <c r="E30" s="90"/>
      <c r="F30" s="110"/>
      <c r="G30" s="110"/>
      <c r="H30" s="111"/>
    </row>
    <row r="31" spans="1:8" ht="15.75" x14ac:dyDescent="0.25">
      <c r="A31" s="3"/>
      <c r="B31" s="14"/>
      <c r="C31" s="15"/>
      <c r="D31" s="16"/>
      <c r="E31" s="13"/>
      <c r="F31" s="13"/>
      <c r="G31" s="13"/>
      <c r="H31" s="13"/>
    </row>
    <row r="32" spans="1:8" ht="15.75" x14ac:dyDescent="0.25">
      <c r="A32" s="3"/>
      <c r="B32" s="14"/>
      <c r="C32" s="15"/>
      <c r="D32" s="16"/>
      <c r="E32" s="13"/>
      <c r="F32" s="13"/>
      <c r="G32" s="13"/>
      <c r="H32" s="13"/>
    </row>
    <row r="33" spans="1:8" ht="15.75" x14ac:dyDescent="0.25">
      <c r="A33" s="3"/>
      <c r="B33" s="14"/>
      <c r="C33" s="15"/>
      <c r="D33" s="16"/>
      <c r="E33" s="13"/>
      <c r="F33" s="13"/>
      <c r="G33" s="13"/>
      <c r="H33" s="13"/>
    </row>
    <row r="34" spans="1:8" ht="15.75" x14ac:dyDescent="0.25">
      <c r="A34" s="3" t="s">
        <v>111</v>
      </c>
      <c r="B34" s="14"/>
      <c r="C34" s="15"/>
      <c r="D34" s="16"/>
      <c r="E34" s="13"/>
      <c r="F34" s="13"/>
      <c r="G34" s="13"/>
      <c r="H34" s="13"/>
    </row>
    <row r="35" spans="1:8" ht="15.75" x14ac:dyDescent="0.25">
      <c r="A35" s="3"/>
      <c r="B35" s="14"/>
      <c r="C35" s="15"/>
      <c r="D35" s="16"/>
      <c r="E35" s="13"/>
      <c r="F35" s="13"/>
      <c r="G35" s="13"/>
      <c r="H35" s="13"/>
    </row>
    <row r="36" spans="1:8" ht="15.75" x14ac:dyDescent="0.25">
      <c r="A36" s="3"/>
      <c r="B36" s="14"/>
      <c r="C36" s="15"/>
      <c r="D36" s="16"/>
      <c r="E36" s="13"/>
      <c r="F36" s="13"/>
      <c r="G36" s="13"/>
      <c r="H36" s="13"/>
    </row>
    <row r="37" spans="1:8" ht="15.75" x14ac:dyDescent="0.25">
      <c r="A37" s="3"/>
      <c r="B37" s="96"/>
      <c r="C37" s="97"/>
      <c r="D37" s="98"/>
      <c r="E37" s="105"/>
      <c r="F37" s="105"/>
      <c r="G37" s="105"/>
      <c r="H37" s="105"/>
    </row>
    <row r="38" spans="1:8" ht="15.75" x14ac:dyDescent="0.25">
      <c r="A38" s="23" t="s">
        <v>3</v>
      </c>
      <c r="B38" s="96">
        <f>SUM(B4:D37)</f>
        <v>0</v>
      </c>
      <c r="C38" s="97"/>
      <c r="D38" s="98"/>
      <c r="E38" s="105">
        <f>SUM(E4+E12)-E5-E6-E7-E13-E14-E15-E20-E21-E22</f>
        <v>4860.8500000000004</v>
      </c>
      <c r="F38" s="105"/>
      <c r="G38" s="105"/>
      <c r="H38" s="105"/>
    </row>
    <row r="39" spans="1:8" x14ac:dyDescent="0.25">
      <c r="A39" s="21" t="s">
        <v>27</v>
      </c>
      <c r="B39" s="105">
        <f>SUM(E38-B38)</f>
        <v>4860.8500000000004</v>
      </c>
      <c r="C39" s="105"/>
      <c r="D39" s="105"/>
      <c r="E39" s="105"/>
      <c r="F39" s="105"/>
      <c r="G39" s="105"/>
      <c r="H39" s="105"/>
    </row>
  </sheetData>
  <mergeCells count="62">
    <mergeCell ref="B5:D5"/>
    <mergeCell ref="E5:H5"/>
    <mergeCell ref="B6:D6"/>
    <mergeCell ref="E6:H6"/>
    <mergeCell ref="A1:H1"/>
    <mergeCell ref="A2:H2"/>
    <mergeCell ref="B3:D3"/>
    <mergeCell ref="E3:H3"/>
    <mergeCell ref="B4:D4"/>
    <mergeCell ref="E4:H4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37:D37"/>
    <mergeCell ref="E37:H37"/>
    <mergeCell ref="B38:D38"/>
    <mergeCell ref="E38:H38"/>
    <mergeCell ref="B27:D27"/>
    <mergeCell ref="E28:H28"/>
    <mergeCell ref="E29:H29"/>
    <mergeCell ref="E30:H30"/>
    <mergeCell ref="B23:D23"/>
    <mergeCell ref="E23:H23"/>
    <mergeCell ref="E24:H24"/>
    <mergeCell ref="B24:D24"/>
    <mergeCell ref="B25:D25"/>
    <mergeCell ref="E25:H25"/>
    <mergeCell ref="B28:D28"/>
    <mergeCell ref="B29:D29"/>
    <mergeCell ref="B39:H39"/>
    <mergeCell ref="B26:D26"/>
    <mergeCell ref="E26:H26"/>
    <mergeCell ref="E27:H27"/>
  </mergeCells>
  <pageMargins left="0.11811023622047245" right="0.11811023622047245" top="0" bottom="0" header="0" footer="0.11811023622047245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L33"/>
  <sheetViews>
    <sheetView workbookViewId="0">
      <selection activeCell="A17" sqref="A17:A19"/>
    </sheetView>
  </sheetViews>
  <sheetFormatPr baseColWidth="10" defaultRowHeight="15" x14ac:dyDescent="0.25"/>
  <cols>
    <col min="1" max="1" width="30.7109375" customWidth="1"/>
    <col min="2" max="12" width="8.7109375" customWidth="1"/>
  </cols>
  <sheetData>
    <row r="1" spans="1:12" ht="20.100000000000001" customHeight="1" x14ac:dyDescent="0.25">
      <c r="A1" s="147" t="s">
        <v>24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2" spans="1:12" ht="15.75" x14ac:dyDescent="0.25">
      <c r="A2" s="151" t="s">
        <v>28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</row>
    <row r="3" spans="1:12" ht="14.1" customHeight="1" x14ac:dyDescent="0.25">
      <c r="A3" s="6"/>
      <c r="B3" s="148" t="s">
        <v>25</v>
      </c>
      <c r="C3" s="149"/>
      <c r="D3" s="149"/>
      <c r="E3" s="149"/>
      <c r="F3" s="150"/>
      <c r="G3" s="148" t="s">
        <v>26</v>
      </c>
      <c r="H3" s="149"/>
      <c r="I3" s="149"/>
      <c r="J3" s="149"/>
      <c r="K3" s="149"/>
      <c r="L3" s="150"/>
    </row>
    <row r="4" spans="1:12" ht="14.1" customHeight="1" x14ac:dyDescent="0.25">
      <c r="A4" s="4" t="s">
        <v>0</v>
      </c>
      <c r="B4" s="119"/>
      <c r="C4" s="120"/>
      <c r="D4" s="120"/>
      <c r="E4" s="120"/>
      <c r="F4" s="121"/>
      <c r="G4" s="122"/>
      <c r="H4" s="123"/>
      <c r="I4" s="123"/>
      <c r="J4" s="123"/>
      <c r="K4" s="123"/>
      <c r="L4" s="123"/>
    </row>
    <row r="5" spans="1:12" ht="14.1" customHeight="1" x14ac:dyDescent="0.25">
      <c r="A5" s="4" t="s">
        <v>1</v>
      </c>
      <c r="B5" s="119"/>
      <c r="C5" s="120"/>
      <c r="D5" s="120"/>
      <c r="E5" s="120"/>
      <c r="F5" s="121"/>
      <c r="G5" s="122"/>
      <c r="H5" s="123"/>
      <c r="I5" s="123"/>
      <c r="J5" s="123"/>
      <c r="K5" s="123"/>
      <c r="L5" s="123"/>
    </row>
    <row r="6" spans="1:12" ht="14.1" customHeight="1" x14ac:dyDescent="0.25">
      <c r="A6" s="4" t="s">
        <v>2</v>
      </c>
      <c r="B6" s="125"/>
      <c r="C6" s="126"/>
      <c r="D6" s="126"/>
      <c r="E6" s="126"/>
      <c r="F6" s="127"/>
      <c r="G6" s="128"/>
      <c r="H6" s="129"/>
      <c r="I6" s="129"/>
      <c r="J6" s="129"/>
      <c r="K6" s="129"/>
      <c r="L6" s="129"/>
    </row>
    <row r="7" spans="1:12" ht="14.1" customHeight="1" x14ac:dyDescent="0.25">
      <c r="A7" s="7" t="s">
        <v>3</v>
      </c>
      <c r="B7" s="130">
        <f>SUM(B4:F6)</f>
        <v>0</v>
      </c>
      <c r="C7" s="130"/>
      <c r="D7" s="130"/>
      <c r="E7" s="130"/>
      <c r="F7" s="130"/>
      <c r="G7" s="122">
        <f>SUM(G4:L6)</f>
        <v>0</v>
      </c>
      <c r="H7" s="123"/>
      <c r="I7" s="123"/>
      <c r="J7" s="123"/>
      <c r="K7" s="123"/>
      <c r="L7" s="131"/>
    </row>
    <row r="8" spans="1:12" ht="14.1" customHeight="1" x14ac:dyDescent="0.25">
      <c r="A8" s="8" t="s">
        <v>27</v>
      </c>
      <c r="B8" s="141">
        <f>SUM(G7-B7)</f>
        <v>0</v>
      </c>
      <c r="C8" s="142"/>
      <c r="D8" s="142"/>
      <c r="E8" s="142"/>
      <c r="F8" s="142"/>
      <c r="G8" s="142"/>
      <c r="H8" s="142"/>
      <c r="I8" s="142"/>
      <c r="J8" s="142"/>
      <c r="K8" s="142"/>
      <c r="L8" s="143"/>
    </row>
    <row r="9" spans="1:12" ht="14.1" customHeight="1" x14ac:dyDescent="0.25">
      <c r="A9" s="144" t="s">
        <v>13</v>
      </c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6"/>
    </row>
    <row r="10" spans="1:12" ht="14.1" customHeight="1" x14ac:dyDescent="0.25">
      <c r="A10" s="4" t="s">
        <v>29</v>
      </c>
      <c r="B10" s="119">
        <v>0</v>
      </c>
      <c r="C10" s="120"/>
      <c r="D10" s="120"/>
      <c r="E10" s="120"/>
      <c r="F10" s="121"/>
      <c r="G10" s="122">
        <v>50000</v>
      </c>
      <c r="H10" s="123"/>
      <c r="I10" s="123"/>
      <c r="J10" s="123"/>
      <c r="K10" s="123"/>
      <c r="L10" s="123"/>
    </row>
    <row r="11" spans="1:12" ht="14.1" customHeight="1" x14ac:dyDescent="0.25">
      <c r="A11" s="4"/>
      <c r="B11" s="119"/>
      <c r="C11" s="120"/>
      <c r="D11" s="120"/>
      <c r="E11" s="120"/>
      <c r="F11" s="121"/>
      <c r="G11" s="122"/>
      <c r="H11" s="123"/>
      <c r="I11" s="123"/>
      <c r="J11" s="123"/>
      <c r="K11" s="123"/>
      <c r="L11" s="123"/>
    </row>
    <row r="12" spans="1:12" ht="14.1" customHeight="1" x14ac:dyDescent="0.25">
      <c r="A12" s="4"/>
      <c r="B12" s="125"/>
      <c r="C12" s="126"/>
      <c r="D12" s="126"/>
      <c r="E12" s="126"/>
      <c r="F12" s="127"/>
      <c r="G12" s="128"/>
      <c r="H12" s="129"/>
      <c r="I12" s="129"/>
      <c r="J12" s="129"/>
      <c r="K12" s="129"/>
      <c r="L12" s="129"/>
    </row>
    <row r="13" spans="1:12" ht="14.1" customHeight="1" x14ac:dyDescent="0.25">
      <c r="A13" s="7" t="s">
        <v>3</v>
      </c>
      <c r="B13" s="130">
        <f>SUM(B10:F12)</f>
        <v>0</v>
      </c>
      <c r="C13" s="130"/>
      <c r="D13" s="130"/>
      <c r="E13" s="130"/>
      <c r="F13" s="130"/>
      <c r="G13" s="122">
        <f>SUM(G10:L12)</f>
        <v>50000</v>
      </c>
      <c r="H13" s="123"/>
      <c r="I13" s="123"/>
      <c r="J13" s="123"/>
      <c r="K13" s="123"/>
      <c r="L13" s="131"/>
    </row>
    <row r="14" spans="1:12" ht="14.1" customHeight="1" x14ac:dyDescent="0.25">
      <c r="A14" s="8" t="s">
        <v>27</v>
      </c>
      <c r="B14" s="141">
        <f>SUM(G13-B13)</f>
        <v>50000</v>
      </c>
      <c r="C14" s="142"/>
      <c r="D14" s="142"/>
      <c r="E14" s="142"/>
      <c r="F14" s="142"/>
      <c r="G14" s="142"/>
      <c r="H14" s="142"/>
      <c r="I14" s="142"/>
      <c r="J14" s="142"/>
      <c r="K14" s="142"/>
      <c r="L14" s="143"/>
    </row>
    <row r="15" spans="1:12" ht="14.1" customHeight="1" x14ac:dyDescent="0.25">
      <c r="A15" s="132" t="s">
        <v>10</v>
      </c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4"/>
    </row>
    <row r="16" spans="1:12" ht="14.1" customHeight="1" x14ac:dyDescent="0.25">
      <c r="A16" s="9"/>
      <c r="B16" s="135" t="s">
        <v>25</v>
      </c>
      <c r="C16" s="136"/>
      <c r="D16" s="136"/>
      <c r="E16" s="136"/>
      <c r="F16" s="137"/>
      <c r="G16" s="135" t="s">
        <v>26</v>
      </c>
      <c r="H16" s="136"/>
      <c r="I16" s="136"/>
      <c r="J16" s="136"/>
      <c r="K16" s="136"/>
      <c r="L16" s="137"/>
    </row>
    <row r="17" spans="1:12" ht="14.1" customHeight="1" x14ac:dyDescent="0.25">
      <c r="A17" s="4" t="s">
        <v>4</v>
      </c>
      <c r="B17" s="119"/>
      <c r="C17" s="120"/>
      <c r="D17" s="120"/>
      <c r="E17" s="120"/>
      <c r="F17" s="121"/>
      <c r="G17" s="122">
        <v>11254</v>
      </c>
      <c r="H17" s="123"/>
      <c r="I17" s="123"/>
      <c r="J17" s="123"/>
      <c r="K17" s="123"/>
      <c r="L17" s="123"/>
    </row>
    <row r="18" spans="1:12" ht="14.1" customHeight="1" x14ac:dyDescent="0.25">
      <c r="A18" s="4" t="s">
        <v>5</v>
      </c>
      <c r="B18" s="119"/>
      <c r="C18" s="120"/>
      <c r="D18" s="120"/>
      <c r="E18" s="120"/>
      <c r="F18" s="121"/>
      <c r="G18" s="122">
        <v>0</v>
      </c>
      <c r="H18" s="123"/>
      <c r="I18" s="123"/>
      <c r="J18" s="123"/>
      <c r="K18" s="123"/>
      <c r="L18" s="123"/>
    </row>
    <row r="19" spans="1:12" ht="14.1" customHeight="1" x14ac:dyDescent="0.25">
      <c r="A19" s="4" t="s">
        <v>6</v>
      </c>
      <c r="B19" s="119"/>
      <c r="C19" s="120"/>
      <c r="D19" s="120"/>
      <c r="E19" s="120"/>
      <c r="F19" s="121"/>
      <c r="G19" s="122"/>
      <c r="H19" s="123"/>
      <c r="I19" s="123"/>
      <c r="J19" s="123"/>
      <c r="K19" s="123"/>
      <c r="L19" s="123"/>
    </row>
    <row r="20" spans="1:12" ht="14.1" customHeight="1" x14ac:dyDescent="0.25">
      <c r="A20" s="4"/>
      <c r="B20" s="119"/>
      <c r="C20" s="120"/>
      <c r="D20" s="120"/>
      <c r="E20" s="120"/>
      <c r="F20" s="121"/>
      <c r="G20" s="122"/>
      <c r="H20" s="123"/>
      <c r="I20" s="123"/>
      <c r="J20" s="123"/>
      <c r="K20" s="123"/>
      <c r="L20" s="123"/>
    </row>
    <row r="21" spans="1:12" ht="14.1" customHeight="1" x14ac:dyDescent="0.25">
      <c r="A21" s="4"/>
      <c r="B21" s="119"/>
      <c r="C21" s="120"/>
      <c r="D21" s="120"/>
      <c r="E21" s="120"/>
      <c r="F21" s="121"/>
      <c r="G21" s="122"/>
      <c r="H21" s="123"/>
      <c r="I21" s="123"/>
      <c r="J21" s="123"/>
      <c r="K21" s="123"/>
      <c r="L21" s="123"/>
    </row>
    <row r="22" spans="1:12" ht="14.1" customHeight="1" x14ac:dyDescent="0.25">
      <c r="A22" s="4"/>
      <c r="B22" s="125"/>
      <c r="C22" s="126"/>
      <c r="D22" s="126"/>
      <c r="E22" s="126"/>
      <c r="F22" s="127"/>
      <c r="G22" s="128"/>
      <c r="H22" s="129"/>
      <c r="I22" s="129"/>
      <c r="J22" s="129"/>
      <c r="K22" s="129"/>
      <c r="L22" s="129"/>
    </row>
    <row r="23" spans="1:12" ht="14.1" customHeight="1" x14ac:dyDescent="0.25">
      <c r="A23" s="7" t="s">
        <v>3</v>
      </c>
      <c r="B23" s="130">
        <f>SUM(B17:F22)</f>
        <v>0</v>
      </c>
      <c r="C23" s="130"/>
      <c r="D23" s="130"/>
      <c r="E23" s="130"/>
      <c r="F23" s="130"/>
      <c r="G23" s="122">
        <f>SUM(G17:L22)</f>
        <v>11254</v>
      </c>
      <c r="H23" s="123"/>
      <c r="I23" s="123"/>
      <c r="J23" s="123"/>
      <c r="K23" s="123"/>
      <c r="L23" s="131"/>
    </row>
    <row r="24" spans="1:12" ht="14.1" customHeight="1" x14ac:dyDescent="0.25">
      <c r="A24" s="7" t="s">
        <v>27</v>
      </c>
      <c r="B24" s="124">
        <f>SUM(G23-B23)</f>
        <v>11254</v>
      </c>
      <c r="C24" s="124"/>
      <c r="D24" s="124"/>
      <c r="E24" s="124"/>
      <c r="F24" s="124"/>
      <c r="G24" s="124"/>
      <c r="H24" s="124"/>
      <c r="I24" s="124"/>
      <c r="J24" s="124"/>
      <c r="K24" s="124"/>
      <c r="L24" s="124"/>
    </row>
    <row r="25" spans="1:12" ht="14.1" customHeight="1" x14ac:dyDescent="0.25">
      <c r="A25" s="138" t="s">
        <v>9</v>
      </c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40"/>
    </row>
    <row r="26" spans="1:12" ht="14.1" customHeight="1" x14ac:dyDescent="0.25">
      <c r="A26" s="4" t="s">
        <v>7</v>
      </c>
      <c r="B26" s="119"/>
      <c r="C26" s="120"/>
      <c r="D26" s="120"/>
      <c r="E26" s="120"/>
      <c r="F26" s="121"/>
      <c r="G26" s="122"/>
      <c r="H26" s="123"/>
      <c r="I26" s="123"/>
      <c r="J26" s="123"/>
      <c r="K26" s="123"/>
      <c r="L26" s="123"/>
    </row>
    <row r="27" spans="1:12" ht="14.1" customHeight="1" x14ac:dyDescent="0.25">
      <c r="A27" s="4" t="s">
        <v>8</v>
      </c>
      <c r="B27" s="119"/>
      <c r="C27" s="120"/>
      <c r="D27" s="120"/>
      <c r="E27" s="120"/>
      <c r="F27" s="121"/>
      <c r="G27" s="122"/>
      <c r="H27" s="123"/>
      <c r="I27" s="123"/>
      <c r="J27" s="123"/>
      <c r="K27" s="123"/>
      <c r="L27" s="123"/>
    </row>
    <row r="28" spans="1:12" ht="14.1" customHeight="1" x14ac:dyDescent="0.25">
      <c r="A28" s="4"/>
      <c r="B28" s="119"/>
      <c r="C28" s="120"/>
      <c r="D28" s="120"/>
      <c r="E28" s="120"/>
      <c r="F28" s="121"/>
      <c r="G28" s="122"/>
      <c r="H28" s="123"/>
      <c r="I28" s="123"/>
      <c r="J28" s="123"/>
      <c r="K28" s="123"/>
      <c r="L28" s="123"/>
    </row>
    <row r="29" spans="1:12" ht="14.1" customHeight="1" x14ac:dyDescent="0.25">
      <c r="A29" s="4"/>
      <c r="B29" s="119"/>
      <c r="C29" s="120"/>
      <c r="D29" s="120"/>
      <c r="E29" s="120"/>
      <c r="F29" s="121"/>
      <c r="G29" s="122"/>
      <c r="H29" s="123"/>
      <c r="I29" s="123"/>
      <c r="J29" s="123"/>
      <c r="K29" s="123"/>
      <c r="L29" s="123"/>
    </row>
    <row r="30" spans="1:12" ht="14.1" customHeight="1" x14ac:dyDescent="0.25">
      <c r="A30" s="4"/>
      <c r="B30" s="119"/>
      <c r="C30" s="120"/>
      <c r="D30" s="120"/>
      <c r="E30" s="120"/>
      <c r="F30" s="121"/>
      <c r="G30" s="122"/>
      <c r="H30" s="123"/>
      <c r="I30" s="123"/>
      <c r="J30" s="123"/>
      <c r="K30" s="123"/>
      <c r="L30" s="123"/>
    </row>
    <row r="31" spans="1:12" ht="14.1" customHeight="1" x14ac:dyDescent="0.25">
      <c r="A31" s="4"/>
      <c r="B31" s="125"/>
      <c r="C31" s="126"/>
      <c r="D31" s="126"/>
      <c r="E31" s="126"/>
      <c r="F31" s="127"/>
      <c r="G31" s="128"/>
      <c r="H31" s="129"/>
      <c r="I31" s="129"/>
      <c r="J31" s="129"/>
      <c r="K31" s="129"/>
      <c r="L31" s="129"/>
    </row>
    <row r="32" spans="1:12" ht="14.1" customHeight="1" x14ac:dyDescent="0.25">
      <c r="A32" s="7" t="s">
        <v>3</v>
      </c>
      <c r="B32" s="130">
        <f>SUM(B26:F31)</f>
        <v>0</v>
      </c>
      <c r="C32" s="130"/>
      <c r="D32" s="130"/>
      <c r="E32" s="130"/>
      <c r="F32" s="130"/>
      <c r="G32" s="122">
        <f>SUM(G26:L31)</f>
        <v>0</v>
      </c>
      <c r="H32" s="123"/>
      <c r="I32" s="123"/>
      <c r="J32" s="123"/>
      <c r="K32" s="123"/>
      <c r="L32" s="131"/>
    </row>
    <row r="33" spans="1:12" ht="14.1" customHeight="1" x14ac:dyDescent="0.25">
      <c r="A33" s="7" t="s">
        <v>27</v>
      </c>
      <c r="B33" s="124">
        <f>SUM(G32-B32)</f>
        <v>0</v>
      </c>
      <c r="C33" s="124"/>
      <c r="D33" s="124"/>
      <c r="E33" s="124"/>
      <c r="F33" s="124"/>
      <c r="G33" s="124"/>
      <c r="H33" s="124"/>
      <c r="I33" s="124"/>
      <c r="J33" s="124"/>
      <c r="K33" s="124"/>
      <c r="L33" s="124"/>
    </row>
  </sheetData>
  <mergeCells count="57">
    <mergeCell ref="A1:L1"/>
    <mergeCell ref="G3:L3"/>
    <mergeCell ref="B6:F6"/>
    <mergeCell ref="A2:L2"/>
    <mergeCell ref="B3:F3"/>
    <mergeCell ref="B4:F4"/>
    <mergeCell ref="G4:L4"/>
    <mergeCell ref="B5:F5"/>
    <mergeCell ref="G5:L5"/>
    <mergeCell ref="G6:L6"/>
    <mergeCell ref="B17:F17"/>
    <mergeCell ref="B7:F7"/>
    <mergeCell ref="G7:L7"/>
    <mergeCell ref="B8:L8"/>
    <mergeCell ref="A9:L9"/>
    <mergeCell ref="G17:L17"/>
    <mergeCell ref="B10:F10"/>
    <mergeCell ref="G10:L10"/>
    <mergeCell ref="B11:F11"/>
    <mergeCell ref="G11:L11"/>
    <mergeCell ref="G13:L13"/>
    <mergeCell ref="B12:F12"/>
    <mergeCell ref="G12:L12"/>
    <mergeCell ref="B13:F13"/>
    <mergeCell ref="B14:L14"/>
    <mergeCell ref="B16:F16"/>
    <mergeCell ref="A15:L15"/>
    <mergeCell ref="G16:L16"/>
    <mergeCell ref="A25:L25"/>
    <mergeCell ref="B26:F26"/>
    <mergeCell ref="G26:L26"/>
    <mergeCell ref="B18:F18"/>
    <mergeCell ref="G18:L18"/>
    <mergeCell ref="B22:F22"/>
    <mergeCell ref="G22:L22"/>
    <mergeCell ref="B23:F23"/>
    <mergeCell ref="G23:L23"/>
    <mergeCell ref="B19:F19"/>
    <mergeCell ref="B20:F20"/>
    <mergeCell ref="B21:F21"/>
    <mergeCell ref="G19:L19"/>
    <mergeCell ref="G20:L20"/>
    <mergeCell ref="G21:L21"/>
    <mergeCell ref="B24:L24"/>
    <mergeCell ref="B27:F27"/>
    <mergeCell ref="G27:L27"/>
    <mergeCell ref="B28:F28"/>
    <mergeCell ref="G28:L28"/>
    <mergeCell ref="B29:F29"/>
    <mergeCell ref="G29:L29"/>
    <mergeCell ref="B33:L33"/>
    <mergeCell ref="B30:F30"/>
    <mergeCell ref="G30:L30"/>
    <mergeCell ref="B31:F31"/>
    <mergeCell ref="G31:L31"/>
    <mergeCell ref="B32:F32"/>
    <mergeCell ref="G32:L32"/>
  </mergeCell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H26"/>
  <sheetViews>
    <sheetView workbookViewId="0">
      <selection activeCell="J16" sqref="J1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9" t="s">
        <v>30</v>
      </c>
      <c r="B1" s="109"/>
      <c r="C1" s="109"/>
      <c r="D1" s="109"/>
      <c r="E1" s="109"/>
      <c r="F1" s="109"/>
      <c r="G1" s="109"/>
      <c r="H1" s="109"/>
    </row>
    <row r="2" spans="1:8" ht="15" customHeight="1" x14ac:dyDescent="0.25">
      <c r="A2" s="100" t="s">
        <v>12</v>
      </c>
      <c r="B2" s="100"/>
      <c r="C2" s="100"/>
      <c r="D2" s="100"/>
      <c r="E2" s="100"/>
      <c r="F2" s="100"/>
      <c r="G2" s="100"/>
      <c r="H2" s="100"/>
    </row>
    <row r="3" spans="1:8" ht="15" customHeight="1" x14ac:dyDescent="0.25">
      <c r="A3" s="10"/>
      <c r="B3" s="87" t="s">
        <v>25</v>
      </c>
      <c r="C3" s="88"/>
      <c r="D3" s="89"/>
      <c r="E3" s="87" t="s">
        <v>26</v>
      </c>
      <c r="F3" s="88"/>
      <c r="G3" s="88"/>
      <c r="H3" s="89"/>
    </row>
    <row r="4" spans="1:8" ht="15" customHeight="1" x14ac:dyDescent="0.25">
      <c r="A4" s="1" t="s">
        <v>14</v>
      </c>
      <c r="B4" s="96"/>
      <c r="C4" s="97"/>
      <c r="D4" s="98"/>
      <c r="E4" s="96">
        <v>0</v>
      </c>
      <c r="F4" s="97"/>
      <c r="G4" s="97"/>
      <c r="H4" s="98"/>
    </row>
    <row r="5" spans="1:8" ht="15" customHeight="1" x14ac:dyDescent="0.25">
      <c r="A5" s="1" t="s">
        <v>15</v>
      </c>
      <c r="B5" s="96"/>
      <c r="C5" s="97"/>
      <c r="D5" s="98"/>
      <c r="E5" s="96"/>
      <c r="F5" s="97"/>
      <c r="G5" s="97"/>
      <c r="H5" s="98"/>
    </row>
    <row r="6" spans="1:8" ht="15" customHeight="1" x14ac:dyDescent="0.25">
      <c r="A6" s="1" t="s">
        <v>11</v>
      </c>
      <c r="B6" s="96"/>
      <c r="C6" s="97"/>
      <c r="D6" s="98"/>
      <c r="E6" s="96">
        <v>800</v>
      </c>
      <c r="F6" s="97"/>
      <c r="G6" s="97"/>
      <c r="H6" s="98"/>
    </row>
    <row r="7" spans="1:8" ht="15" customHeight="1" x14ac:dyDescent="0.25">
      <c r="A7" s="1" t="s">
        <v>16</v>
      </c>
      <c r="B7" s="96"/>
      <c r="C7" s="97"/>
      <c r="D7" s="98"/>
      <c r="E7" s="96"/>
      <c r="F7" s="97"/>
      <c r="G7" s="97"/>
      <c r="H7" s="98"/>
    </row>
    <row r="8" spans="1:8" ht="15" customHeight="1" x14ac:dyDescent="0.25">
      <c r="A8" s="1" t="s">
        <v>17</v>
      </c>
      <c r="B8" s="96"/>
      <c r="C8" s="97"/>
      <c r="D8" s="98"/>
      <c r="E8" s="96">
        <v>9.99</v>
      </c>
      <c r="F8" s="97"/>
      <c r="G8" s="97"/>
      <c r="H8" s="98"/>
    </row>
    <row r="9" spans="1:8" ht="15" customHeight="1" x14ac:dyDescent="0.25">
      <c r="A9" s="1" t="s">
        <v>31</v>
      </c>
      <c r="B9" s="96"/>
      <c r="C9" s="97"/>
      <c r="D9" s="98"/>
      <c r="E9" s="96">
        <v>1200</v>
      </c>
      <c r="F9" s="97"/>
      <c r="G9" s="97"/>
      <c r="H9" s="98"/>
    </row>
    <row r="10" spans="1:8" ht="15" customHeight="1" x14ac:dyDescent="0.25">
      <c r="A10" s="1" t="s">
        <v>18</v>
      </c>
      <c r="B10" s="96"/>
      <c r="C10" s="97"/>
      <c r="D10" s="98"/>
      <c r="E10" s="96">
        <v>800</v>
      </c>
      <c r="F10" s="97"/>
      <c r="G10" s="97"/>
      <c r="H10" s="98"/>
    </row>
    <row r="11" spans="1:8" ht="15.75" x14ac:dyDescent="0.25">
      <c r="A11" s="3" t="s">
        <v>19</v>
      </c>
      <c r="B11" s="96"/>
      <c r="C11" s="97"/>
      <c r="D11" s="98"/>
      <c r="E11" s="96">
        <v>1000</v>
      </c>
      <c r="F11" s="97"/>
      <c r="G11" s="97"/>
      <c r="H11" s="98"/>
    </row>
    <row r="12" spans="1:8" ht="15.75" x14ac:dyDescent="0.25">
      <c r="A12" s="3" t="s">
        <v>32</v>
      </c>
      <c r="B12" s="96"/>
      <c r="C12" s="97"/>
      <c r="D12" s="98"/>
      <c r="E12" s="96">
        <v>580</v>
      </c>
      <c r="F12" s="97"/>
      <c r="G12" s="97"/>
      <c r="H12" s="98"/>
    </row>
    <row r="13" spans="1:8" ht="15.75" x14ac:dyDescent="0.25">
      <c r="A13" s="3" t="s">
        <v>20</v>
      </c>
      <c r="B13" s="96"/>
      <c r="C13" s="97"/>
      <c r="D13" s="98"/>
      <c r="E13" s="96"/>
      <c r="F13" s="97"/>
      <c r="G13" s="97"/>
      <c r="H13" s="98"/>
    </row>
    <row r="14" spans="1:8" ht="15.75" x14ac:dyDescent="0.25">
      <c r="A14" s="3" t="s">
        <v>21</v>
      </c>
      <c r="B14" s="96"/>
      <c r="C14" s="97"/>
      <c r="D14" s="98"/>
      <c r="E14" s="105"/>
      <c r="F14" s="105"/>
      <c r="G14" s="105"/>
      <c r="H14" s="105"/>
    </row>
    <row r="15" spans="1:8" ht="15.75" x14ac:dyDescent="0.25">
      <c r="A15" s="3" t="s">
        <v>39</v>
      </c>
      <c r="B15" s="96"/>
      <c r="C15" s="97"/>
      <c r="D15" s="98"/>
      <c r="E15" s="105"/>
      <c r="F15" s="105"/>
      <c r="G15" s="105"/>
      <c r="H15" s="105"/>
    </row>
    <row r="16" spans="1:8" ht="15.75" x14ac:dyDescent="0.25">
      <c r="A16" s="3" t="s">
        <v>40</v>
      </c>
      <c r="B16" s="96"/>
      <c r="C16" s="97"/>
      <c r="D16" s="98"/>
      <c r="E16" s="105"/>
      <c r="F16" s="105"/>
      <c r="G16" s="105"/>
      <c r="H16" s="105"/>
    </row>
    <row r="17" spans="1:8" ht="15.75" x14ac:dyDescent="0.25">
      <c r="A17" s="3" t="s">
        <v>41</v>
      </c>
      <c r="B17" s="96"/>
      <c r="C17" s="97"/>
      <c r="D17" s="98"/>
      <c r="E17" s="105"/>
      <c r="F17" s="105"/>
      <c r="G17" s="105"/>
      <c r="H17" s="105"/>
    </row>
    <row r="18" spans="1:8" ht="15.75" x14ac:dyDescent="0.25">
      <c r="A18" s="3" t="s">
        <v>42</v>
      </c>
      <c r="B18" s="96"/>
      <c r="C18" s="97"/>
      <c r="D18" s="98"/>
      <c r="E18" s="105"/>
      <c r="F18" s="105"/>
      <c r="G18" s="105"/>
      <c r="H18" s="105"/>
    </row>
    <row r="19" spans="1:8" ht="15.75" x14ac:dyDescent="0.25">
      <c r="A19" s="3"/>
      <c r="B19" s="96"/>
      <c r="C19" s="97"/>
      <c r="D19" s="98"/>
      <c r="E19" s="105"/>
      <c r="F19" s="105"/>
      <c r="G19" s="105"/>
      <c r="H19" s="105"/>
    </row>
    <row r="20" spans="1:8" ht="15.75" x14ac:dyDescent="0.25">
      <c r="A20" s="3"/>
      <c r="B20" s="96"/>
      <c r="C20" s="97"/>
      <c r="D20" s="98"/>
      <c r="E20" s="105"/>
      <c r="F20" s="105"/>
      <c r="G20" s="105"/>
      <c r="H20" s="105"/>
    </row>
    <row r="21" spans="1:8" ht="15.75" x14ac:dyDescent="0.25">
      <c r="A21" s="3"/>
      <c r="B21" s="96"/>
      <c r="C21" s="97"/>
      <c r="D21" s="98"/>
      <c r="E21" s="105"/>
      <c r="F21" s="105"/>
      <c r="G21" s="105"/>
      <c r="H21" s="105"/>
    </row>
    <row r="22" spans="1:8" ht="15.75" x14ac:dyDescent="0.25">
      <c r="A22" s="3"/>
      <c r="B22" s="96"/>
      <c r="C22" s="97"/>
      <c r="D22" s="98"/>
      <c r="E22" s="105"/>
      <c r="F22" s="105"/>
      <c r="G22" s="105"/>
      <c r="H22" s="105"/>
    </row>
    <row r="23" spans="1:8" ht="15.75" x14ac:dyDescent="0.25">
      <c r="A23" s="3"/>
      <c r="B23" s="96"/>
      <c r="C23" s="97"/>
      <c r="D23" s="98"/>
      <c r="E23" s="105"/>
      <c r="F23" s="105"/>
      <c r="G23" s="105"/>
      <c r="H23" s="105"/>
    </row>
    <row r="24" spans="1:8" ht="15.75" x14ac:dyDescent="0.25">
      <c r="A24" s="3"/>
      <c r="B24" s="96"/>
      <c r="C24" s="97"/>
      <c r="D24" s="98"/>
      <c r="E24" s="105"/>
      <c r="F24" s="105"/>
      <c r="G24" s="105"/>
      <c r="H24" s="105"/>
    </row>
    <row r="25" spans="1:8" ht="15.75" x14ac:dyDescent="0.25">
      <c r="A25" s="5" t="s">
        <v>3</v>
      </c>
      <c r="B25" s="96">
        <f>SUM(B4:D24)</f>
        <v>0</v>
      </c>
      <c r="C25" s="97"/>
      <c r="D25" s="98"/>
      <c r="E25" s="105">
        <f>SUM(E4:H24)</f>
        <v>4389.99</v>
      </c>
      <c r="F25" s="105"/>
      <c r="G25" s="105"/>
      <c r="H25" s="105"/>
    </row>
    <row r="26" spans="1:8" x14ac:dyDescent="0.25">
      <c r="A26" s="2" t="s">
        <v>27</v>
      </c>
      <c r="B26" s="105">
        <f>SUM(E25-B25)</f>
        <v>4389.99</v>
      </c>
      <c r="C26" s="105"/>
      <c r="D26" s="105"/>
      <c r="E26" s="105"/>
      <c r="F26" s="105"/>
      <c r="G26" s="105"/>
      <c r="H26" s="105"/>
    </row>
  </sheetData>
  <mergeCells count="49">
    <mergeCell ref="A2:H2"/>
    <mergeCell ref="B9:D9"/>
    <mergeCell ref="B10:D10"/>
    <mergeCell ref="E5:H5"/>
    <mergeCell ref="E6:H6"/>
    <mergeCell ref="A1:H1"/>
    <mergeCell ref="B11:D11"/>
    <mergeCell ref="B26:H26"/>
    <mergeCell ref="B3:D3"/>
    <mergeCell ref="E3:H3"/>
    <mergeCell ref="B4:D4"/>
    <mergeCell ref="E4:H4"/>
    <mergeCell ref="B5:D5"/>
    <mergeCell ref="B6:D6"/>
    <mergeCell ref="B7:D7"/>
    <mergeCell ref="B8:D8"/>
    <mergeCell ref="B16:D16"/>
    <mergeCell ref="B17:D17"/>
    <mergeCell ref="B18:D18"/>
    <mergeCell ref="B19:D19"/>
    <mergeCell ref="B15:D15"/>
    <mergeCell ref="E11:H11"/>
    <mergeCell ref="E12:H12"/>
    <mergeCell ref="E13:H13"/>
    <mergeCell ref="E14:H14"/>
    <mergeCell ref="E7:H7"/>
    <mergeCell ref="E8:H8"/>
    <mergeCell ref="E9:H9"/>
    <mergeCell ref="E10:H10"/>
    <mergeCell ref="E20:H20"/>
    <mergeCell ref="E21:H21"/>
    <mergeCell ref="E22:H22"/>
    <mergeCell ref="E23:H23"/>
    <mergeCell ref="B12:D12"/>
    <mergeCell ref="B13:D13"/>
    <mergeCell ref="B14:D14"/>
    <mergeCell ref="B20:D20"/>
    <mergeCell ref="B21:D21"/>
    <mergeCell ref="B22:D22"/>
    <mergeCell ref="E15:H15"/>
    <mergeCell ref="E16:H16"/>
    <mergeCell ref="E17:H17"/>
    <mergeCell ref="E18:H18"/>
    <mergeCell ref="E19:H19"/>
    <mergeCell ref="E24:H24"/>
    <mergeCell ref="E25:H25"/>
    <mergeCell ref="B24:D24"/>
    <mergeCell ref="B25:D25"/>
    <mergeCell ref="B23:D23"/>
  </mergeCells>
  <pageMargins left="0.7" right="0.7" top="0.75" bottom="0.75" header="0.3" footer="0.3"/>
  <pageSetup paperSize="9" orientation="landscape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H26"/>
  <sheetViews>
    <sheetView workbookViewId="0">
      <selection activeCell="A4" sqref="A4:A21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9" t="s">
        <v>30</v>
      </c>
      <c r="B1" s="109"/>
      <c r="C1" s="109"/>
      <c r="D1" s="109"/>
      <c r="E1" s="109"/>
      <c r="F1" s="109"/>
      <c r="G1" s="109"/>
      <c r="H1" s="109"/>
    </row>
    <row r="2" spans="1:8" ht="15" customHeight="1" x14ac:dyDescent="0.25">
      <c r="A2" s="100" t="s">
        <v>33</v>
      </c>
      <c r="B2" s="100"/>
      <c r="C2" s="100"/>
      <c r="D2" s="100"/>
      <c r="E2" s="100"/>
      <c r="F2" s="100"/>
      <c r="G2" s="100"/>
      <c r="H2" s="100"/>
    </row>
    <row r="3" spans="1:8" ht="15" customHeight="1" x14ac:dyDescent="0.25">
      <c r="A3" s="10"/>
      <c r="B3" s="87" t="s">
        <v>25</v>
      </c>
      <c r="C3" s="88"/>
      <c r="D3" s="89"/>
      <c r="E3" s="87" t="s">
        <v>26</v>
      </c>
      <c r="F3" s="88"/>
      <c r="G3" s="88"/>
      <c r="H3" s="89"/>
    </row>
    <row r="4" spans="1:8" ht="15" customHeight="1" x14ac:dyDescent="0.25">
      <c r="A4" s="12" t="s">
        <v>34</v>
      </c>
      <c r="B4" s="96"/>
      <c r="C4" s="97"/>
      <c r="D4" s="98"/>
      <c r="E4" s="96"/>
      <c r="F4" s="97"/>
      <c r="G4" s="97"/>
      <c r="H4" s="98"/>
    </row>
    <row r="5" spans="1:8" ht="15" customHeight="1" x14ac:dyDescent="0.25">
      <c r="A5" s="12" t="s">
        <v>11</v>
      </c>
      <c r="B5" s="96"/>
      <c r="C5" s="97"/>
      <c r="D5" s="98"/>
      <c r="E5" s="96"/>
      <c r="F5" s="97"/>
      <c r="G5" s="97"/>
      <c r="H5" s="98"/>
    </row>
    <row r="6" spans="1:8" ht="15" customHeight="1" x14ac:dyDescent="0.25">
      <c r="A6" s="12" t="s">
        <v>35</v>
      </c>
      <c r="B6" s="96"/>
      <c r="C6" s="97"/>
      <c r="D6" s="98"/>
      <c r="E6" s="96">
        <v>39.99</v>
      </c>
      <c r="F6" s="97"/>
      <c r="G6" s="97"/>
      <c r="H6" s="98"/>
    </row>
    <row r="7" spans="1:8" ht="15" customHeight="1" x14ac:dyDescent="0.25">
      <c r="A7" s="12" t="s">
        <v>16</v>
      </c>
      <c r="B7" s="96"/>
      <c r="C7" s="97"/>
      <c r="D7" s="98"/>
      <c r="E7" s="96">
        <v>250</v>
      </c>
      <c r="F7" s="97"/>
      <c r="G7" s="97"/>
      <c r="H7" s="98"/>
    </row>
    <row r="8" spans="1:8" ht="15" customHeight="1" x14ac:dyDescent="0.25">
      <c r="A8" s="12" t="s">
        <v>44</v>
      </c>
      <c r="B8" s="96"/>
      <c r="C8" s="97"/>
      <c r="D8" s="98"/>
      <c r="E8" s="96">
        <v>400</v>
      </c>
      <c r="F8" s="97"/>
      <c r="G8" s="97"/>
      <c r="H8" s="98"/>
    </row>
    <row r="9" spans="1:8" ht="15" customHeight="1" x14ac:dyDescent="0.25">
      <c r="A9" s="12" t="s">
        <v>36</v>
      </c>
      <c r="B9" s="96"/>
      <c r="C9" s="97"/>
      <c r="D9" s="98"/>
      <c r="E9" s="96">
        <v>600</v>
      </c>
      <c r="F9" s="97"/>
      <c r="G9" s="97"/>
      <c r="H9" s="98"/>
    </row>
    <row r="10" spans="1:8" ht="15" customHeight="1" x14ac:dyDescent="0.25">
      <c r="A10" s="12" t="s">
        <v>22</v>
      </c>
      <c r="B10" s="96"/>
      <c r="C10" s="97"/>
      <c r="D10" s="98"/>
      <c r="E10" s="96">
        <v>800</v>
      </c>
      <c r="F10" s="97"/>
      <c r="G10" s="97"/>
      <c r="H10" s="98"/>
    </row>
    <row r="11" spans="1:8" ht="15.75" x14ac:dyDescent="0.25">
      <c r="A11" s="11" t="s">
        <v>32</v>
      </c>
      <c r="B11" s="96"/>
      <c r="C11" s="97"/>
      <c r="D11" s="98"/>
      <c r="E11" s="96">
        <v>200</v>
      </c>
      <c r="F11" s="97"/>
      <c r="G11" s="97"/>
      <c r="H11" s="98"/>
    </row>
    <row r="12" spans="1:8" ht="15.75" x14ac:dyDescent="0.25">
      <c r="A12" s="11" t="s">
        <v>20</v>
      </c>
      <c r="B12" s="96"/>
      <c r="C12" s="97"/>
      <c r="D12" s="98"/>
      <c r="E12" s="96"/>
      <c r="F12" s="97"/>
      <c r="G12" s="97"/>
      <c r="H12" s="98"/>
    </row>
    <row r="13" spans="1:8" ht="15.75" x14ac:dyDescent="0.25">
      <c r="A13" s="11" t="s">
        <v>37</v>
      </c>
      <c r="B13" s="96"/>
      <c r="C13" s="97"/>
      <c r="D13" s="98"/>
      <c r="E13" s="96"/>
      <c r="F13" s="97"/>
      <c r="G13" s="97"/>
      <c r="H13" s="98"/>
    </row>
    <row r="14" spans="1:8" ht="15.75" x14ac:dyDescent="0.25">
      <c r="A14" s="11" t="s">
        <v>38</v>
      </c>
      <c r="B14" s="96"/>
      <c r="C14" s="97"/>
      <c r="D14" s="98"/>
      <c r="E14" s="105"/>
      <c r="F14" s="105"/>
      <c r="G14" s="105"/>
      <c r="H14" s="105"/>
    </row>
    <row r="15" spans="1:8" ht="15.75" x14ac:dyDescent="0.25">
      <c r="A15" s="3" t="s">
        <v>43</v>
      </c>
      <c r="B15" s="96"/>
      <c r="C15" s="97"/>
      <c r="D15" s="98"/>
      <c r="E15" s="105"/>
      <c r="F15" s="105"/>
      <c r="G15" s="105"/>
      <c r="H15" s="105"/>
    </row>
    <row r="16" spans="1:8" ht="15.75" x14ac:dyDescent="0.25">
      <c r="A16" s="11" t="s">
        <v>45</v>
      </c>
      <c r="B16" s="96"/>
      <c r="C16" s="97"/>
      <c r="D16" s="98"/>
      <c r="E16" s="105"/>
      <c r="F16" s="105"/>
      <c r="G16" s="105"/>
      <c r="H16" s="105"/>
    </row>
    <row r="17" spans="1:8" ht="15.75" x14ac:dyDescent="0.25">
      <c r="A17" s="3" t="s">
        <v>46</v>
      </c>
      <c r="B17" s="96"/>
      <c r="C17" s="97"/>
      <c r="D17" s="98"/>
      <c r="E17" s="105"/>
      <c r="F17" s="105"/>
      <c r="G17" s="105"/>
      <c r="H17" s="105"/>
    </row>
    <row r="18" spans="1:8" ht="15.75" x14ac:dyDescent="0.25">
      <c r="A18" s="3" t="s">
        <v>93</v>
      </c>
      <c r="B18" s="96"/>
      <c r="C18" s="97"/>
      <c r="D18" s="98"/>
      <c r="E18" s="105">
        <v>135.08000000000001</v>
      </c>
      <c r="F18" s="105"/>
      <c r="G18" s="105"/>
      <c r="H18" s="105"/>
    </row>
    <row r="19" spans="1:8" ht="15.75" x14ac:dyDescent="0.25">
      <c r="A19" s="3" t="s">
        <v>94</v>
      </c>
      <c r="B19" s="96"/>
      <c r="C19" s="97"/>
      <c r="D19" s="98"/>
      <c r="E19" s="105">
        <v>67.540000000000006</v>
      </c>
      <c r="F19" s="105"/>
      <c r="G19" s="105"/>
      <c r="H19" s="105"/>
    </row>
    <row r="20" spans="1:8" ht="15.75" x14ac:dyDescent="0.25">
      <c r="A20" s="3" t="s">
        <v>95</v>
      </c>
      <c r="B20" s="96"/>
      <c r="C20" s="97"/>
      <c r="D20" s="98"/>
      <c r="E20" s="105">
        <v>104.86</v>
      </c>
      <c r="F20" s="105"/>
      <c r="G20" s="105"/>
      <c r="H20" s="105"/>
    </row>
    <row r="21" spans="1:8" ht="15.75" x14ac:dyDescent="0.25">
      <c r="A21" s="3" t="s">
        <v>96</v>
      </c>
      <c r="B21" s="96"/>
      <c r="C21" s="97"/>
      <c r="D21" s="98"/>
      <c r="E21" s="105">
        <v>50.99</v>
      </c>
      <c r="F21" s="105"/>
      <c r="G21" s="105"/>
      <c r="H21" s="105"/>
    </row>
    <row r="22" spans="1:8" ht="15.75" x14ac:dyDescent="0.25">
      <c r="A22" s="3"/>
      <c r="B22" s="96"/>
      <c r="C22" s="97"/>
      <c r="D22" s="98"/>
      <c r="E22" s="105"/>
      <c r="F22" s="105"/>
      <c r="G22" s="105"/>
      <c r="H22" s="105"/>
    </row>
    <row r="23" spans="1:8" ht="15.75" x14ac:dyDescent="0.25">
      <c r="A23" s="3"/>
      <c r="B23" s="96"/>
      <c r="C23" s="97"/>
      <c r="D23" s="98"/>
      <c r="E23" s="105"/>
      <c r="F23" s="105"/>
      <c r="G23" s="105"/>
      <c r="H23" s="105"/>
    </row>
    <row r="24" spans="1:8" ht="15.75" x14ac:dyDescent="0.25">
      <c r="A24" s="3"/>
      <c r="B24" s="96"/>
      <c r="C24" s="97"/>
      <c r="D24" s="98"/>
      <c r="E24" s="105"/>
      <c r="F24" s="105"/>
      <c r="G24" s="105"/>
      <c r="H24" s="105"/>
    </row>
    <row r="25" spans="1:8" ht="15.75" x14ac:dyDescent="0.25">
      <c r="A25" s="5" t="s">
        <v>3</v>
      </c>
      <c r="B25" s="96">
        <f>SUM(B4:D24)</f>
        <v>0</v>
      </c>
      <c r="C25" s="97"/>
      <c r="D25" s="98"/>
      <c r="E25" s="105">
        <f>SUM(E4:H24)</f>
        <v>2648.4599999999996</v>
      </c>
      <c r="F25" s="105"/>
      <c r="G25" s="105"/>
      <c r="H25" s="105"/>
    </row>
    <row r="26" spans="1:8" x14ac:dyDescent="0.25">
      <c r="A26" s="2" t="s">
        <v>27</v>
      </c>
      <c r="B26" s="105">
        <f>SUM(E25-B25)</f>
        <v>2648.4599999999996</v>
      </c>
      <c r="C26" s="105"/>
      <c r="D26" s="105"/>
      <c r="E26" s="105"/>
      <c r="F26" s="105"/>
      <c r="G26" s="105"/>
      <c r="H26" s="10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H26"/>
  <sheetViews>
    <sheetView workbookViewId="0">
      <selection activeCell="E5" sqref="E5:H5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09" t="s">
        <v>30</v>
      </c>
      <c r="B1" s="109"/>
      <c r="C1" s="109"/>
      <c r="D1" s="109"/>
      <c r="E1" s="109"/>
      <c r="F1" s="109"/>
      <c r="G1" s="109"/>
      <c r="H1" s="109"/>
    </row>
    <row r="2" spans="1:8" ht="15" customHeight="1" x14ac:dyDescent="0.25">
      <c r="A2" s="100" t="s">
        <v>47</v>
      </c>
      <c r="B2" s="100"/>
      <c r="C2" s="100"/>
      <c r="D2" s="100"/>
      <c r="E2" s="100"/>
      <c r="F2" s="100"/>
      <c r="G2" s="100"/>
      <c r="H2" s="100"/>
    </row>
    <row r="3" spans="1:8" ht="15" customHeight="1" x14ac:dyDescent="0.25">
      <c r="A3" s="10"/>
      <c r="B3" s="87" t="s">
        <v>25</v>
      </c>
      <c r="C3" s="88"/>
      <c r="D3" s="89"/>
      <c r="E3" s="87" t="s">
        <v>26</v>
      </c>
      <c r="F3" s="88"/>
      <c r="G3" s="88"/>
      <c r="H3" s="89"/>
    </row>
    <row r="4" spans="1:8" ht="15" customHeight="1" x14ac:dyDescent="0.25">
      <c r="A4" s="1" t="s">
        <v>23</v>
      </c>
      <c r="B4" s="96"/>
      <c r="C4" s="97"/>
      <c r="D4" s="98"/>
      <c r="E4" s="96">
        <v>680</v>
      </c>
      <c r="F4" s="97"/>
      <c r="G4" s="97"/>
      <c r="H4" s="98"/>
    </row>
    <row r="5" spans="1:8" ht="15" customHeight="1" x14ac:dyDescent="0.25">
      <c r="A5" s="1"/>
      <c r="B5" s="96"/>
      <c r="C5" s="97"/>
      <c r="D5" s="98"/>
      <c r="E5" s="96"/>
      <c r="F5" s="97"/>
      <c r="G5" s="97"/>
      <c r="H5" s="98"/>
    </row>
    <row r="6" spans="1:8" ht="15" customHeight="1" x14ac:dyDescent="0.25">
      <c r="A6" s="1"/>
      <c r="B6" s="96"/>
      <c r="C6" s="97"/>
      <c r="D6" s="98"/>
      <c r="E6" s="96"/>
      <c r="F6" s="97"/>
      <c r="G6" s="97"/>
      <c r="H6" s="98"/>
    </row>
    <row r="7" spans="1:8" ht="15" customHeight="1" x14ac:dyDescent="0.25">
      <c r="A7" s="1"/>
      <c r="B7" s="96"/>
      <c r="C7" s="97"/>
      <c r="D7" s="98"/>
      <c r="E7" s="96"/>
      <c r="F7" s="97"/>
      <c r="G7" s="97"/>
      <c r="H7" s="98"/>
    </row>
    <row r="8" spans="1:8" ht="15" customHeight="1" x14ac:dyDescent="0.25">
      <c r="A8" s="1"/>
      <c r="B8" s="96"/>
      <c r="C8" s="97"/>
      <c r="D8" s="98"/>
      <c r="E8" s="96"/>
      <c r="F8" s="97"/>
      <c r="G8" s="97"/>
      <c r="H8" s="98"/>
    </row>
    <row r="9" spans="1:8" ht="15" customHeight="1" x14ac:dyDescent="0.25">
      <c r="A9" s="1"/>
      <c r="B9" s="96"/>
      <c r="C9" s="97"/>
      <c r="D9" s="98"/>
      <c r="E9" s="96"/>
      <c r="F9" s="97"/>
      <c r="G9" s="97"/>
      <c r="H9" s="98"/>
    </row>
    <row r="10" spans="1:8" ht="15" customHeight="1" x14ac:dyDescent="0.25">
      <c r="A10" s="1"/>
      <c r="B10" s="96"/>
      <c r="C10" s="97"/>
      <c r="D10" s="98"/>
      <c r="E10" s="96"/>
      <c r="F10" s="97"/>
      <c r="G10" s="97"/>
      <c r="H10" s="98"/>
    </row>
    <row r="11" spans="1:8" ht="15.75" x14ac:dyDescent="0.25">
      <c r="A11" s="3"/>
      <c r="B11" s="96"/>
      <c r="C11" s="97"/>
      <c r="D11" s="98"/>
      <c r="E11" s="96"/>
      <c r="F11" s="97"/>
      <c r="G11" s="97"/>
      <c r="H11" s="98"/>
    </row>
    <row r="12" spans="1:8" ht="15.75" x14ac:dyDescent="0.25">
      <c r="A12" s="3"/>
      <c r="B12" s="96"/>
      <c r="C12" s="97"/>
      <c r="D12" s="98"/>
      <c r="E12" s="96"/>
      <c r="F12" s="97"/>
      <c r="G12" s="97"/>
      <c r="H12" s="98"/>
    </row>
    <row r="13" spans="1:8" ht="15.75" x14ac:dyDescent="0.25">
      <c r="A13" s="3"/>
      <c r="B13" s="96"/>
      <c r="C13" s="97"/>
      <c r="D13" s="98"/>
      <c r="E13" s="96"/>
      <c r="F13" s="97"/>
      <c r="G13" s="97"/>
      <c r="H13" s="98"/>
    </row>
    <row r="14" spans="1:8" ht="15.75" x14ac:dyDescent="0.25">
      <c r="A14" s="3"/>
      <c r="B14" s="96"/>
      <c r="C14" s="97"/>
      <c r="D14" s="98"/>
      <c r="E14" s="105"/>
      <c r="F14" s="105"/>
      <c r="G14" s="105"/>
      <c r="H14" s="105"/>
    </row>
    <row r="15" spans="1:8" ht="15.75" x14ac:dyDescent="0.25">
      <c r="A15" s="3"/>
      <c r="B15" s="96"/>
      <c r="C15" s="97"/>
      <c r="D15" s="98"/>
      <c r="E15" s="105"/>
      <c r="F15" s="105"/>
      <c r="G15" s="105"/>
      <c r="H15" s="105"/>
    </row>
    <row r="16" spans="1:8" ht="15.75" x14ac:dyDescent="0.25">
      <c r="A16" s="3"/>
      <c r="B16" s="96"/>
      <c r="C16" s="97"/>
      <c r="D16" s="98"/>
      <c r="E16" s="105"/>
      <c r="F16" s="105"/>
      <c r="G16" s="105"/>
      <c r="H16" s="105"/>
    </row>
    <row r="17" spans="1:8" ht="15.75" x14ac:dyDescent="0.25">
      <c r="A17" s="3"/>
      <c r="B17" s="96"/>
      <c r="C17" s="97"/>
      <c r="D17" s="98"/>
      <c r="E17" s="105"/>
      <c r="F17" s="105"/>
      <c r="G17" s="105"/>
      <c r="H17" s="105"/>
    </row>
    <row r="18" spans="1:8" ht="15.75" x14ac:dyDescent="0.25">
      <c r="A18" s="3"/>
      <c r="B18" s="96"/>
      <c r="C18" s="97"/>
      <c r="D18" s="98"/>
      <c r="E18" s="105"/>
      <c r="F18" s="105"/>
      <c r="G18" s="105"/>
      <c r="H18" s="105"/>
    </row>
    <row r="19" spans="1:8" ht="15.75" x14ac:dyDescent="0.25">
      <c r="A19" s="3"/>
      <c r="B19" s="96"/>
      <c r="C19" s="97"/>
      <c r="D19" s="98"/>
      <c r="E19" s="105"/>
      <c r="F19" s="105"/>
      <c r="G19" s="105"/>
      <c r="H19" s="105"/>
    </row>
    <row r="20" spans="1:8" ht="15.75" x14ac:dyDescent="0.25">
      <c r="A20" s="3"/>
      <c r="B20" s="96"/>
      <c r="C20" s="97"/>
      <c r="D20" s="98"/>
      <c r="E20" s="105"/>
      <c r="F20" s="105"/>
      <c r="G20" s="105"/>
      <c r="H20" s="105"/>
    </row>
    <row r="21" spans="1:8" ht="15.75" x14ac:dyDescent="0.25">
      <c r="A21" s="3"/>
      <c r="B21" s="96"/>
      <c r="C21" s="97"/>
      <c r="D21" s="98"/>
      <c r="E21" s="105"/>
      <c r="F21" s="105"/>
      <c r="G21" s="105"/>
      <c r="H21" s="105"/>
    </row>
    <row r="22" spans="1:8" ht="15.75" x14ac:dyDescent="0.25">
      <c r="A22" s="3"/>
      <c r="B22" s="96"/>
      <c r="C22" s="97"/>
      <c r="D22" s="98"/>
      <c r="E22" s="105"/>
      <c r="F22" s="105"/>
      <c r="G22" s="105"/>
      <c r="H22" s="105"/>
    </row>
    <row r="23" spans="1:8" ht="15.75" x14ac:dyDescent="0.25">
      <c r="A23" s="3"/>
      <c r="B23" s="96"/>
      <c r="C23" s="97"/>
      <c r="D23" s="98"/>
      <c r="E23" s="105"/>
      <c r="F23" s="105"/>
      <c r="G23" s="105"/>
      <c r="H23" s="105"/>
    </row>
    <row r="24" spans="1:8" ht="15.75" x14ac:dyDescent="0.25">
      <c r="A24" s="3"/>
      <c r="B24" s="96"/>
      <c r="C24" s="97"/>
      <c r="D24" s="98"/>
      <c r="E24" s="105"/>
      <c r="F24" s="105"/>
      <c r="G24" s="105"/>
      <c r="H24" s="105"/>
    </row>
    <row r="25" spans="1:8" ht="15.75" x14ac:dyDescent="0.25">
      <c r="A25" s="5" t="s">
        <v>3</v>
      </c>
      <c r="B25" s="96">
        <f>SUM(B4:D24)</f>
        <v>0</v>
      </c>
      <c r="C25" s="97"/>
      <c r="D25" s="98"/>
      <c r="E25" s="105">
        <f>SUM(E4:H24)</f>
        <v>680</v>
      </c>
      <c r="F25" s="105"/>
      <c r="G25" s="105"/>
      <c r="H25" s="105"/>
    </row>
    <row r="26" spans="1:8" x14ac:dyDescent="0.25">
      <c r="A26" s="2" t="s">
        <v>27</v>
      </c>
      <c r="B26" s="105">
        <f>SUM(E25-B25)</f>
        <v>680</v>
      </c>
      <c r="C26" s="105"/>
      <c r="D26" s="105"/>
      <c r="E26" s="105"/>
      <c r="F26" s="105"/>
      <c r="G26" s="105"/>
      <c r="H26" s="10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18</vt:i4>
      </vt:variant>
    </vt:vector>
  </HeadingPairs>
  <TitlesOfParts>
    <vt:vector size="39" baseType="lpstr">
      <vt:lpstr>Saisie</vt:lpstr>
      <vt:lpstr>Feuil4</vt:lpstr>
      <vt:lpstr>D_Encaissements</vt:lpstr>
      <vt:lpstr>D_Charges_Magasin</vt:lpstr>
      <vt:lpstr>D_Charges_Entreprise</vt:lpstr>
      <vt:lpstr>D_Charges_Communes</vt:lpstr>
      <vt:lpstr>Feuil3</vt:lpstr>
      <vt:lpstr>D_Emprunts</vt:lpstr>
      <vt:lpstr>TA</vt:lpstr>
      <vt:lpstr>Emprunt</vt:lpstr>
      <vt:lpstr>Pret covid19</vt:lpstr>
      <vt:lpstr>D_Salaires</vt:lpstr>
      <vt:lpstr>Salaire magasin</vt:lpstr>
      <vt:lpstr>Salaire entreprise</vt:lpstr>
      <vt:lpstr>D_Charges_Sociales</vt:lpstr>
      <vt:lpstr>charges sociales</vt:lpstr>
      <vt:lpstr>Bilan mensuel</vt:lpstr>
      <vt:lpstr>Encaissement</vt:lpstr>
      <vt:lpstr>Charge magasin</vt:lpstr>
      <vt:lpstr>Charge enterprise</vt:lpstr>
      <vt:lpstr>Charge commune</vt:lpstr>
      <vt:lpstr>categories</vt:lpstr>
      <vt:lpstr>Charges_Entreprise</vt:lpstr>
      <vt:lpstr>Charges_Magasin</vt:lpstr>
      <vt:lpstr>Charges_Sociales</vt:lpstr>
      <vt:lpstr>Description_Encaiss</vt:lpstr>
      <vt:lpstr>Emplacements</vt:lpstr>
      <vt:lpstr>Erreurs</vt:lpstr>
      <vt:lpstr>fournisseurs</vt:lpstr>
      <vt:lpstr>Libelle_Emprunt</vt:lpstr>
      <vt:lpstr>Salaries</vt:lpstr>
      <vt:lpstr>Sous_categorie</vt:lpstr>
      <vt:lpstr>T_Amort</vt:lpstr>
      <vt:lpstr>T_Charges_Communes</vt:lpstr>
      <vt:lpstr>T_Charges_Entreprise</vt:lpstr>
      <vt:lpstr>T_Charges_Magasin</vt:lpstr>
      <vt:lpstr>T_Emprunts</vt:lpstr>
      <vt:lpstr>T_Encaissements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2020-05-06T12:19:03Z</dcterms:modified>
</cp:coreProperties>
</file>